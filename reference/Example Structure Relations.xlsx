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OneDrive - Queen's University\Python\Projects\StructureRelations\reference\"/>
    </mc:Choice>
  </mc:AlternateContent>
  <xr:revisionPtr revIDLastSave="0" documentId="13_ncr:1_{FD15961C-702F-4D95-9CDC-97073163D326}" xr6:coauthVersionLast="47" xr6:coauthVersionMax="47" xr10:uidLastSave="{00000000-0000-0000-0000-000000000000}"/>
  <bookViews>
    <workbookView xWindow="-120" yWindow="-120" windowWidth="29040" windowHeight="15990" activeTab="6" xr2:uid="{00000000-000D-0000-FFFF-FFFF00000000}"/>
  </bookViews>
  <sheets>
    <sheet name="Structure Lookup" sheetId="5" r:id="rId1"/>
    <sheet name="Structure Properties" sheetId="2" r:id="rId2"/>
    <sheet name="ToolTips" sheetId="7" r:id="rId3"/>
    <sheet name="Relationships" sheetId="1" r:id="rId4"/>
    <sheet name="Node Options" sheetId="6" r:id="rId5"/>
    <sheet name="Edge Options" sheetId="8" r:id="rId6"/>
    <sheet name="Graph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S13" i="7"/>
  <c r="S12" i="7"/>
  <c r="S11" i="7"/>
  <c r="S10" i="7"/>
  <c r="S9" i="7"/>
  <c r="S8" i="7"/>
  <c r="S7" i="7"/>
  <c r="S6" i="7"/>
  <c r="S5" i="7"/>
  <c r="S4" i="7"/>
  <c r="S3" i="7"/>
  <c r="S2" i="7"/>
  <c r="S1" i="7"/>
  <c r="S20" i="7" s="1"/>
  <c r="Q13" i="7"/>
  <c r="Q12" i="7"/>
  <c r="Q11" i="7"/>
  <c r="Q10" i="7"/>
  <c r="Q9" i="7"/>
  <c r="Q8" i="7"/>
  <c r="Q7" i="7"/>
  <c r="Q6" i="7"/>
  <c r="Q5" i="7"/>
  <c r="Q4" i="7"/>
  <c r="Q3" i="7"/>
  <c r="Q2" i="7"/>
  <c r="Q1" i="7"/>
  <c r="Q20" i="7" s="1"/>
  <c r="O13" i="7"/>
  <c r="O12" i="7"/>
  <c r="O11" i="7"/>
  <c r="O10" i="7"/>
  <c r="O9" i="7"/>
  <c r="O8" i="7"/>
  <c r="O7" i="7"/>
  <c r="O6" i="7"/>
  <c r="O5" i="7"/>
  <c r="O4" i="7"/>
  <c r="O3" i="7"/>
  <c r="O2" i="7"/>
  <c r="O20" i="7" s="1"/>
  <c r="O1" i="7"/>
  <c r="M13" i="7"/>
  <c r="M12" i="7"/>
  <c r="M11" i="7"/>
  <c r="M10" i="7"/>
  <c r="M9" i="7"/>
  <c r="M8" i="7"/>
  <c r="M7" i="7"/>
  <c r="M6" i="7"/>
  <c r="M5" i="7"/>
  <c r="M4" i="7"/>
  <c r="M3" i="7"/>
  <c r="M2" i="7"/>
  <c r="M1" i="7"/>
  <c r="M20" i="7" s="1"/>
  <c r="K13" i="7"/>
  <c r="K12" i="7"/>
  <c r="K11" i="7"/>
  <c r="K10" i="7"/>
  <c r="K9" i="7"/>
  <c r="K8" i="7"/>
  <c r="K7" i="7"/>
  <c r="K6" i="7"/>
  <c r="K5" i="7"/>
  <c r="K4" i="7"/>
  <c r="K3" i="7"/>
  <c r="K2" i="7"/>
  <c r="K1" i="7"/>
  <c r="K20" i="7" s="1"/>
  <c r="I13" i="7"/>
  <c r="I12" i="7"/>
  <c r="I11" i="7"/>
  <c r="I10" i="7"/>
  <c r="I9" i="7"/>
  <c r="I8" i="7"/>
  <c r="I7" i="7"/>
  <c r="I6" i="7"/>
  <c r="I5" i="7"/>
  <c r="I4" i="7"/>
  <c r="I3" i="7"/>
  <c r="I2" i="7"/>
  <c r="I20" i="7" s="1"/>
  <c r="I1" i="7"/>
  <c r="G13" i="7"/>
  <c r="G12" i="7"/>
  <c r="G11" i="7"/>
  <c r="G10" i="7"/>
  <c r="G9" i="7"/>
  <c r="G8" i="7"/>
  <c r="G7" i="7"/>
  <c r="G6" i="7"/>
  <c r="G5" i="7"/>
  <c r="G4" i="7"/>
  <c r="G3" i="7"/>
  <c r="G2" i="7"/>
  <c r="G1" i="7"/>
  <c r="G20" i="7" s="1"/>
  <c r="E13" i="7"/>
  <c r="E12" i="7"/>
  <c r="E11" i="7"/>
  <c r="E10" i="7"/>
  <c r="E9" i="7"/>
  <c r="E8" i="7"/>
  <c r="E7" i="7"/>
  <c r="E6" i="7"/>
  <c r="E5" i="7"/>
  <c r="E4" i="7"/>
  <c r="E3" i="7"/>
  <c r="E2" i="7"/>
  <c r="E1" i="7"/>
  <c r="E20" i="7" s="1"/>
  <c r="C11" i="7"/>
  <c r="C13" i="7"/>
  <c r="C12" i="7"/>
  <c r="C10" i="7"/>
  <c r="C9" i="7"/>
  <c r="C8" i="7"/>
  <c r="C7" i="7"/>
  <c r="C6" i="7"/>
  <c r="C5" i="7"/>
  <c r="C4" i="7"/>
  <c r="C3" i="7"/>
  <c r="C2" i="7"/>
  <c r="C1" i="7"/>
  <c r="C20" i="7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</calcChain>
</file>

<file path=xl/sharedStrings.xml><?xml version="1.0" encoding="utf-8"?>
<sst xmlns="http://schemas.openxmlformats.org/spreadsheetml/2006/main" count="1182" uniqueCount="359">
  <si>
    <t>StructureID</t>
  </si>
  <si>
    <t>GTV</t>
  </si>
  <si>
    <t>CTV</t>
  </si>
  <si>
    <t>PTV</t>
  </si>
  <si>
    <t>eval PTV</t>
  </si>
  <si>
    <t>BODY</t>
  </si>
  <si>
    <t>Lung L</t>
  </si>
  <si>
    <t>Lung R</t>
  </si>
  <si>
    <t>Lung B</t>
  </si>
  <si>
    <t>#</t>
  </si>
  <si>
    <t>VolumeName</t>
  </si>
  <si>
    <t>Internal Target Volume</t>
  </si>
  <si>
    <t>PTV defined by Radiation Oncologist</t>
  </si>
  <si>
    <t>PTV High Risk for dvh</t>
  </si>
  <si>
    <t>Left Lung</t>
  </si>
  <si>
    <t>Right Lung</t>
  </si>
  <si>
    <t>Both Lungs</t>
  </si>
  <si>
    <t>VolumeType</t>
  </si>
  <si>
    <t>Organ</t>
  </si>
  <si>
    <t>DicomType</t>
  </si>
  <si>
    <t>EXTERNAL</t>
  </si>
  <si>
    <t>ORGAN</t>
  </si>
  <si>
    <t>Code</t>
  </si>
  <si>
    <t>GTVp</t>
  </si>
  <si>
    <t>ITV</t>
  </si>
  <si>
    <t>PTVp</t>
  </si>
  <si>
    <t>Label</t>
  </si>
  <si>
    <t>Primary Gross Tumor Volume</t>
  </si>
  <si>
    <t>Primary Planning Target Volume</t>
  </si>
  <si>
    <t>Body</t>
  </si>
  <si>
    <t>Left lung</t>
  </si>
  <si>
    <t>Right lung</t>
  </si>
  <si>
    <t>Pair of lungs</t>
  </si>
  <si>
    <t>Scheme</t>
  </si>
  <si>
    <t>99VMS_STRUCTCODE</t>
  </si>
  <si>
    <t>FMA</t>
  </si>
  <si>
    <t>MaterialCTValue</t>
  </si>
  <si>
    <t>RGB</t>
  </si>
  <si>
    <t>(255, 0, 0)</t>
  </si>
  <si>
    <t>(255, 255, 0)</t>
  </si>
  <si>
    <t>(0, 255, 255)</t>
  </si>
  <si>
    <t>(0, 255, 0)</t>
  </si>
  <si>
    <t>(224, 255, 255)</t>
  </si>
  <si>
    <t>(255, 218, 185)</t>
  </si>
  <si>
    <t>(218, 165, 32)</t>
  </si>
  <si>
    <t>SortOrder</t>
  </si>
  <si>
    <t>Volume</t>
  </si>
  <si>
    <t>Eq Sp Diam</t>
  </si>
  <si>
    <t>Radius</t>
  </si>
  <si>
    <t>Length</t>
  </si>
  <si>
    <t>Sup Slice</t>
  </si>
  <si>
    <t>Inf Slice</t>
  </si>
  <si>
    <t>Center of Mass</t>
  </si>
  <si>
    <t>(-5.36,  9.71, -1.63)</t>
  </si>
  <si>
    <t>(-5.34,  9.79, -1.61)</t>
  </si>
  <si>
    <t>(-5.36,  9.78, -1.59)</t>
  </si>
  <si>
    <t>( 6.46,  6.43, -3.70)</t>
  </si>
  <si>
    <t>(-0.95,  9.73, -6.76)</t>
  </si>
  <si>
    <t>( 7.08, 10.61, -6.28)</t>
  </si>
  <si>
    <t>(-8.09,  8.77, -5.57)</t>
  </si>
  <si>
    <t>(-1.87,  9.52, -5.86)</t>
  </si>
  <si>
    <t>eval_PTV</t>
  </si>
  <si>
    <t>Lung_L</t>
  </si>
  <si>
    <t>Lung_R</t>
  </si>
  <si>
    <t>Lung_B</t>
  </si>
  <si>
    <t>Skin</t>
  </si>
  <si>
    <t>(240, 255, 240)</t>
  </si>
  <si>
    <t>ID</t>
  </si>
  <si>
    <t>ROI</t>
  </si>
  <si>
    <t>Name</t>
  </si>
  <si>
    <t xml:space="preserve"> </t>
  </si>
  <si>
    <t>Structure</t>
  </si>
  <si>
    <t>Missing Relations</t>
  </si>
  <si>
    <t>Relationship</t>
  </si>
  <si>
    <t xml:space="preserve">Symmetric </t>
  </si>
  <si>
    <t xml:space="preserve">Transitive </t>
  </si>
  <si>
    <t>Complement</t>
  </si>
  <si>
    <t>Link Name</t>
  </si>
  <si>
    <t>Contains</t>
  </si>
  <si>
    <t>Confines</t>
  </si>
  <si>
    <t>Shelters</t>
  </si>
  <si>
    <t>Disjoint</t>
  </si>
  <si>
    <t>Yes</t>
  </si>
  <si>
    <t>No</t>
  </si>
  <si>
    <t>NA</t>
  </si>
  <si>
    <t>Within</t>
  </si>
  <si>
    <t>Equals</t>
  </si>
  <si>
    <t>Embeds</t>
  </si>
  <si>
    <t>Sheltered</t>
  </si>
  <si>
    <t>Shelter</t>
  </si>
  <si>
    <t>Borders</t>
  </si>
  <si>
    <t>Incorporates</t>
  </si>
  <si>
    <t>Overlaps</t>
  </si>
  <si>
    <t>Surrounds</t>
  </si>
  <si>
    <t>Island</t>
  </si>
  <si>
    <t>Partitions</t>
  </si>
  <si>
    <t>Exsects</t>
  </si>
  <si>
    <t>Cut-out</t>
  </si>
  <si>
    <t>Group</t>
  </si>
  <si>
    <t>Expansions</t>
  </si>
  <si>
    <t>Default Node Properties</t>
  </si>
  <si>
    <t>Node Settings</t>
  </si>
  <si>
    <t>Structure Properties</t>
  </si>
  <si>
    <t>node style</t>
  </si>
  <si>
    <t>Node Shape</t>
  </si>
  <si>
    <t>Property</t>
  </si>
  <si>
    <t>Value</t>
  </si>
  <si>
    <t xml:space="preserve">shape </t>
  </si>
  <si>
    <t>style</t>
  </si>
  <si>
    <t>penwidth</t>
  </si>
  <si>
    <t>fillcolor</t>
  </si>
  <si>
    <t>subgraph</t>
  </si>
  <si>
    <t>Tooltip</t>
  </si>
  <si>
    <t xml:space="preserve">ID: </t>
  </si>
  <si>
    <t>"dashed"</t>
  </si>
  <si>
    <t>box</t>
  </si>
  <si>
    <t>fixedsize</t>
  </si>
  <si>
    <t>shape</t>
  </si>
  <si>
    <t>pentagon</t>
  </si>
  <si>
    <t>"filled"</t>
  </si>
  <si>
    <t>Targets</t>
  </si>
  <si>
    <t>&gt;0</t>
  </si>
  <si>
    <t>"#222222"</t>
  </si>
  <si>
    <t xml:space="preserve">ROI: </t>
  </si>
  <si>
    <t>"dotted"</t>
  </si>
  <si>
    <t>polygon</t>
  </si>
  <si>
    <t>width</t>
  </si>
  <si>
    <t>hexagon</t>
  </si>
  <si>
    <t>&lt;0</t>
  </si>
  <si>
    <t>"#AAAAAA"</t>
  </si>
  <si>
    <t xml:space="preserve">Name: </t>
  </si>
  <si>
    <t>"solid"</t>
  </si>
  <si>
    <t>ellipse</t>
  </si>
  <si>
    <t>height</t>
  </si>
  <si>
    <t>octagon</t>
  </si>
  <si>
    <t>=0</t>
  </si>
  <si>
    <t>"#555555"</t>
  </si>
  <si>
    <t xml:space="preserve">VolumeType: </t>
  </si>
  <si>
    <t>"invis"</t>
  </si>
  <si>
    <t>oval</t>
  </si>
  <si>
    <t>fontname</t>
  </si>
  <si>
    <t>Helvetica-Bold</t>
  </si>
  <si>
    <t>doublecircle</t>
  </si>
  <si>
    <t>white</t>
  </si>
  <si>
    <t>External</t>
  </si>
  <si>
    <t xml:space="preserve">DicomType: </t>
  </si>
  <si>
    <t>"bold"</t>
  </si>
  <si>
    <t>circle</t>
  </si>
  <si>
    <t>fontsize</t>
  </si>
  <si>
    <t>rectangle</t>
  </si>
  <si>
    <t>"rounded, filled"</t>
  </si>
  <si>
    <t>OAR</t>
  </si>
  <si>
    <t>color</t>
  </si>
  <si>
    <t>fontcolor</t>
  </si>
  <si>
    <t xml:space="preserve">Code: </t>
  </si>
  <si>
    <t>point</t>
  </si>
  <si>
    <t>labelloc</t>
  </si>
  <si>
    <t>c</t>
  </si>
  <si>
    <t>NONE</t>
  </si>
  <si>
    <t>trapezium</t>
  </si>
  <si>
    <t>White if RGB is dark</t>
  </si>
  <si>
    <t xml:space="preserve">Label: </t>
  </si>
  <si>
    <t>"striped"</t>
  </si>
  <si>
    <t>egg</t>
  </si>
  <si>
    <t>AVOIDANCE</t>
  </si>
  <si>
    <t>house</t>
  </si>
  <si>
    <t>Planning</t>
  </si>
  <si>
    <t xml:space="preserve">Scheme: </t>
  </si>
  <si>
    <t>"wedged"</t>
  </si>
  <si>
    <t>triangle</t>
  </si>
  <si>
    <t>filled</t>
  </si>
  <si>
    <t>CONTROL</t>
  </si>
  <si>
    <t>invhouse</t>
  </si>
  <si>
    <t>label</t>
  </si>
  <si>
    <t xml:space="preserve">Volume: </t>
  </si>
  <si>
    <t>"diagonals"</t>
  </si>
  <si>
    <t>plaintext</t>
  </si>
  <si>
    <t>black</t>
  </si>
  <si>
    <t>TREATED_VOLUME</t>
  </si>
  <si>
    <t>parallelogram</t>
  </si>
  <si>
    <t xml:space="preserve">Eq Sp Diam: </t>
  </si>
  <si>
    <t>"rounded"</t>
  </si>
  <si>
    <t>plain</t>
  </si>
  <si>
    <t>IRRAD_VOLUME</t>
  </si>
  <si>
    <t xml:space="preserve">Radius: </t>
  </si>
  <si>
    <t>diamond</t>
  </si>
  <si>
    <t>DOSE_REGION</t>
  </si>
  <si>
    <t>Dose</t>
  </si>
  <si>
    <t xml:space="preserve">Length: </t>
  </si>
  <si>
    <t>CONTRAST_AGENT</t>
  </si>
  <si>
    <t>square</t>
  </si>
  <si>
    <t>Other</t>
  </si>
  <si>
    <t xml:space="preserve">Range: </t>
  </si>
  <si>
    <t>CAVITY</t>
  </si>
  <si>
    <t>SUPPORT</t>
  </si>
  <si>
    <t>"rounded, bold"</t>
  </si>
  <si>
    <t>BOLUS</t>
  </si>
  <si>
    <t>FIXATION</t>
  </si>
  <si>
    <t>septagon</t>
  </si>
  <si>
    <t>doubleoctagon</t>
  </si>
  <si>
    <t>tripleoctagon</t>
  </si>
  <si>
    <t>invtriangle</t>
  </si>
  <si>
    <t>invtrapezium</t>
  </si>
  <si>
    <t>Mdiamond</t>
  </si>
  <si>
    <t>Msquare</t>
  </si>
  <si>
    <t>Mcircle</t>
  </si>
  <si>
    <t>rect</t>
  </si>
  <si>
    <t>star</t>
  </si>
  <si>
    <t>none</t>
  </si>
  <si>
    <t>underline</t>
  </si>
  <si>
    <t>cylinder</t>
  </si>
  <si>
    <t>note</t>
  </si>
  <si>
    <t>tab</t>
  </si>
  <si>
    <t>folder</t>
  </si>
  <si>
    <t>box3d</t>
  </si>
  <si>
    <t>component</t>
  </si>
  <si>
    <t>promoter</t>
  </si>
  <si>
    <t>cds</t>
  </si>
  <si>
    <t>terminator</t>
  </si>
  <si>
    <t>utr</t>
  </si>
  <si>
    <t>primersite</t>
  </si>
  <si>
    <t>restrictionsite</t>
  </si>
  <si>
    <t>fivepoverhang</t>
  </si>
  <si>
    <t>threepoverhang</t>
  </si>
  <si>
    <t>noverhang</t>
  </si>
  <si>
    <t>assembly</t>
  </si>
  <si>
    <t>signature</t>
  </si>
  <si>
    <t>insulator</t>
  </si>
  <si>
    <t>ribosite</t>
  </si>
  <si>
    <t>rnastab</t>
  </si>
  <si>
    <t>proteasesite</t>
  </si>
  <si>
    <t>proteinstab</t>
  </si>
  <si>
    <t>rpromoter</t>
  </si>
  <si>
    <t>rarrow</t>
  </si>
  <si>
    <t>larrow</t>
  </si>
  <si>
    <t>Default Edge Properties</t>
  </si>
  <si>
    <t>dir</t>
  </si>
  <si>
    <t>edge style</t>
  </si>
  <si>
    <t>forward</t>
  </si>
  <si>
    <t>arrowhead</t>
  </si>
  <si>
    <t>Logical</t>
  </si>
  <si>
    <t>back</t>
  </si>
  <si>
    <t>arrowtail</t>
  </si>
  <si>
    <t>"tapered"</t>
  </si>
  <si>
    <t>"forward"</t>
  </si>
  <si>
    <t>"blue"</t>
  </si>
  <si>
    <t>both</t>
  </si>
  <si>
    <t>"back"</t>
  </si>
  <si>
    <t>labelfloat</t>
  </si>
  <si>
    <t>"false"</t>
  </si>
  <si>
    <t>labelfontname</t>
  </si>
  <si>
    <t>"Times"</t>
  </si>
  <si>
    <t>"both"</t>
  </si>
  <si>
    <t>"green"</t>
  </si>
  <si>
    <t>"#55AAFF"</t>
  </si>
  <si>
    <t>"magenta"</t>
  </si>
  <si>
    <t>#e27dd6ff"</t>
  </si>
  <si>
    <t>"white"</t>
  </si>
  <si>
    <t>"cyan"</t>
  </si>
  <si>
    <t>"red"</t>
  </si>
  <si>
    <t>Nodes</t>
  </si>
  <si>
    <t>Edges</t>
  </si>
  <si>
    <t>Graphviz Visual Editor (magjac.com)</t>
  </si>
  <si>
    <t>TODO: Tooltips for edges, Colr &amp; style for edges, shapes for other types</t>
  </si>
  <si>
    <t>Graph Properties</t>
  </si>
  <si>
    <t>Node1</t>
  </si>
  <si>
    <t>Node2</t>
  </si>
  <si>
    <t>Edge Type</t>
  </si>
  <si>
    <t>graph StructureSet {</t>
  </si>
  <si>
    <t xml:space="preserve">    graph [labelloc = t, </t>
  </si>
  <si>
    <t xml:space="preserve">t </t>
  </si>
  <si>
    <t xml:space="preserve">          clusterrank=none, </t>
  </si>
  <si>
    <t>clusterrank</t>
  </si>
  <si>
    <t>"none"</t>
  </si>
  <si>
    <t xml:space="preserve">          bgcolor="#555555",</t>
  </si>
  <si>
    <t>bgcolor</t>
  </si>
  <si>
    <t xml:space="preserve">          fontname = "Helvetica,Arial,sans-serif", </t>
  </si>
  <si>
    <t xml:space="preserve">HelveticaArialsans-serif </t>
  </si>
  <si>
    <t xml:space="preserve">          fontsize = 16, </t>
  </si>
  <si>
    <t xml:space="preserve">          fontcolor = "white"</t>
  </si>
  <si>
    <t xml:space="preserve">          ]</t>
  </si>
  <si>
    <t xml:space="preserve">    node [fixedsize = "shape",</t>
  </si>
  <si>
    <t xml:space="preserve">          width = 1,</t>
  </si>
  <si>
    <t xml:space="preserve">          height = .6,</t>
  </si>
  <si>
    <t xml:space="preserve">          fontname = "Helvetica-Bold",</t>
  </si>
  <si>
    <t xml:space="preserve">          fontsize = 12,</t>
  </si>
  <si>
    <t xml:space="preserve">          labelloc = "c",</t>
  </si>
  <si>
    <t xml:space="preserve">          penwidth = 3,</t>
  </si>
  <si>
    <t xml:space="preserve">          style="filled",</t>
  </si>
  <si>
    <t xml:space="preserve">          fontcolor = "black"</t>
  </si>
  <si>
    <t xml:space="preserve">    edge [color = "#e27dd6ff",</t>
  </si>
  <si>
    <t xml:space="preserve">          style = "solid",</t>
  </si>
  <si>
    <t xml:space="preserve">          arrowhead = "none",</t>
  </si>
  <si>
    <t xml:space="preserve">          arrowtail = "none",</t>
  </si>
  <si>
    <t xml:space="preserve">          labelfloat=false,</t>
  </si>
  <si>
    <t xml:space="preserve">          labelfontname = "Times",</t>
  </si>
  <si>
    <t xml:space="preserve">          fontcolor = "#55AAFF",</t>
  </si>
  <si>
    <t xml:space="preserve">          fontsize = "10"</t>
  </si>
  <si>
    <t xml:space="preserve">    subgraph Targets {</t>
  </si>
  <si>
    <t xml:space="preserve">        cluster = true;</t>
  </si>
  <si>
    <t xml:space="preserve">        GTV [class = "Target", shape = "pentagon", color = "#ff0000", label = "GTV"]</t>
  </si>
  <si>
    <t xml:space="preserve">        CTV [class= "Target", shape = "hexagon", color = "#FFFF00" label = "CTV"]</t>
  </si>
  <si>
    <t xml:space="preserve">        PTV [class= "Target", shape = "octagon", color = "#00FFFF", label = "PTV"]</t>
  </si>
  <si>
    <t xml:space="preserve">        eval_PTV [class= "Target", shape = "octagon" color = "#00FFFF" label = "eval PTV"]</t>
  </si>
  <si>
    <t xml:space="preserve">        }</t>
  </si>
  <si>
    <t xml:space="preserve">    subgraph OAR {cluster = true; </t>
  </si>
  <si>
    <t xml:space="preserve">        node [shape = "rectangle" style="rounded, filled"]        </t>
  </si>
  <si>
    <t xml:space="preserve">        Lung_L [class= "OAR", color = "#E0FFFF", label = "Lung L"]</t>
  </si>
  <si>
    <t xml:space="preserve">        Lung_R [class= "OAR", color = "#FFDAB9" label = "Lung R"]</t>
  </si>
  <si>
    <t xml:space="preserve">        Lung_B [class= "OAR", color = "#DAA532", label = "Lung B"]</t>
  </si>
  <si>
    <t xml:space="preserve">        Skin [class= "OAR", color = "#F0FFF0", label = "Skin"]</t>
  </si>
  <si>
    <t xml:space="preserve">    subgraph External {cluster = true;</t>
  </si>
  <si>
    <t xml:space="preserve">        Body [class= "External", shape = "oval", color = "#00ff00", label = "Body"]</t>
  </si>
  <si>
    <t>graph [label = "Example Structure Relations\n"]</t>
  </si>
  <si>
    <t>GTV -- CTV [class = "Equals", style = "tapered", penwidth="5", dir=both]</t>
  </si>
  <si>
    <t>GTV -- PTV [class = "Contain", style = "dotted",  penwidth=1]</t>
  </si>
  <si>
    <t>GTV -- eval_PTV [class = "Contain", style = "dotted", penwidth=1]</t>
  </si>
  <si>
    <t>GTV -- Skin [class = "Island", style = "dotted", headlabel="Embeds", taillabel="Surrounds"]</t>
  </si>
  <si>
    <t>GTV -- Lung_L [class = "Contain", style = "dotted", penwidth=1]</t>
  </si>
  <si>
    <t>GTV -- Lung_B [class = "Contain", style = "dotted", penwidth=1]</t>
  </si>
  <si>
    <t>CTV -- PTV [class = "Contain", style = "tapered", penwidth="5", dir=forward]</t>
  </si>
  <si>
    <t>#CTV -- eval_PTV [label="Contain"]</t>
  </si>
  <si>
    <t>CTV -- Skin [class = "Island", style = "dotted", headlabel="Embeds", taillabel="Surrounds"]</t>
  </si>
  <si>
    <t>CTV -- Lung_L [class = "Contain", style = "dotted",]</t>
  </si>
  <si>
    <t>#CTV -- Lung_B [label="Contain"]</t>
  </si>
  <si>
    <t>PTV -- eval_PTV [class = "Group", style = "solid", headlabel="Incorporates", taillabel="Partitions"]</t>
  </si>
  <si>
    <t>#PTV -- Skin [label="Island"]</t>
  </si>
  <si>
    <t>PTV -- Lung_L [label="Overlaps", style = "bold"]</t>
  </si>
  <si>
    <t>#PTV -- Lung_B [label="Overlaps"]</t>
  </si>
  <si>
    <t>#eval_PTV -- Skin [label="Island"]</t>
  </si>
  <si>
    <t>eval_PTV -- Lung_L [class = "Group", style = "solid", headlabel="Partitions", taillabel="Incorporates"]</t>
  </si>
  <si>
    <t>#eval_PTV -- Lung_B [label="Contain"]</t>
  </si>
  <si>
    <t>Lung_L -- Lung_B [class = "Contain", style = "tapered", penwidth="5", dir=back]</t>
  </si>
  <si>
    <t>Lung_R -- Lung_B [class = "Contain", style = "tapered", penwidth="5", dir=back]</t>
  </si>
  <si>
    <t>#Body -- GTV [label="Contain"]</t>
  </si>
  <si>
    <t>#Body -- CTV [label="Contain"]</t>
  </si>
  <si>
    <t>#Body -- PTV [label="Contain"]</t>
  </si>
  <si>
    <t>#Body -- eval_PTV [label="Contain"]</t>
  </si>
  <si>
    <t>Body -- Skin [class = "Cut-out", style = "dashed",  headlabel="Partitions", taillabel="Incorporates"]</t>
  </si>
  <si>
    <t>Body -- Lung_L [class = "Contain", style = "tapered", penwidth="5", dir=forward]</t>
  </si>
  <si>
    <t>Body -- Lung_R [class = "Contain", style = "tapered", penwidth="5", dir=forward]</t>
  </si>
  <si>
    <t>Body -- Lung_B [class = "Contain", style = "tapered", penwidth="5", dir=forward]</t>
  </si>
  <si>
    <t>GTV [tooltip = "ID: GTV\nROI: 38\n\nVolumeType: GTV\nDicomType: GTV\nCode: GTVp\nLabel: Primary Gross Tumor Volume\nScheme: 99VMS_STRUCTCODE\nVolume: 8.0\nEq Sp Diam: 2.5\nLength: 2.6\nRange: (-0.4, -3.0)"]</t>
  </si>
  <si>
    <t>CTV [tooltip = "ID: CTV\nROI: 24\nName: Internal Target Volume\nVolumeType: CTV\nDicomType: CTV\nCode: ITV\nLabel: Internal Target Volume\nScheme: 99VMS_STRUCTCODE\nVolume: 34.4\nEq Sp Diam: 4.0\n\nLength: 3.6\nRange: (0.0, -3.6)"]</t>
  </si>
  <si>
    <t>PTV [tooltip = "ID: PTV\nROI: 30\nName: PTV defined by Radiation Oncologist\nVolumeType: PTV\nDicomType: PTV\nCode: PTVp\nLabel: Primary Planning Target Volume\nScheme: 99VMS_STRUCTCODE\nVolume: 74.6\nEq Sp Diam: 5.2\n\nLength: 4.6\nRange: (0.6, -4.0)"]</t>
  </si>
  <si>
    <t>Body [tooltip = "ID: Body\nROI: 1\n\nVolumeType: BODY\nDicomType: EXTERNAL\nCode: BODY\nLabel: Body\nScheme: 99VMS_STRUCTCODE\nVolume: 28,951.6\nEq Sp Diam: 38.1\nRadius: 16.5\nLength: 33.8\nRange: (10.6, -23.2)"]</t>
  </si>
  <si>
    <t>eval_PTV [tooltip = "ID: eval_PTV\nROI: 41\nName: PTV High Risk for dvh\nVolumeType: PTV\nDicomType: PTV\nCode: PTVp\nLabel: Primary Planning Target Volume\nScheme: 99VMS_STRUCTCODE\nVolume: 630.6\nEq Sp Diam: 10.6\n\nLength: 9.8\nRange: (1.4, -8.4)"]</t>
  </si>
  <si>
    <t>Lung_L [tooltip = "ID: Lung_L\nROI: 26\nName: Left Lung\nVolumeType: Organ\nDicomType: ORGAN\nCode: 7310\nLabel: Left lung\nScheme: FMA\nVolume: 1,776.0\nEq Sp Diam: 15.0\n\nLength: 24.2\nRange: (5.8, -18.4)"]</t>
  </si>
  <si>
    <t>Lung_R [tooltip = "ID: Lung_R\nROI: 27\nName: Right Lung\nVolumeType: Organ\nDicomType: ORGAN\nCode: 7309\nLabel: Right lung\nScheme: FMA\nVolume: 2,556.7\nEq Sp Diam: 17.0\n\nLength: 23.8\nRange: (6.6, -17.2)"]</t>
  </si>
  <si>
    <t>Lung_B [tooltip = "ID: Lung_B\nROI: 25\nName: Both Lungs\nVolumeType: Organ\nDicomType: ORGAN\nCode: 68877\nLabel: Pair of lungs\nScheme: FMA\nVolume: 4,332.7\nEq Sp Diam: 20.2\n\nLength: 25.0\nRange: (6.6, -18.4)"]</t>
  </si>
  <si>
    <t>Skin [tooltip = "ID: Skin\n\nName: Skin\nVolumeType: Organ\nDicomType: Organ\nCode: 7163\nLabel: Skin\nScheme: FMA\nVolume: 1,072.3\n\n\nLength: 33.8\nRange: (10.6, -23.2)"]</t>
  </si>
  <si>
    <t>}</t>
  </si>
  <si>
    <t xml:space="preserve">Structure1 </t>
  </si>
  <si>
    <t>Structure1 2</t>
  </si>
  <si>
    <t>ROI_1</t>
  </si>
  <si>
    <t>ROI_2</t>
  </si>
  <si>
    <t>ROI Lookup</t>
  </si>
  <si>
    <t>is_logical</t>
  </si>
  <si>
    <t>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</si>
</sst>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1"/>
      <name val="Aptos Narrow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Hack"/>
      <family val="3"/>
    </font>
    <font>
      <sz val="10"/>
      <color theme="1"/>
      <name val="Hack"/>
      <family val="3"/>
    </font>
    <font>
      <i/>
      <sz val="10"/>
      <color rgb="FF7F7F7F"/>
      <name val="Hack"/>
      <family val="3"/>
    </font>
    <font>
      <sz val="12"/>
      <color rgb="FF212529"/>
      <name val="Open Sans"/>
      <family val="2"/>
    </font>
    <font>
      <sz val="10"/>
      <color rgb="FF212529"/>
      <name val="Var(--bs-font-monospace)"/>
    </font>
    <font>
      <sz val="10"/>
      <color rgb="FF000000"/>
      <name val="Consolas"/>
      <family val="3"/>
    </font>
    <font>
      <sz val="11"/>
      <color rgb="FF444444"/>
      <name val="Aptos Narrow"/>
      <charset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444444"/>
      <name val="Aptos Narrow"/>
      <scheme val="minor"/>
    </font>
    <font>
      <sz val="10"/>
      <color rgb="FF212529"/>
      <name val="Aptos Narrow"/>
      <scheme val="minor"/>
    </font>
    <font>
      <b/>
      <sz val="15"/>
      <color theme="3"/>
      <name val="Aptos Narrow"/>
      <family val="2"/>
      <scheme val="minor"/>
    </font>
    <font>
      <sz val="9"/>
      <color rgb="FF9EFFFF"/>
      <name val="Hack"/>
      <family val="3"/>
    </font>
  </fonts>
  <fills count="1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theme="4" tint="0.39997558519241921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theme="4" tint="0.39997558519241921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4" fillId="9" borderId="0" applyNumberFormat="0" applyBorder="0" applyAlignment="0" applyProtection="0"/>
    <xf numFmtId="0" fontId="2" fillId="10" borderId="0" applyNumberFormat="0" applyBorder="0" applyAlignment="0" applyProtection="0"/>
    <xf numFmtId="0" fontId="4" fillId="11" borderId="0" applyNumberFormat="0" applyBorder="0" applyAlignment="0" applyProtection="0"/>
    <xf numFmtId="0" fontId="10" fillId="0" borderId="0" applyNumberFormat="0" applyFill="0" applyBorder="0" applyAlignment="0" applyProtection="0"/>
    <xf numFmtId="0" fontId="25" fillId="0" borderId="28" applyNumberFormat="0" applyFill="0" applyAlignment="0" applyProtection="0"/>
  </cellStyleXfs>
  <cellXfs count="96">
    <xf numFmtId="0" fontId="0" fillId="0" borderId="0" xfId="0"/>
    <xf numFmtId="0" fontId="1" fillId="0" borderId="0" xfId="0" applyFont="1" applyAlignment="1">
      <alignment horizontal="left" vertical="center" indent="4"/>
    </xf>
    <xf numFmtId="0" fontId="0" fillId="3" borderId="0" xfId="0" applyFill="1"/>
    <xf numFmtId="0" fontId="2" fillId="7" borderId="0" xfId="5"/>
    <xf numFmtId="0" fontId="2" fillId="8" borderId="0" xfId="6"/>
    <xf numFmtId="0" fontId="2" fillId="10" borderId="0" xfId="8"/>
    <xf numFmtId="0" fontId="4" fillId="11" borderId="0" xfId="9"/>
    <xf numFmtId="0" fontId="4" fillId="5" borderId="0" xfId="3"/>
    <xf numFmtId="0" fontId="4" fillId="9" borderId="0" xfId="7"/>
    <xf numFmtId="0" fontId="2" fillId="6" borderId="0" xfId="4"/>
    <xf numFmtId="0" fontId="4" fillId="4" borderId="0" xfId="2"/>
    <xf numFmtId="0" fontId="3" fillId="2" borderId="0" xfId="1" applyFill="1"/>
    <xf numFmtId="0" fontId="3" fillId="2" borderId="0" xfId="1" applyFill="1" applyAlignment="1">
      <alignment horizontal="center"/>
    </xf>
    <xf numFmtId="0" fontId="0" fillId="8" borderId="0" xfId="6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3" borderId="0" xfId="0" applyFont="1" applyFill="1"/>
    <xf numFmtId="0" fontId="8" fillId="0" borderId="0" xfId="0" applyFont="1"/>
    <xf numFmtId="0" fontId="9" fillId="13" borderId="4" xfId="0" applyFont="1" applyFill="1" applyBorder="1"/>
    <xf numFmtId="0" fontId="9" fillId="13" borderId="5" xfId="0" applyFont="1" applyFill="1" applyBorder="1"/>
    <xf numFmtId="0" fontId="9" fillId="13" borderId="6" xfId="0" applyFont="1" applyFill="1" applyBorder="1"/>
    <xf numFmtId="0" fontId="0" fillId="0" borderId="3" xfId="0" applyBorder="1"/>
    <xf numFmtId="0" fontId="0" fillId="0" borderId="2" xfId="0" applyBorder="1"/>
    <xf numFmtId="0" fontId="0" fillId="12" borderId="6" xfId="0" applyFill="1" applyBorder="1"/>
    <xf numFmtId="0" fontId="0" fillId="12" borderId="5" xfId="0" applyFill="1" applyBorder="1"/>
    <xf numFmtId="2" fontId="0" fillId="12" borderId="6" xfId="0" applyNumberFormat="1" applyFill="1" applyBorder="1"/>
    <xf numFmtId="2" fontId="0" fillId="12" borderId="5" xfId="0" applyNumberFormat="1" applyFill="1" applyBorder="1"/>
    <xf numFmtId="0" fontId="0" fillId="12" borderId="4" xfId="0" applyFill="1" applyBorder="1"/>
    <xf numFmtId="0" fontId="0" fillId="0" borderId="6" xfId="0" applyBorder="1"/>
    <xf numFmtId="0" fontId="0" fillId="0" borderId="5" xfId="0" applyBorder="1"/>
    <xf numFmtId="2" fontId="0" fillId="0" borderId="6" xfId="0" applyNumberFormat="1" applyBorder="1"/>
    <xf numFmtId="2" fontId="0" fillId="0" borderId="5" xfId="0" applyNumberFormat="1" applyBorder="1"/>
    <xf numFmtId="0" fontId="0" fillId="0" borderId="4" xfId="0" applyBorder="1"/>
    <xf numFmtId="2" fontId="0" fillId="0" borderId="3" xfId="0" applyNumberFormat="1" applyBorder="1"/>
    <xf numFmtId="2" fontId="0" fillId="0" borderId="2" xfId="0" applyNumberFormat="1" applyBorder="1"/>
    <xf numFmtId="0" fontId="0" fillId="0" borderId="1" xfId="0" applyBorder="1"/>
    <xf numFmtId="0" fontId="11" fillId="0" borderId="0" xfId="10" applyFont="1"/>
    <xf numFmtId="0" fontId="12" fillId="0" borderId="0" xfId="0" applyFont="1"/>
    <xf numFmtId="0" fontId="13" fillId="0" borderId="0" xfId="1" applyFont="1"/>
    <xf numFmtId="3" fontId="0" fillId="0" borderId="0" xfId="0" quotePrefix="1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1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/>
    <xf numFmtId="0" fontId="0" fillId="0" borderId="0" xfId="0" applyAlignment="1">
      <alignment horizontal="center"/>
    </xf>
    <xf numFmtId="0" fontId="9" fillId="13" borderId="0" xfId="0" applyFont="1" applyFill="1"/>
    <xf numFmtId="0" fontId="9" fillId="13" borderId="9" xfId="0" applyFont="1" applyFill="1" applyBorder="1"/>
    <xf numFmtId="0" fontId="0" fillId="14" borderId="8" xfId="0" applyFill="1" applyBorder="1" applyAlignment="1">
      <alignment horizontal="left"/>
    </xf>
    <xf numFmtId="0" fontId="0" fillId="12" borderId="0" xfId="0" applyFill="1"/>
    <xf numFmtId="0" fontId="0" fillId="14" borderId="10" xfId="0" applyFill="1" applyBorder="1" applyAlignment="1">
      <alignment horizontal="left"/>
    </xf>
    <xf numFmtId="164" fontId="0" fillId="14" borderId="8" xfId="0" applyNumberFormat="1" applyFill="1" applyBorder="1" applyAlignment="1">
      <alignment horizontal="left"/>
    </xf>
    <xf numFmtId="0" fontId="17" fillId="0" borderId="0" xfId="0" applyFont="1" applyAlignment="1">
      <alignment horizontal="left"/>
    </xf>
    <xf numFmtId="0" fontId="9" fillId="15" borderId="11" xfId="0" applyFont="1" applyFill="1" applyBorder="1"/>
    <xf numFmtId="0" fontId="4" fillId="9" borderId="12" xfId="7" applyBorder="1"/>
    <xf numFmtId="0" fontId="9" fillId="15" borderId="13" xfId="0" applyFont="1" applyFill="1" applyBorder="1"/>
    <xf numFmtId="0" fontId="9" fillId="15" borderId="12" xfId="0" applyFont="1" applyFill="1" applyBorder="1"/>
    <xf numFmtId="0" fontId="18" fillId="0" borderId="15" xfId="0" applyFont="1" applyBorder="1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0" fillId="16" borderId="0" xfId="0" applyFill="1"/>
    <xf numFmtId="0" fontId="0" fillId="0" borderId="14" xfId="0" applyBorder="1"/>
    <xf numFmtId="0" fontId="9" fillId="13" borderId="17" xfId="0" applyFont="1" applyFill="1" applyBorder="1"/>
    <xf numFmtId="0" fontId="0" fillId="16" borderId="14" xfId="0" applyFill="1" applyBorder="1"/>
    <xf numFmtId="0" fontId="9" fillId="13" borderId="19" xfId="0" applyFont="1" applyFill="1" applyBorder="1"/>
    <xf numFmtId="0" fontId="0" fillId="0" borderId="21" xfId="0" applyBorder="1"/>
    <xf numFmtId="0" fontId="0" fillId="16" borderId="21" xfId="0" applyFill="1" applyBorder="1"/>
    <xf numFmtId="0" fontId="9" fillId="13" borderId="16" xfId="0" applyFont="1" applyFill="1" applyBorder="1"/>
    <xf numFmtId="0" fontId="0" fillId="0" borderId="20" xfId="0" applyBorder="1"/>
    <xf numFmtId="0" fontId="0" fillId="0" borderId="22" xfId="0" applyBorder="1"/>
    <xf numFmtId="0" fontId="9" fillId="13" borderId="13" xfId="0" applyFont="1" applyFill="1" applyBorder="1"/>
    <xf numFmtId="0" fontId="0" fillId="0" borderId="18" xfId="0" applyBorder="1" applyAlignment="1">
      <alignment horizontal="center"/>
    </xf>
    <xf numFmtId="0" fontId="0" fillId="0" borderId="23" xfId="0" applyBorder="1"/>
    <xf numFmtId="0" fontId="0" fillId="0" borderId="20" xfId="0" quotePrefix="1" applyBorder="1" applyAlignment="1">
      <alignment horizontal="center"/>
    </xf>
    <xf numFmtId="0" fontId="0" fillId="0" borderId="24" xfId="0" applyBorder="1"/>
    <xf numFmtId="0" fontId="20" fillId="0" borderId="25" xfId="0" applyFont="1" applyBorder="1"/>
    <xf numFmtId="0" fontId="9" fillId="13" borderId="25" xfId="0" applyFont="1" applyFill="1" applyBorder="1"/>
    <xf numFmtId="0" fontId="9" fillId="13" borderId="26" xfId="0" applyFont="1" applyFill="1" applyBorder="1"/>
    <xf numFmtId="0" fontId="9" fillId="13" borderId="27" xfId="0" applyFont="1" applyFill="1" applyBorder="1"/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5" fillId="17" borderId="0" xfId="0" applyFont="1" applyFill="1" applyAlignment="1">
      <alignment horizontal="center"/>
    </xf>
    <xf numFmtId="0" fontId="26" fillId="0" borderId="0" xfId="0" applyFont="1" applyAlignment="1">
      <alignment vertical="center"/>
    </xf>
    <xf numFmtId="0" fontId="25" fillId="0" borderId="28" xfId="11" applyAlignment="1">
      <alignment horizontal="center"/>
    </xf>
    <xf numFmtId="0" fontId="0" fillId="0" borderId="0" xfId="0" applyAlignment="1">
      <alignment horizontal="center"/>
    </xf>
    <xf numFmtId="0" fontId="9" fillId="15" borderId="16" xfId="0" applyFont="1" applyFill="1" applyBorder="1" applyAlignment="1">
      <alignment horizontal="left" vertical="center"/>
    </xf>
    <xf numFmtId="0" fontId="9" fillId="15" borderId="18" xfId="0" applyFont="1" applyFill="1" applyBorder="1" applyAlignment="1">
      <alignment horizontal="left" vertical="center"/>
    </xf>
    <xf numFmtId="0" fontId="9" fillId="15" borderId="20" xfId="0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12">
    <cellStyle name="20% - Accent2" xfId="4" builtinId="34"/>
    <cellStyle name="20% - Accent3" xfId="5" builtinId="38"/>
    <cellStyle name="40% - Accent4" xfId="6" builtinId="43"/>
    <cellStyle name="40% - Accent5" xfId="8" builtinId="47"/>
    <cellStyle name="Accent1" xfId="2" builtinId="29"/>
    <cellStyle name="Accent2" xfId="3" builtinId="33"/>
    <cellStyle name="Accent5" xfId="7" builtinId="45"/>
    <cellStyle name="Accent6" xfId="9" builtinId="49"/>
    <cellStyle name="Explanatory Text" xfId="1" builtinId="53"/>
    <cellStyle name="Heading 1" xfId="11" builtinId="16"/>
    <cellStyle name="Hyperlink" xfId="10" builtinId="8"/>
    <cellStyle name="Normal" xfId="0" builtinId="0"/>
  </cellStyles>
  <dxfs count="42">
    <dxf>
      <alignment horizontal="left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nsola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nsola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Open San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Var(--bs-font-monospace)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Var(--bs-font-monospace)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Open San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Var(--bs-font-monospace)"/>
        <scheme val="none"/>
      </font>
      <alignment horizontal="left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Var(--bs-font-monospace)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Open Sans"/>
        <scheme val="none"/>
      </font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123825</xdr:rowOff>
    </xdr:from>
    <xdr:to>
      <xdr:col>10</xdr:col>
      <xdr:colOff>22838</xdr:colOff>
      <xdr:row>31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36B17-3B36-99AE-F036-AC0F8EEE1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885825"/>
          <a:ext cx="4413863" cy="5029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R10" totalsRowShown="0">
  <tableColumns count="18">
    <tableColumn id="1" xr3:uid="{00000000-0010-0000-0300-000001000000}" name="StructureID"/>
    <tableColumn id="2" xr3:uid="{00000000-0010-0000-0300-000002000000}" name="#"/>
    <tableColumn id="3" xr3:uid="{00000000-0010-0000-0300-000003000000}" name="VolumeName"/>
    <tableColumn id="4" xr3:uid="{00000000-0010-0000-0300-000004000000}" name="VolumeType"/>
    <tableColumn id="5" xr3:uid="{00000000-0010-0000-0300-000005000000}" name="DicomType"/>
    <tableColumn id="6" xr3:uid="{00000000-0010-0000-0300-000006000000}" name="Code"/>
    <tableColumn id="7" xr3:uid="{00000000-0010-0000-0300-000007000000}" name="Label"/>
    <tableColumn id="8" xr3:uid="{00000000-0010-0000-0300-000008000000}" name="Scheme"/>
    <tableColumn id="9" xr3:uid="{00000000-0010-0000-0300-000009000000}" name="MaterialCTValue"/>
    <tableColumn id="10" xr3:uid="{00000000-0010-0000-0300-00000A000000}" name="RGB"/>
    <tableColumn id="11" xr3:uid="{00000000-0010-0000-0300-00000B000000}" name="SortOrder"/>
    <tableColumn id="12" xr3:uid="{00000000-0010-0000-0300-00000C000000}" name="Volume"/>
    <tableColumn id="13" xr3:uid="{00000000-0010-0000-0300-00000D000000}" name="Eq Sp Diam"/>
    <tableColumn id="14" xr3:uid="{00000000-0010-0000-0300-00000E000000}" name="Radius"/>
    <tableColumn id="15" xr3:uid="{00000000-0010-0000-0300-00000F000000}" name="Length"/>
    <tableColumn id="16" xr3:uid="{00000000-0010-0000-0300-000010000000}" name="Sup Slice"/>
    <tableColumn id="17" xr3:uid="{00000000-0010-0000-0300-000011000000}" name="Inf Slice"/>
    <tableColumn id="18" xr3:uid="{00000000-0010-0000-0300-000012000000}" name="Center of Mas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N1:R15" totalsRowShown="0" headerRowDxfId="41">
  <tableColumns count="5">
    <tableColumn id="1" xr3:uid="{00000000-0010-0000-0000-000001000000}" name="Relationship"/>
    <tableColumn id="2" xr3:uid="{00000000-0010-0000-0000-000002000000}" name="Symmetric "/>
    <tableColumn id="3" xr3:uid="{00000000-0010-0000-0000-000003000000}" name="Transitive "/>
    <tableColumn id="4" xr3:uid="{00000000-0010-0000-0000-000004000000}" name="Complement"/>
    <tableColumn id="5" xr3:uid="{00000000-0010-0000-0000-000005000000}" name="Link Name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J10" totalsRowShown="0" headerRowDxfId="40" dataDxfId="39">
  <autoFilter ref="A1:J1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100-000001000000}" name="Structure" dataDxfId="38"/>
    <tableColumn id="2" xr3:uid="{00000000-0010-0000-0100-000002000000}" name="Body" dataDxfId="37"/>
    <tableColumn id="3" xr3:uid="{00000000-0010-0000-0100-000003000000}" name="GTV" dataDxfId="36"/>
    <tableColumn id="4" xr3:uid="{00000000-0010-0000-0100-000004000000}" name="CTV" dataDxfId="35"/>
    <tableColumn id="5" xr3:uid="{00000000-0010-0000-0100-000005000000}" name="PTV" dataDxfId="34"/>
    <tableColumn id="6" xr3:uid="{00000000-0010-0000-0100-000006000000}" name="eval_PTV" dataDxfId="33"/>
    <tableColumn id="7" xr3:uid="{00000000-0010-0000-0100-000007000000}" name="Skin" dataDxfId="32"/>
    <tableColumn id="8" xr3:uid="{00000000-0010-0000-0100-000008000000}" name="Lung_L" dataDxfId="31"/>
    <tableColumn id="9" xr3:uid="{00000000-0010-0000-0100-000009000000}" name="Lung_R" dataDxfId="30"/>
    <tableColumn id="10" xr3:uid="{00000000-0010-0000-0100-00000A000000}" name="Lung_B" dataDxfId="29"/>
  </tableColumns>
  <tableStyleInfo name="TableStyleMedium12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L1:L4" totalsRowShown="0">
  <tableColumns count="1">
    <tableColumn id="1" xr3:uid="{00000000-0010-0000-0200-000001000000}" name="Missing Relation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BE4334-FCBB-4BAF-9AF7-9EF413DA593C}" name="Table8" displayName="Table8" ref="U1:AA37" totalsRowShown="0">
  <autoFilter ref="U1:AA37" xr:uid="{FBBE4334-FCBB-4BAF-9AF7-9EF413DA593C}"/>
  <tableColumns count="7">
    <tableColumn id="1" xr3:uid="{193AB0BA-C24E-4657-B802-5668233006C5}" name="Structure1 "/>
    <tableColumn id="2" xr3:uid="{545EA978-86EA-49C8-8236-C7BD855771D3}" name="Structure1 2"/>
    <tableColumn id="3" xr3:uid="{FA9749BC-C4E0-4DDB-8D1F-2F3FFBF62C9F}" name="ROI_1" dataDxfId="28">
      <calculatedColumnFormula>VLOOKUP(U2,ROI_Lookup[],2,FALSE)</calculatedColumnFormula>
    </tableColumn>
    <tableColumn id="4" xr3:uid="{B46524B1-7AA6-486C-9F39-8278F693BF20}" name="ROI_2" dataDxfId="27">
      <calculatedColumnFormula>VLOOKUP(V2,ROI_Lookup[],2,FALSE)</calculatedColumnFormula>
    </tableColumn>
    <tableColumn id="5" xr3:uid="{AC151923-AE14-41BC-BF2C-68D3D34F58F0}" name="Relationship"/>
    <tableColumn id="6" xr3:uid="{05FBF7FE-7762-4BAC-A759-031869F98AF0}" name="is_logical"/>
    <tableColumn id="7" xr3:uid="{A2DB0D1A-C90E-4B90-80A0-C22960FC7499}" name="show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31AD62-3B51-498E-BE2C-D26CEAFC4C94}" name="ROI_Lookup" displayName="ROI_Lookup" ref="AD2:AE11" totalsRowShown="0" headerRowCellStyle="Normal" dataCellStyle="Normal">
  <tableColumns count="2">
    <tableColumn id="1" xr3:uid="{7B2E9D82-B579-4777-ACC2-7B510329E855}" name="StructureID" dataCellStyle="Normal"/>
    <tableColumn id="2" xr3:uid="{E7597559-016D-4BB0-AF04-337134A8196F}" name="ROI" dataCellStyle="Normal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Table55" displayName="Table55" ref="D2:I18" totalsRowShown="0">
  <tableColumns count="6">
    <tableColumn id="1" xr3:uid="{00000000-0010-0000-0800-000001000000}" name="DicomType"/>
    <tableColumn id="2" xr3:uid="{00000000-0010-0000-0800-000002000000}" name="shape "/>
    <tableColumn id="3" xr3:uid="{FE46FDDA-AE2D-405F-A603-C4A9E52A679F}" name="style"/>
    <tableColumn id="4" xr3:uid="{2E0FA911-36D0-4EB9-928A-14C0FF50678D}" name="penwidth" dataDxfId="26"/>
    <tableColumn id="5" xr3:uid="{141D86F8-D590-45F5-8B78-3C01FCDA9240}" name="fillcolor"/>
    <tableColumn id="6" xr3:uid="{4A1AF8D3-162A-4330-B8B4-58130E4BF04B}" name="subgraph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V1:V11" totalsRowShown="0" headerRowDxfId="25" dataDxfId="24" tableBorderDxfId="23">
  <tableColumns count="1">
    <tableColumn id="1" xr3:uid="{00000000-0010-0000-0A00-000001000000}" name="node style" dataDxfId="22"/>
  </tableColumns>
  <tableStyleInfo name="TableStyleLight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BC3D5DC-3433-43DC-97ED-9840FC7513CC}" name="Table15" displayName="Table15" ref="A2:B11" totalsRowShown="0" headerRowDxfId="21">
  <autoFilter ref="A2:B11" xr:uid="{CBC3D5DC-3433-43DC-97ED-9840FC7513CC}">
    <filterColumn colId="0" hiddenButton="1"/>
    <filterColumn colId="1" hiddenButton="1"/>
  </autoFilter>
  <tableColumns count="2">
    <tableColumn id="1" xr3:uid="{53BCB577-959B-42C0-8DC1-E0D776F800F9}" name="Property"/>
    <tableColumn id="2" xr3:uid="{EFC35B80-80BE-4652-B33F-A0551247D6AD}" name="Value" dataDxfId="2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44E73A2-5CC2-40BE-A308-166962B0ED0A}" name="Table14" displayName="Table14" ref="X1:X59" totalsRowShown="0" tableBorderDxfId="19">
  <autoFilter ref="X1:X59" xr:uid="{144E73A2-5CC2-40BE-A308-166962B0ED0A}"/>
  <tableColumns count="1">
    <tableColumn id="1" xr3:uid="{3CC20161-CBE8-4519-97CC-D11258D3CAFE}" name="Node Shape"/>
  </tableColumns>
  <tableStyleInfo name="TableStyleLight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010535-F570-4C3E-BB8D-FB850025DF06}" name="Table16" displayName="Table16" ref="D1:L16" totalsRowShown="0" headerRowDxfId="18">
  <tableColumns count="9">
    <tableColumn id="1" xr3:uid="{E53D7BB6-8297-4D2D-A43E-F174728FE0C1}" name="Relationship"/>
    <tableColumn id="2" xr3:uid="{13BE1A7C-DD77-4E75-B353-E3A177493A19}" name="Symmetric "/>
    <tableColumn id="3" xr3:uid="{B45F95A9-5F9A-4C19-918C-F1C8DAE8F1A0}" name="Transitive "/>
    <tableColumn id="4" xr3:uid="{B8DA140F-329A-405B-A4FC-99B130B51FD8}" name="Complement"/>
    <tableColumn id="5" xr3:uid="{CD5A3700-593C-4A08-B3E2-A3F55DAD2F32}" name="Link Name"/>
    <tableColumn id="6" xr3:uid="{7D35C260-763C-4811-9268-59653462D638}" name="style" dataDxfId="17"/>
    <tableColumn id="7" xr3:uid="{91216AC0-C844-41CA-8933-E6C66915813A}" name="dir" dataDxfId="16"/>
    <tableColumn id="8" xr3:uid="{90E3CB09-043B-49B3-ACAF-79E97EFC268C}" name="penwidth" dataDxfId="15"/>
    <tableColumn id="9" xr3:uid="{8BBFC9D4-6BA7-4625-954D-B7AD85ECD1B3}" name="color" dataDxfId="14"/>
  </tableColumns>
  <tableStyleInfo name="TableStyleMedium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8B81C4-5AAA-4EE2-868F-93FE9D3243BB}" name="Table819" displayName="Table819" ref="O1:O7" totalsRowShown="0" headerRowDxfId="13" dataDxfId="12">
  <tableColumns count="1">
    <tableColumn id="1" xr3:uid="{774E933A-8F02-4634-B594-0B1CC3B543F5}" name="edge style" dataDxfId="11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6471C1F-3946-4FE0-940D-088D7DF175F1}" name="Table1320" displayName="Table1320" ref="Q1:Q5" totalsRowShown="0" headerRowDxfId="10" dataDxfId="9">
  <autoFilter ref="Q1:Q5" xr:uid="{00000000-0009-0000-0100-00000D000000}">
    <filterColumn colId="0" hiddenButton="1"/>
  </autoFilter>
  <tableColumns count="1">
    <tableColumn id="1" xr3:uid="{2D766176-524C-4BFE-84DA-F94DFF45789F}" name="dir" dataDxfId="8"/>
  </tableColumns>
  <tableStyleInfo name="TableStyleLight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7F25C16-6510-4B47-8014-4A99963F11ED}" name="Table151721" displayName="Table151721" ref="A2:B11" totalsRowShown="0" headerRowDxfId="7">
  <autoFilter ref="A2:B11" xr:uid="{1B623EBF-009A-40F4-B1CA-DBBD67676ACB}"/>
  <tableColumns count="2">
    <tableColumn id="1" xr3:uid="{E8C62FBA-99D7-4C20-A66B-B4F94F70C573}" name="Property"/>
    <tableColumn id="2" xr3:uid="{3BEBED45-A469-4CF0-A158-CFD4A2AB7A7B}" name="Value" dataDxfId="6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A10" totalsRowShown="0">
  <autoFilter ref="A1:A10" xr:uid="{00000000-0009-0000-0100-000007000000}"/>
  <tableColumns count="1">
    <tableColumn id="1" xr3:uid="{00000000-0010-0000-0400-000001000000}" name="Nodes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9" displayName="Table9" ref="C2:G38" totalsRowShown="0">
  <tableColumns count="5">
    <tableColumn id="1" xr3:uid="{00000000-0010-0000-0500-000001000000}" name="Node1"/>
    <tableColumn id="2" xr3:uid="{00000000-0010-0000-0500-000002000000}" name="Node2"/>
    <tableColumn id="3" xr3:uid="{00000000-0010-0000-0500-000003000000}" name="Relationship"/>
    <tableColumn id="5" xr3:uid="{00000000-0010-0000-0500-000005000000}" name="Complement" dataDxfId="5">
      <calculatedColumnFormula>VLOOKUP(Table9[[#This Row],[Relationship]],#REF!,4,FALSE)</calculatedColumnFormula>
    </tableColumn>
    <tableColumn id="4" xr3:uid="{00000000-0010-0000-0500-000004000000}" name="Edge Type" dataDxfId="4">
      <calculatedColumnFormula>VLOOKUP(Table9[[#This Row],[Relationship]],#REF!,5,FALSE)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4A05B02-3BEC-4A4E-B290-3D2A0666FD92}" name="Table17" displayName="Table17" ref="L2:M8" totalsRowShown="0" headerRowDxfId="3" headerRowBorderDxfId="2" tableBorderDxfId="1">
  <autoFilter ref="L2:M8" xr:uid="{F4A05B02-3BEC-4A4E-B290-3D2A0666FD92}">
    <filterColumn colId="0" hiddenButton="1"/>
    <filterColumn colId="1" hiddenButton="1"/>
  </autoFilter>
  <tableColumns count="2">
    <tableColumn id="1" xr3:uid="{40CA6312-C899-4749-BCDA-AF390D153F0F}" name="Property"/>
    <tableColumn id="2" xr3:uid="{581429A2-99BD-4874-88A8-0DDB53FA3DA3}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magjac.com/graphviz-visual-editor/" TargetMode="Externa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opLeftCell="D1" workbookViewId="0">
      <selection activeCell="J10" sqref="J10"/>
    </sheetView>
  </sheetViews>
  <sheetFormatPr defaultRowHeight="15"/>
  <cols>
    <col min="1" max="1" width="15.85546875" bestFit="1" customWidth="1"/>
    <col min="2" max="2" width="27.28515625" bestFit="1" customWidth="1"/>
    <col min="3" max="3" width="21.140625" bestFit="1" customWidth="1"/>
    <col min="4" max="4" width="33.42578125" bestFit="1" customWidth="1"/>
    <col min="5" max="5" width="29.85546875" bestFit="1" customWidth="1"/>
    <col min="6" max="6" width="19.28515625" bestFit="1" customWidth="1"/>
    <col min="7" max="7" width="17.5703125" bestFit="1" customWidth="1"/>
    <col min="8" max="9" width="17.28515625" bestFit="1" customWidth="1"/>
    <col min="10" max="10" width="13.5703125" bestFit="1" customWidth="1"/>
  </cols>
  <sheetData>
    <row r="1" spans="1:10">
      <c r="A1" s="21" t="s">
        <v>0</v>
      </c>
      <c r="B1" s="24" t="s">
        <v>1</v>
      </c>
      <c r="C1" s="29" t="s">
        <v>2</v>
      </c>
      <c r="D1" s="24" t="s">
        <v>3</v>
      </c>
      <c r="E1" s="29" t="s">
        <v>4</v>
      </c>
      <c r="F1" s="24" t="s">
        <v>5</v>
      </c>
      <c r="G1" s="29" t="s">
        <v>6</v>
      </c>
      <c r="H1" s="24" t="s">
        <v>7</v>
      </c>
      <c r="I1" s="22" t="s">
        <v>8</v>
      </c>
      <c r="J1" s="24" t="s">
        <v>65</v>
      </c>
    </row>
    <row r="2" spans="1:10">
      <c r="A2" s="20" t="s">
        <v>9</v>
      </c>
      <c r="B2" s="25">
        <v>38</v>
      </c>
      <c r="C2" s="30">
        <v>24</v>
      </c>
      <c r="D2" s="25">
        <v>30</v>
      </c>
      <c r="E2" s="30">
        <v>41</v>
      </c>
      <c r="F2" s="25">
        <v>1</v>
      </c>
      <c r="G2" s="30">
        <v>26</v>
      </c>
      <c r="H2" s="25">
        <v>27</v>
      </c>
      <c r="I2" s="23">
        <v>25</v>
      </c>
      <c r="J2" s="25">
        <v>2</v>
      </c>
    </row>
    <row r="3" spans="1:10">
      <c r="A3" s="20" t="s">
        <v>10</v>
      </c>
      <c r="B3" s="25"/>
      <c r="C3" s="30" t="s">
        <v>11</v>
      </c>
      <c r="D3" s="25" t="s">
        <v>12</v>
      </c>
      <c r="E3" s="30" t="s">
        <v>13</v>
      </c>
      <c r="F3" s="25"/>
      <c r="G3" s="30" t="s">
        <v>14</v>
      </c>
      <c r="H3" s="25" t="s">
        <v>15</v>
      </c>
      <c r="I3" s="23" t="s">
        <v>16</v>
      </c>
      <c r="J3" s="25" t="s">
        <v>65</v>
      </c>
    </row>
    <row r="4" spans="1:10">
      <c r="A4" s="20" t="s">
        <v>17</v>
      </c>
      <c r="B4" s="25" t="s">
        <v>1</v>
      </c>
      <c r="C4" s="30" t="s">
        <v>2</v>
      </c>
      <c r="D4" s="25" t="s">
        <v>3</v>
      </c>
      <c r="E4" s="30" t="s">
        <v>3</v>
      </c>
      <c r="F4" s="25" t="s">
        <v>5</v>
      </c>
      <c r="G4" s="30" t="s">
        <v>18</v>
      </c>
      <c r="H4" s="25" t="s">
        <v>18</v>
      </c>
      <c r="I4" s="23" t="s">
        <v>18</v>
      </c>
      <c r="J4" s="25" t="s">
        <v>18</v>
      </c>
    </row>
    <row r="5" spans="1:10">
      <c r="A5" s="20" t="s">
        <v>19</v>
      </c>
      <c r="B5" s="25" t="s">
        <v>1</v>
      </c>
      <c r="C5" s="30" t="s">
        <v>2</v>
      </c>
      <c r="D5" s="25" t="s">
        <v>3</v>
      </c>
      <c r="E5" s="30" t="s">
        <v>3</v>
      </c>
      <c r="F5" s="25" t="s">
        <v>20</v>
      </c>
      <c r="G5" s="30" t="s">
        <v>21</v>
      </c>
      <c r="H5" s="25" t="s">
        <v>21</v>
      </c>
      <c r="I5" s="23" t="s">
        <v>21</v>
      </c>
      <c r="J5" s="25" t="s">
        <v>18</v>
      </c>
    </row>
    <row r="6" spans="1:10">
      <c r="A6" s="20" t="s">
        <v>22</v>
      </c>
      <c r="B6" s="25" t="s">
        <v>23</v>
      </c>
      <c r="C6" s="30" t="s">
        <v>24</v>
      </c>
      <c r="D6" s="25" t="s">
        <v>25</v>
      </c>
      <c r="E6" s="30" t="s">
        <v>25</v>
      </c>
      <c r="F6" s="25" t="s">
        <v>5</v>
      </c>
      <c r="G6" s="30">
        <v>7310</v>
      </c>
      <c r="H6" s="25">
        <v>7309</v>
      </c>
      <c r="I6" s="23">
        <v>68877</v>
      </c>
      <c r="J6" s="25">
        <v>7163</v>
      </c>
    </row>
    <row r="7" spans="1:10">
      <c r="A7" s="20" t="s">
        <v>26</v>
      </c>
      <c r="B7" s="25" t="s">
        <v>27</v>
      </c>
      <c r="C7" s="30" t="s">
        <v>11</v>
      </c>
      <c r="D7" s="25" t="s">
        <v>28</v>
      </c>
      <c r="E7" s="30" t="s">
        <v>28</v>
      </c>
      <c r="F7" s="25" t="s">
        <v>29</v>
      </c>
      <c r="G7" s="30" t="s">
        <v>30</v>
      </c>
      <c r="H7" s="25" t="s">
        <v>31</v>
      </c>
      <c r="I7" s="23" t="s">
        <v>32</v>
      </c>
      <c r="J7" s="25" t="s">
        <v>65</v>
      </c>
    </row>
    <row r="8" spans="1:10">
      <c r="A8" s="20" t="s">
        <v>33</v>
      </c>
      <c r="B8" s="25" t="s">
        <v>34</v>
      </c>
      <c r="C8" s="30" t="s">
        <v>34</v>
      </c>
      <c r="D8" s="25" t="s">
        <v>34</v>
      </c>
      <c r="E8" s="30" t="s">
        <v>34</v>
      </c>
      <c r="F8" s="25" t="s">
        <v>34</v>
      </c>
      <c r="G8" s="30" t="s">
        <v>35</v>
      </c>
      <c r="H8" s="25" t="s">
        <v>35</v>
      </c>
      <c r="I8" s="23" t="s">
        <v>35</v>
      </c>
      <c r="J8" s="25" t="s">
        <v>35</v>
      </c>
    </row>
    <row r="9" spans="1:10">
      <c r="A9" s="20" t="s">
        <v>36</v>
      </c>
      <c r="B9" s="25"/>
      <c r="C9" s="30"/>
      <c r="D9" s="25"/>
      <c r="E9" s="30"/>
      <c r="F9" s="25"/>
      <c r="G9" s="30"/>
      <c r="H9" s="25"/>
      <c r="I9" s="23"/>
      <c r="J9" s="25"/>
    </row>
    <row r="10" spans="1:10">
      <c r="A10" s="20" t="s">
        <v>37</v>
      </c>
      <c r="B10" s="25" t="s">
        <v>38</v>
      </c>
      <c r="C10" s="30" t="s">
        <v>39</v>
      </c>
      <c r="D10" s="25" t="s">
        <v>40</v>
      </c>
      <c r="E10" s="30" t="s">
        <v>40</v>
      </c>
      <c r="F10" s="25" t="s">
        <v>41</v>
      </c>
      <c r="G10" s="30" t="s">
        <v>42</v>
      </c>
      <c r="H10" s="25" t="s">
        <v>43</v>
      </c>
      <c r="I10" s="23" t="s">
        <v>44</v>
      </c>
      <c r="J10" s="25" t="s">
        <v>66</v>
      </c>
    </row>
    <row r="11" spans="1:10">
      <c r="A11" s="20" t="s">
        <v>45</v>
      </c>
      <c r="B11" s="25">
        <v>1.231E-2</v>
      </c>
      <c r="C11" s="30">
        <v>2.2229999999999996E-2</v>
      </c>
      <c r="D11" s="25">
        <v>2.2239999999999996E-2</v>
      </c>
      <c r="E11" s="30">
        <v>2.2149999999999996E-2</v>
      </c>
      <c r="F11" s="25">
        <v>1.01</v>
      </c>
      <c r="G11" s="30">
        <v>1.0609999999999999</v>
      </c>
      <c r="H11" s="25">
        <v>1.0620000000000001</v>
      </c>
      <c r="I11" s="23">
        <v>1.0629999999999999</v>
      </c>
      <c r="J11" s="25"/>
    </row>
    <row r="12" spans="1:10">
      <c r="A12" s="21" t="s">
        <v>46</v>
      </c>
      <c r="B12" s="26">
        <v>8.0340000000000007</v>
      </c>
      <c r="C12" s="31">
        <v>34.448</v>
      </c>
      <c r="D12" s="26">
        <v>74.649000000000001</v>
      </c>
      <c r="E12" s="31">
        <v>630.57399999999996</v>
      </c>
      <c r="F12" s="26">
        <v>28951.626</v>
      </c>
      <c r="G12" s="31">
        <v>1776</v>
      </c>
      <c r="H12" s="26">
        <v>2556.6759999999999</v>
      </c>
      <c r="I12" s="34">
        <v>4332.6760000000004</v>
      </c>
      <c r="J12" s="26"/>
    </row>
    <row r="13" spans="1:10">
      <c r="A13" s="20" t="s">
        <v>47</v>
      </c>
      <c r="B13" s="27">
        <v>2.484</v>
      </c>
      <c r="C13" s="32">
        <v>4.0359999999999996</v>
      </c>
      <c r="D13" s="27">
        <v>5.2240000000000002</v>
      </c>
      <c r="E13" s="32">
        <v>10.64</v>
      </c>
      <c r="F13" s="27">
        <v>38.097999999999999</v>
      </c>
      <c r="G13" s="32">
        <v>15.026</v>
      </c>
      <c r="H13" s="27">
        <v>16.966000000000001</v>
      </c>
      <c r="I13" s="35">
        <v>20.225999999999999</v>
      </c>
      <c r="J13" s="27"/>
    </row>
    <row r="14" spans="1:10">
      <c r="A14" s="20" t="s">
        <v>48</v>
      </c>
      <c r="B14" s="27"/>
      <c r="C14" s="32"/>
      <c r="D14" s="27"/>
      <c r="E14" s="32"/>
      <c r="F14" s="27">
        <v>16.512133585017349</v>
      </c>
      <c r="G14" s="32"/>
      <c r="H14" s="27"/>
      <c r="I14" s="35"/>
      <c r="J14" s="27"/>
    </row>
    <row r="15" spans="1:10">
      <c r="A15" s="20" t="s">
        <v>49</v>
      </c>
      <c r="B15" s="25">
        <v>2.6</v>
      </c>
      <c r="C15" s="30">
        <v>3.6</v>
      </c>
      <c r="D15" s="25">
        <v>4.5999999999999996</v>
      </c>
      <c r="E15" s="30">
        <v>9.8000000000000007</v>
      </c>
      <c r="F15" s="25">
        <v>33.799999999999997</v>
      </c>
      <c r="G15" s="30">
        <v>24.2</v>
      </c>
      <c r="H15" s="25">
        <v>23.799999999999997</v>
      </c>
      <c r="I15" s="23">
        <v>25</v>
      </c>
      <c r="J15" s="25"/>
    </row>
    <row r="16" spans="1:10">
      <c r="A16" s="20" t="s">
        <v>50</v>
      </c>
      <c r="B16" s="25">
        <v>-0.4</v>
      </c>
      <c r="C16" s="30">
        <v>0</v>
      </c>
      <c r="D16" s="25">
        <v>0.6</v>
      </c>
      <c r="E16" s="30">
        <v>1.4</v>
      </c>
      <c r="F16" s="25">
        <v>10.6</v>
      </c>
      <c r="G16" s="30">
        <v>5.8</v>
      </c>
      <c r="H16" s="25">
        <v>6.6</v>
      </c>
      <c r="I16" s="23">
        <v>6.6</v>
      </c>
      <c r="J16" s="25"/>
    </row>
    <row r="17" spans="1:10">
      <c r="A17" s="20" t="s">
        <v>51</v>
      </c>
      <c r="B17" s="25">
        <v>-3</v>
      </c>
      <c r="C17" s="30">
        <v>-3.6</v>
      </c>
      <c r="D17" s="25">
        <v>-4</v>
      </c>
      <c r="E17" s="30">
        <v>-8.4</v>
      </c>
      <c r="F17" s="25">
        <v>-23.2</v>
      </c>
      <c r="G17" s="30">
        <v>-18.399999999999999</v>
      </c>
      <c r="H17" s="25">
        <v>-17.2</v>
      </c>
      <c r="I17" s="23">
        <v>-18.399999999999999</v>
      </c>
      <c r="J17" s="25"/>
    </row>
    <row r="18" spans="1:10">
      <c r="A18" s="19" t="s">
        <v>52</v>
      </c>
      <c r="B18" s="28" t="s">
        <v>53</v>
      </c>
      <c r="C18" s="33" t="s">
        <v>54</v>
      </c>
      <c r="D18" s="28" t="s">
        <v>55</v>
      </c>
      <c r="E18" s="33" t="s">
        <v>56</v>
      </c>
      <c r="F18" s="28" t="s">
        <v>57</v>
      </c>
      <c r="G18" s="33" t="s">
        <v>58</v>
      </c>
      <c r="H18" s="28" t="s">
        <v>59</v>
      </c>
      <c r="I18" s="36" t="s">
        <v>60</v>
      </c>
      <c r="J18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"/>
  <sheetViews>
    <sheetView workbookViewId="0">
      <selection activeCell="A10" sqref="A10:R10"/>
    </sheetView>
  </sheetViews>
  <sheetFormatPr defaultRowHeight="15"/>
  <cols>
    <col min="1" max="1" width="12.85546875" customWidth="1"/>
    <col min="2" max="2" width="4.140625" customWidth="1"/>
    <col min="3" max="3" width="33.42578125" bestFit="1" customWidth="1"/>
    <col min="4" max="4" width="13.85546875" customWidth="1"/>
    <col min="5" max="5" width="12.85546875" customWidth="1"/>
    <col min="6" max="6" width="7.5703125" customWidth="1"/>
    <col min="7" max="7" width="29.85546875" bestFit="1" customWidth="1"/>
    <col min="8" max="8" width="19.28515625" bestFit="1" customWidth="1"/>
    <col min="9" max="9" width="17.5703125" customWidth="1"/>
    <col min="10" max="10" width="13.5703125" bestFit="1" customWidth="1"/>
    <col min="11" max="11" width="11.5703125" customWidth="1"/>
    <col min="12" max="12" width="9.85546875" customWidth="1"/>
    <col min="13" max="13" width="13" customWidth="1"/>
    <col min="14" max="14" width="9.28515625" customWidth="1"/>
    <col min="15" max="15" width="8.85546875" customWidth="1"/>
    <col min="16" max="16" width="11" customWidth="1"/>
    <col min="17" max="17" width="10" customWidth="1"/>
    <col min="18" max="18" width="17.5703125" bestFit="1" customWidth="1"/>
  </cols>
  <sheetData>
    <row r="1" spans="1:18">
      <c r="A1" t="s">
        <v>0</v>
      </c>
      <c r="B1" t="s">
        <v>9</v>
      </c>
      <c r="C1" t="s">
        <v>10</v>
      </c>
      <c r="D1" t="s">
        <v>17</v>
      </c>
      <c r="E1" t="s">
        <v>19</v>
      </c>
      <c r="F1" t="s">
        <v>22</v>
      </c>
      <c r="G1" t="s">
        <v>26</v>
      </c>
      <c r="H1" t="s">
        <v>33</v>
      </c>
      <c r="I1" t="s">
        <v>36</v>
      </c>
      <c r="J1" t="s">
        <v>37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</row>
    <row r="2" spans="1:18">
      <c r="A2" t="s">
        <v>1</v>
      </c>
      <c r="B2">
        <v>38</v>
      </c>
      <c r="D2" t="s">
        <v>1</v>
      </c>
      <c r="E2" t="s">
        <v>1</v>
      </c>
      <c r="F2" t="s">
        <v>23</v>
      </c>
      <c r="G2" t="s">
        <v>27</v>
      </c>
      <c r="H2" t="s">
        <v>34</v>
      </c>
      <c r="J2" t="s">
        <v>38</v>
      </c>
      <c r="K2">
        <v>1.231E-2</v>
      </c>
      <c r="L2">
        <v>8.0340000000000007</v>
      </c>
      <c r="M2">
        <v>2.484</v>
      </c>
      <c r="O2">
        <v>2.6</v>
      </c>
      <c r="P2">
        <v>-0.4</v>
      </c>
      <c r="Q2">
        <v>-3</v>
      </c>
      <c r="R2" t="s">
        <v>53</v>
      </c>
    </row>
    <row r="3" spans="1:18">
      <c r="A3" t="s">
        <v>2</v>
      </c>
      <c r="B3">
        <v>24</v>
      </c>
      <c r="C3" t="s">
        <v>11</v>
      </c>
      <c r="D3" t="s">
        <v>2</v>
      </c>
      <c r="E3" t="s">
        <v>2</v>
      </c>
      <c r="F3" t="s">
        <v>24</v>
      </c>
      <c r="G3" t="s">
        <v>11</v>
      </c>
      <c r="H3" t="s">
        <v>34</v>
      </c>
      <c r="J3" t="s">
        <v>39</v>
      </c>
      <c r="K3">
        <v>2.2229999999999996E-2</v>
      </c>
      <c r="L3">
        <v>34.448</v>
      </c>
      <c r="M3">
        <v>4.0359999999999996</v>
      </c>
      <c r="O3">
        <v>3.6</v>
      </c>
      <c r="P3">
        <v>0</v>
      </c>
      <c r="Q3">
        <v>-3.6</v>
      </c>
      <c r="R3" t="s">
        <v>54</v>
      </c>
    </row>
    <row r="4" spans="1:18">
      <c r="A4" t="s">
        <v>3</v>
      </c>
      <c r="B4">
        <v>30</v>
      </c>
      <c r="C4" t="s">
        <v>12</v>
      </c>
      <c r="D4" t="s">
        <v>3</v>
      </c>
      <c r="E4" t="s">
        <v>3</v>
      </c>
      <c r="F4" t="s">
        <v>25</v>
      </c>
      <c r="G4" t="s">
        <v>28</v>
      </c>
      <c r="H4" t="s">
        <v>34</v>
      </c>
      <c r="J4" t="s">
        <v>40</v>
      </c>
      <c r="K4">
        <v>2.2239999999999996E-2</v>
      </c>
      <c r="L4">
        <v>74.649000000000001</v>
      </c>
      <c r="M4">
        <v>5.2240000000000002</v>
      </c>
      <c r="O4">
        <v>4.5999999999999996</v>
      </c>
      <c r="P4">
        <v>0.6</v>
      </c>
      <c r="Q4">
        <v>-4</v>
      </c>
      <c r="R4" t="s">
        <v>55</v>
      </c>
    </row>
    <row r="5" spans="1:18">
      <c r="A5" t="s">
        <v>61</v>
      </c>
      <c r="B5">
        <v>41</v>
      </c>
      <c r="C5" t="s">
        <v>13</v>
      </c>
      <c r="D5" t="s">
        <v>3</v>
      </c>
      <c r="E5" t="s">
        <v>3</v>
      </c>
      <c r="F5" t="s">
        <v>25</v>
      </c>
      <c r="G5" t="s">
        <v>28</v>
      </c>
      <c r="H5" t="s">
        <v>34</v>
      </c>
      <c r="J5" t="s">
        <v>40</v>
      </c>
      <c r="K5">
        <v>2.2149999999999996E-2</v>
      </c>
      <c r="L5">
        <v>630.57399999999996</v>
      </c>
      <c r="M5">
        <v>10.64</v>
      </c>
      <c r="O5">
        <v>9.8000000000000007</v>
      </c>
      <c r="P5">
        <v>1.4</v>
      </c>
      <c r="Q5">
        <v>-8.4</v>
      </c>
      <c r="R5" t="s">
        <v>56</v>
      </c>
    </row>
    <row r="6" spans="1:18">
      <c r="A6" t="s">
        <v>29</v>
      </c>
      <c r="B6">
        <v>1</v>
      </c>
      <c r="D6" t="s">
        <v>5</v>
      </c>
      <c r="E6" t="s">
        <v>20</v>
      </c>
      <c r="F6" t="s">
        <v>5</v>
      </c>
      <c r="G6" t="s">
        <v>29</v>
      </c>
      <c r="H6" t="s">
        <v>34</v>
      </c>
      <c r="J6" t="s">
        <v>41</v>
      </c>
      <c r="K6">
        <v>1.01</v>
      </c>
      <c r="L6">
        <v>28951.626</v>
      </c>
      <c r="M6">
        <v>38.097999999999999</v>
      </c>
      <c r="N6">
        <v>16.512133585017349</v>
      </c>
      <c r="O6">
        <v>33.799999999999997</v>
      </c>
      <c r="P6">
        <v>10.6</v>
      </c>
      <c r="Q6">
        <v>-23.2</v>
      </c>
      <c r="R6" t="s">
        <v>57</v>
      </c>
    </row>
    <row r="7" spans="1:18">
      <c r="A7" t="s">
        <v>62</v>
      </c>
      <c r="B7">
        <v>26</v>
      </c>
      <c r="C7" t="s">
        <v>14</v>
      </c>
      <c r="D7" t="s">
        <v>18</v>
      </c>
      <c r="E7" t="s">
        <v>21</v>
      </c>
      <c r="F7">
        <v>7310</v>
      </c>
      <c r="G7" t="s">
        <v>30</v>
      </c>
      <c r="H7" t="s">
        <v>35</v>
      </c>
      <c r="J7" t="s">
        <v>42</v>
      </c>
      <c r="K7">
        <v>1.0609999999999999</v>
      </c>
      <c r="L7">
        <v>1776</v>
      </c>
      <c r="M7">
        <v>15.026</v>
      </c>
      <c r="O7">
        <v>24.2</v>
      </c>
      <c r="P7">
        <v>5.8</v>
      </c>
      <c r="Q7">
        <v>-18.399999999999999</v>
      </c>
      <c r="R7" t="s">
        <v>58</v>
      </c>
    </row>
    <row r="8" spans="1:18">
      <c r="A8" t="s">
        <v>63</v>
      </c>
      <c r="B8">
        <v>27</v>
      </c>
      <c r="C8" t="s">
        <v>15</v>
      </c>
      <c r="D8" t="s">
        <v>18</v>
      </c>
      <c r="E8" t="s">
        <v>21</v>
      </c>
      <c r="F8">
        <v>7309</v>
      </c>
      <c r="G8" t="s">
        <v>31</v>
      </c>
      <c r="H8" t="s">
        <v>35</v>
      </c>
      <c r="J8" t="s">
        <v>43</v>
      </c>
      <c r="K8">
        <v>1.0620000000000001</v>
      </c>
      <c r="L8">
        <v>2556.6759999999999</v>
      </c>
      <c r="M8">
        <v>16.966000000000001</v>
      </c>
      <c r="O8">
        <v>23.799999999999997</v>
      </c>
      <c r="P8">
        <v>6.6</v>
      </c>
      <c r="Q8">
        <v>-17.2</v>
      </c>
      <c r="R8" t="s">
        <v>59</v>
      </c>
    </row>
    <row r="9" spans="1:18">
      <c r="A9" t="s">
        <v>64</v>
      </c>
      <c r="B9">
        <v>25</v>
      </c>
      <c r="C9" t="s">
        <v>16</v>
      </c>
      <c r="D9" t="s">
        <v>18</v>
      </c>
      <c r="E9" t="s">
        <v>21</v>
      </c>
      <c r="F9">
        <v>68877</v>
      </c>
      <c r="G9" t="s">
        <v>32</v>
      </c>
      <c r="H9" t="s">
        <v>35</v>
      </c>
      <c r="J9" t="s">
        <v>44</v>
      </c>
      <c r="K9">
        <v>1.0629999999999999</v>
      </c>
      <c r="L9">
        <v>4332.6760000000004</v>
      </c>
      <c r="M9">
        <v>20.225999999999999</v>
      </c>
      <c r="O9">
        <v>25</v>
      </c>
      <c r="P9">
        <v>6.6</v>
      </c>
      <c r="Q9">
        <v>-18.399999999999999</v>
      </c>
      <c r="R9" t="s">
        <v>60</v>
      </c>
    </row>
    <row r="10" spans="1:18">
      <c r="A10" t="s">
        <v>65</v>
      </c>
      <c r="C10" t="s">
        <v>65</v>
      </c>
      <c r="D10" s="43" t="s">
        <v>18</v>
      </c>
      <c r="E10" s="43" t="s">
        <v>18</v>
      </c>
      <c r="F10" s="41">
        <v>7163</v>
      </c>
      <c r="G10" s="42" t="s">
        <v>65</v>
      </c>
      <c r="H10" s="42" t="s">
        <v>35</v>
      </c>
      <c r="J10" s="40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D3F6-5D21-4A1A-81BC-54F0FE1D090C}">
  <dimension ref="A1:T20"/>
  <sheetViews>
    <sheetView zoomScale="98" zoomScaleNormal="98" workbookViewId="0">
      <selection activeCell="J5" sqref="J5"/>
    </sheetView>
  </sheetViews>
  <sheetFormatPr defaultRowHeight="15"/>
  <cols>
    <col min="1" max="1" width="15.85546875" bestFit="1" customWidth="1"/>
    <col min="2" max="2" width="4.42578125" bestFit="1" customWidth="1"/>
    <col min="3" max="3" width="16.5703125" bestFit="1" customWidth="1"/>
    <col min="4" max="4" width="4.28515625" bestFit="1" customWidth="1"/>
    <col min="5" max="5" width="15.85546875" bestFit="1" customWidth="1"/>
    <col min="6" max="6" width="4.28515625" bestFit="1" customWidth="1"/>
    <col min="7" max="7" width="15.85546875" bestFit="1" customWidth="1"/>
    <col min="8" max="8" width="8.7109375" bestFit="1" customWidth="1"/>
    <col min="9" max="9" width="15.85546875" bestFit="1" customWidth="1"/>
    <col min="10" max="10" width="5.28515625" bestFit="1" customWidth="1"/>
    <col min="11" max="11" width="18" bestFit="1" customWidth="1"/>
    <col min="12" max="12" width="6.85546875" bestFit="1" customWidth="1"/>
    <col min="13" max="13" width="16.85546875" bestFit="1" customWidth="1"/>
    <col min="14" max="14" width="7.140625" bestFit="1" customWidth="1"/>
    <col min="15" max="15" width="16.85546875" bestFit="1" customWidth="1"/>
    <col min="16" max="16" width="7.140625" bestFit="1" customWidth="1"/>
    <col min="17" max="17" width="16.85546875" bestFit="1" customWidth="1"/>
    <col min="18" max="18" width="4.7109375" bestFit="1" customWidth="1"/>
    <col min="19" max="19" width="18" bestFit="1" customWidth="1"/>
    <col min="20" max="20" width="9.85546875" customWidth="1"/>
    <col min="21" max="21" width="13" customWidth="1"/>
    <col min="22" max="22" width="9.28515625" customWidth="1"/>
    <col min="23" max="23" width="8.85546875" customWidth="1"/>
    <col min="24" max="24" width="11" customWidth="1"/>
    <col min="25" max="25" width="10" customWidth="1"/>
    <col min="26" max="26" width="17.5703125" bestFit="1" customWidth="1"/>
  </cols>
  <sheetData>
    <row r="1" spans="1:19">
      <c r="A1" s="49" t="s">
        <v>67</v>
      </c>
      <c r="B1" s="53" t="s">
        <v>1</v>
      </c>
      <c r="C1" s="52" t="str">
        <f>IF(ISBLANK(B1),"",CONCATENATE($A1,": ",B1))</f>
        <v>ID: GTV</v>
      </c>
      <c r="D1" s="53" t="s">
        <v>2</v>
      </c>
      <c r="E1" s="52" t="str">
        <f>IF(ISBLANK(D1),"",CONCATENATE($A1,": ",D1))</f>
        <v>ID: CTV</v>
      </c>
      <c r="F1" s="53" t="s">
        <v>3</v>
      </c>
      <c r="G1" s="52" t="str">
        <f>IF(ISBLANK(F1),"",CONCATENATE($A1,": ",F1))</f>
        <v>ID: PTV</v>
      </c>
      <c r="H1" s="53" t="s">
        <v>61</v>
      </c>
      <c r="I1" s="52" t="str">
        <f>IF(ISBLANK(H1),"",CONCATENATE($A1,": ",H1))</f>
        <v>ID: eval_PTV</v>
      </c>
      <c r="J1" s="53" t="s">
        <v>29</v>
      </c>
      <c r="K1" s="52" t="str">
        <f>IF(ISBLANK(J1),"",CONCATENATE($A1,": ",J1))</f>
        <v>ID: Body</v>
      </c>
      <c r="L1" s="53" t="s">
        <v>62</v>
      </c>
      <c r="M1" s="52" t="str">
        <f>IF(ISBLANK(L1),"",CONCATENATE($A1,": ",L1))</f>
        <v>ID: Lung_L</v>
      </c>
      <c r="N1" s="53" t="s">
        <v>63</v>
      </c>
      <c r="O1" s="52" t="str">
        <f>IF(ISBLANK(N1),"",CONCATENATE($A1,": ",N1))</f>
        <v>ID: Lung_R</v>
      </c>
      <c r="P1" s="53" t="s">
        <v>64</v>
      </c>
      <c r="Q1" s="52" t="str">
        <f>IF(ISBLANK(P1),"",CONCATENATE($A1,": ",P1))</f>
        <v>ID: Lung_B</v>
      </c>
      <c r="R1" s="53" t="s">
        <v>65</v>
      </c>
      <c r="S1" s="52" t="str">
        <f>IF(ISBLANK(R1),"",CONCATENATE($A1,": ",R1))</f>
        <v>ID: Skin</v>
      </c>
    </row>
    <row r="2" spans="1:19">
      <c r="A2" s="50" t="s">
        <v>68</v>
      </c>
      <c r="B2" s="51">
        <v>38</v>
      </c>
      <c r="C2" s="52" t="str">
        <f t="shared" ref="C2:E2" si="0">IF(ISBLANK(B2),"",CONCATENATE($A2,": ",B2))</f>
        <v>ROI: 38</v>
      </c>
      <c r="D2" s="51">
        <v>24</v>
      </c>
      <c r="E2" s="52" t="str">
        <f t="shared" si="0"/>
        <v>ROI: 24</v>
      </c>
      <c r="F2" s="51">
        <v>30</v>
      </c>
      <c r="G2" s="52" t="str">
        <f t="shared" ref="G2" si="1">IF(ISBLANK(F2),"",CONCATENATE($A2,": ",F2))</f>
        <v>ROI: 30</v>
      </c>
      <c r="H2" s="51">
        <v>41</v>
      </c>
      <c r="I2" s="52" t="str">
        <f t="shared" ref="I2" si="2">IF(ISBLANK(H2),"",CONCATENATE($A2,": ",H2))</f>
        <v>ROI: 41</v>
      </c>
      <c r="J2" s="51">
        <v>1</v>
      </c>
      <c r="K2" s="52" t="str">
        <f t="shared" ref="K2:M2" si="3">IF(ISBLANK(J2),"",CONCATENATE($A2,": ",J2))</f>
        <v>ROI: 1</v>
      </c>
      <c r="L2" s="51">
        <v>26</v>
      </c>
      <c r="M2" s="52" t="str">
        <f t="shared" si="3"/>
        <v>ROI: 26</v>
      </c>
      <c r="N2" s="51">
        <v>27</v>
      </c>
      <c r="O2" s="52" t="str">
        <f t="shared" ref="O2:Q2" si="4">IF(ISBLANK(N2),"",CONCATENATE($A2,": ",N2))</f>
        <v>ROI: 27</v>
      </c>
      <c r="P2" s="51">
        <v>25</v>
      </c>
      <c r="Q2" s="52" t="str">
        <f t="shared" si="4"/>
        <v>ROI: 25</v>
      </c>
      <c r="R2" s="51"/>
      <c r="S2" s="52" t="str">
        <f t="shared" ref="S2" si="5">IF(ISBLANK(R2),"",CONCATENATE($A2,": ",R2))</f>
        <v/>
      </c>
    </row>
    <row r="3" spans="1:19">
      <c r="A3" s="50" t="s">
        <v>69</v>
      </c>
      <c r="B3" s="51"/>
      <c r="C3" s="52" t="str">
        <f t="shared" ref="C3:E3" si="6">IF(ISBLANK(B3),"",CONCATENATE($A3,": ",B3))</f>
        <v/>
      </c>
      <c r="D3" s="51" t="s">
        <v>11</v>
      </c>
      <c r="E3" s="52" t="str">
        <f t="shared" si="6"/>
        <v>Name: Internal Target Volume</v>
      </c>
      <c r="F3" s="51" t="s">
        <v>12</v>
      </c>
      <c r="G3" s="52" t="str">
        <f t="shared" ref="G3" si="7">IF(ISBLANK(F3),"",CONCATENATE($A3,": ",F3))</f>
        <v>Name: PTV defined by Radiation Oncologist</v>
      </c>
      <c r="H3" s="51" t="s">
        <v>13</v>
      </c>
      <c r="I3" s="52" t="str">
        <f t="shared" ref="I3" si="8">IF(ISBLANK(H3),"",CONCATENATE($A3,": ",H3))</f>
        <v>Name: PTV High Risk for dvh</v>
      </c>
      <c r="J3" s="51"/>
      <c r="K3" s="52" t="str">
        <f t="shared" ref="K3:M3" si="9">IF(ISBLANK(J3),"",CONCATENATE($A3,": ",J3))</f>
        <v/>
      </c>
      <c r="L3" s="51" t="s">
        <v>14</v>
      </c>
      <c r="M3" s="52" t="str">
        <f t="shared" si="9"/>
        <v>Name: Left Lung</v>
      </c>
      <c r="N3" s="51" t="s">
        <v>15</v>
      </c>
      <c r="O3" s="52" t="str">
        <f t="shared" ref="O3:Q3" si="10">IF(ISBLANK(N3),"",CONCATENATE($A3,": ",N3))</f>
        <v>Name: Right Lung</v>
      </c>
      <c r="P3" s="51" t="s">
        <v>16</v>
      </c>
      <c r="Q3" s="52" t="str">
        <f t="shared" si="10"/>
        <v>Name: Both Lungs</v>
      </c>
      <c r="R3" s="51" t="s">
        <v>65</v>
      </c>
      <c r="S3" s="52" t="str">
        <f t="shared" ref="S3" si="11">IF(ISBLANK(R3),"",CONCATENATE($A3,": ",R3))</f>
        <v>Name: Skin</v>
      </c>
    </row>
    <row r="4" spans="1:19">
      <c r="A4" s="50" t="s">
        <v>17</v>
      </c>
      <c r="B4" s="51" t="s">
        <v>1</v>
      </c>
      <c r="C4" s="52" t="str">
        <f t="shared" ref="C4:E4" si="12">IF(ISBLANK(B4),"",CONCATENATE($A4,": ",B4))</f>
        <v>VolumeType: GTV</v>
      </c>
      <c r="D4" s="51" t="s">
        <v>2</v>
      </c>
      <c r="E4" s="52" t="str">
        <f t="shared" si="12"/>
        <v>VolumeType: CTV</v>
      </c>
      <c r="F4" s="51" t="s">
        <v>3</v>
      </c>
      <c r="G4" s="52" t="str">
        <f t="shared" ref="G4" si="13">IF(ISBLANK(F4),"",CONCATENATE($A4,": ",F4))</f>
        <v>VolumeType: PTV</v>
      </c>
      <c r="H4" s="51" t="s">
        <v>3</v>
      </c>
      <c r="I4" s="52" t="str">
        <f t="shared" ref="I4" si="14">IF(ISBLANK(H4),"",CONCATENATE($A4,": ",H4))</f>
        <v>VolumeType: PTV</v>
      </c>
      <c r="J4" s="51" t="s">
        <v>5</v>
      </c>
      <c r="K4" s="52" t="str">
        <f t="shared" ref="K4:M4" si="15">IF(ISBLANK(J4),"",CONCATENATE($A4,": ",J4))</f>
        <v>VolumeType: BODY</v>
      </c>
      <c r="L4" s="51" t="s">
        <v>18</v>
      </c>
      <c r="M4" s="52" t="str">
        <f t="shared" si="15"/>
        <v>VolumeType: Organ</v>
      </c>
      <c r="N4" s="51" t="s">
        <v>18</v>
      </c>
      <c r="O4" s="52" t="str">
        <f t="shared" ref="O4:Q4" si="16">IF(ISBLANK(N4),"",CONCATENATE($A4,": ",N4))</f>
        <v>VolumeType: Organ</v>
      </c>
      <c r="P4" s="51" t="s">
        <v>18</v>
      </c>
      <c r="Q4" s="52" t="str">
        <f t="shared" si="16"/>
        <v>VolumeType: Organ</v>
      </c>
      <c r="R4" s="51" t="s">
        <v>18</v>
      </c>
      <c r="S4" s="52" t="str">
        <f t="shared" ref="S4" si="17">IF(ISBLANK(R4),"",CONCATENATE($A4,": ",R4))</f>
        <v>VolumeType: Organ</v>
      </c>
    </row>
    <row r="5" spans="1:19">
      <c r="A5" s="50" t="s">
        <v>19</v>
      </c>
      <c r="B5" s="51" t="s">
        <v>1</v>
      </c>
      <c r="C5" s="52" t="str">
        <f t="shared" ref="C5:E5" si="18">IF(ISBLANK(B5),"",CONCATENATE($A5,": ",B5))</f>
        <v>DicomType: GTV</v>
      </c>
      <c r="D5" s="51" t="s">
        <v>2</v>
      </c>
      <c r="E5" s="52" t="str">
        <f t="shared" si="18"/>
        <v>DicomType: CTV</v>
      </c>
      <c r="F5" s="51" t="s">
        <v>3</v>
      </c>
      <c r="G5" s="52" t="str">
        <f t="shared" ref="G5" si="19">IF(ISBLANK(F5),"",CONCATENATE($A5,": ",F5))</f>
        <v>DicomType: PTV</v>
      </c>
      <c r="H5" s="51" t="s">
        <v>3</v>
      </c>
      <c r="I5" s="52" t="str">
        <f t="shared" ref="I5" si="20">IF(ISBLANK(H5),"",CONCATENATE($A5,": ",H5))</f>
        <v>DicomType: PTV</v>
      </c>
      <c r="J5" s="51" t="s">
        <v>20</v>
      </c>
      <c r="K5" s="52" t="str">
        <f t="shared" ref="K5:M5" si="21">IF(ISBLANK(J5),"",CONCATENATE($A5,": ",J5))</f>
        <v>DicomType: EXTERNAL</v>
      </c>
      <c r="L5" s="51" t="s">
        <v>21</v>
      </c>
      <c r="M5" s="52" t="str">
        <f t="shared" si="21"/>
        <v>DicomType: ORGAN</v>
      </c>
      <c r="N5" s="51" t="s">
        <v>21</v>
      </c>
      <c r="O5" s="52" t="str">
        <f t="shared" ref="O5:Q5" si="22">IF(ISBLANK(N5),"",CONCATENATE($A5,": ",N5))</f>
        <v>DicomType: ORGAN</v>
      </c>
      <c r="P5" s="51" t="s">
        <v>21</v>
      </c>
      <c r="Q5" s="52" t="str">
        <f t="shared" si="22"/>
        <v>DicomType: ORGAN</v>
      </c>
      <c r="R5" s="51" t="s">
        <v>18</v>
      </c>
      <c r="S5" s="52" t="str">
        <f t="shared" ref="S5" si="23">IF(ISBLANK(R5),"",CONCATENATE($A5,": ",R5))</f>
        <v>DicomType: Organ</v>
      </c>
    </row>
    <row r="6" spans="1:19">
      <c r="A6" s="50" t="s">
        <v>22</v>
      </c>
      <c r="B6" s="51" t="s">
        <v>23</v>
      </c>
      <c r="C6" s="52" t="str">
        <f t="shared" ref="C6:E6" si="24">IF(ISBLANK(B6),"",CONCATENATE($A6,": ",B6))</f>
        <v>Code: GTVp</v>
      </c>
      <c r="D6" s="51" t="s">
        <v>24</v>
      </c>
      <c r="E6" s="52" t="str">
        <f t="shared" si="24"/>
        <v>Code: ITV</v>
      </c>
      <c r="F6" s="51" t="s">
        <v>25</v>
      </c>
      <c r="G6" s="52" t="str">
        <f t="shared" ref="G6" si="25">IF(ISBLANK(F6),"",CONCATENATE($A6,": ",F6))</f>
        <v>Code: PTVp</v>
      </c>
      <c r="H6" s="51" t="s">
        <v>25</v>
      </c>
      <c r="I6" s="52" t="str">
        <f t="shared" ref="I6" si="26">IF(ISBLANK(H6),"",CONCATENATE($A6,": ",H6))</f>
        <v>Code: PTVp</v>
      </c>
      <c r="J6" s="51" t="s">
        <v>5</v>
      </c>
      <c r="K6" s="52" t="str">
        <f t="shared" ref="K6:M6" si="27">IF(ISBLANK(J6),"",CONCATENATE($A6,": ",J6))</f>
        <v>Code: BODY</v>
      </c>
      <c r="L6" s="51">
        <v>7310</v>
      </c>
      <c r="M6" s="52" t="str">
        <f t="shared" si="27"/>
        <v>Code: 7310</v>
      </c>
      <c r="N6" s="51">
        <v>7309</v>
      </c>
      <c r="O6" s="52" t="str">
        <f t="shared" ref="O6:Q6" si="28">IF(ISBLANK(N6),"",CONCATENATE($A6,": ",N6))</f>
        <v>Code: 7309</v>
      </c>
      <c r="P6" s="51">
        <v>68877</v>
      </c>
      <c r="Q6" s="52" t="str">
        <f t="shared" si="28"/>
        <v>Code: 68877</v>
      </c>
      <c r="R6" s="51">
        <v>7163</v>
      </c>
      <c r="S6" s="52" t="str">
        <f t="shared" ref="S6" si="29">IF(ISBLANK(R6),"",CONCATENATE($A6,": ",R6))</f>
        <v>Code: 7163</v>
      </c>
    </row>
    <row r="7" spans="1:19">
      <c r="A7" s="50" t="s">
        <v>26</v>
      </c>
      <c r="B7" s="51" t="s">
        <v>27</v>
      </c>
      <c r="C7" s="52" t="str">
        <f t="shared" ref="C7:E7" si="30">IF(ISBLANK(B7),"",CONCATENATE($A7,": ",B7))</f>
        <v>Label: Primary Gross Tumor Volume</v>
      </c>
      <c r="D7" s="51" t="s">
        <v>11</v>
      </c>
      <c r="E7" s="52" t="str">
        <f t="shared" si="30"/>
        <v>Label: Internal Target Volume</v>
      </c>
      <c r="F7" s="51" t="s">
        <v>28</v>
      </c>
      <c r="G7" s="52" t="str">
        <f t="shared" ref="G7" si="31">IF(ISBLANK(F7),"",CONCATENATE($A7,": ",F7))</f>
        <v>Label: Primary Planning Target Volume</v>
      </c>
      <c r="H7" s="51" t="s">
        <v>28</v>
      </c>
      <c r="I7" s="52" t="str">
        <f t="shared" ref="I7" si="32">IF(ISBLANK(H7),"",CONCATENATE($A7,": ",H7))</f>
        <v>Label: Primary Planning Target Volume</v>
      </c>
      <c r="J7" s="51" t="s">
        <v>29</v>
      </c>
      <c r="K7" s="52" t="str">
        <f t="shared" ref="K7:M7" si="33">IF(ISBLANK(J7),"",CONCATENATE($A7,": ",J7))</f>
        <v>Label: Body</v>
      </c>
      <c r="L7" s="51" t="s">
        <v>30</v>
      </c>
      <c r="M7" s="52" t="str">
        <f t="shared" si="33"/>
        <v>Label: Left lung</v>
      </c>
      <c r="N7" s="51" t="s">
        <v>31</v>
      </c>
      <c r="O7" s="52" t="str">
        <f t="shared" ref="O7:Q7" si="34">IF(ISBLANK(N7),"",CONCATENATE($A7,": ",N7))</f>
        <v>Label: Right lung</v>
      </c>
      <c r="P7" s="51" t="s">
        <v>32</v>
      </c>
      <c r="Q7" s="52" t="str">
        <f t="shared" si="34"/>
        <v>Label: Pair of lungs</v>
      </c>
      <c r="R7" s="51" t="s">
        <v>65</v>
      </c>
      <c r="S7" s="52" t="str">
        <f t="shared" ref="S7" si="35">IF(ISBLANK(R7),"",CONCATENATE($A7,": ",R7))</f>
        <v>Label: Skin</v>
      </c>
    </row>
    <row r="8" spans="1:19">
      <c r="A8" s="50" t="s">
        <v>33</v>
      </c>
      <c r="B8" s="51" t="s">
        <v>34</v>
      </c>
      <c r="C8" s="52" t="str">
        <f t="shared" ref="C8:E8" si="36">IF(ISBLANK(B8),"",CONCATENATE($A8,": ",B8))</f>
        <v>Scheme: 99VMS_STRUCTCODE</v>
      </c>
      <c r="D8" s="51" t="s">
        <v>34</v>
      </c>
      <c r="E8" s="52" t="str">
        <f t="shared" si="36"/>
        <v>Scheme: 99VMS_STRUCTCODE</v>
      </c>
      <c r="F8" s="51" t="s">
        <v>34</v>
      </c>
      <c r="G8" s="52" t="str">
        <f t="shared" ref="G8" si="37">IF(ISBLANK(F8),"",CONCATENATE($A8,": ",F8))</f>
        <v>Scheme: 99VMS_STRUCTCODE</v>
      </c>
      <c r="H8" s="51" t="s">
        <v>34</v>
      </c>
      <c r="I8" s="52" t="str">
        <f t="shared" ref="I8" si="38">IF(ISBLANK(H8),"",CONCATENATE($A8,": ",H8))</f>
        <v>Scheme: 99VMS_STRUCTCODE</v>
      </c>
      <c r="J8" s="51" t="s">
        <v>34</v>
      </c>
      <c r="K8" s="52" t="str">
        <f t="shared" ref="K8:M8" si="39">IF(ISBLANK(J8),"",CONCATENATE($A8,": ",J8))</f>
        <v>Scheme: 99VMS_STRUCTCODE</v>
      </c>
      <c r="L8" s="51" t="s">
        <v>35</v>
      </c>
      <c r="M8" s="52" t="str">
        <f t="shared" si="39"/>
        <v>Scheme: FMA</v>
      </c>
      <c r="N8" s="51" t="s">
        <v>35</v>
      </c>
      <c r="O8" s="52" t="str">
        <f t="shared" ref="O8:Q8" si="40">IF(ISBLANK(N8),"",CONCATENATE($A8,": ",N8))</f>
        <v>Scheme: FMA</v>
      </c>
      <c r="P8" s="51" t="s">
        <v>35</v>
      </c>
      <c r="Q8" s="52" t="str">
        <f t="shared" si="40"/>
        <v>Scheme: FMA</v>
      </c>
      <c r="R8" s="51" t="s">
        <v>35</v>
      </c>
      <c r="S8" s="52" t="str">
        <f t="shared" ref="S8" si="41">IF(ISBLANK(R8),"",CONCATENATE($A8,": ",R8))</f>
        <v>Scheme: FMA</v>
      </c>
    </row>
    <row r="9" spans="1:19">
      <c r="A9" s="50" t="s">
        <v>46</v>
      </c>
      <c r="B9" s="54">
        <v>8.0340000000000007</v>
      </c>
      <c r="C9" s="52" t="str">
        <f>IF(ISBLANK(B9),"",CONCATENATE($A9,": ",FIXED(B9,1)))</f>
        <v>Volume: 8.0</v>
      </c>
      <c r="D9" s="54">
        <v>34.448</v>
      </c>
      <c r="E9" s="52" t="str">
        <f>IF(ISBLANK(D9),"",CONCATENATE($A9,": ",FIXED(D9,1)))</f>
        <v>Volume: 34.4</v>
      </c>
      <c r="F9" s="54">
        <v>74.649000000000001</v>
      </c>
      <c r="G9" s="52" t="str">
        <f>IF(ISBLANK(F9),"",CONCATENATE($A9,": ",FIXED(F9,1)))</f>
        <v>Volume: 74.6</v>
      </c>
      <c r="H9" s="54">
        <v>630.57399999999996</v>
      </c>
      <c r="I9" s="52" t="str">
        <f>IF(ISBLANK(H9),"",CONCATENATE($A9,": ",FIXED(H9,1)))</f>
        <v>Volume: 630.6</v>
      </c>
      <c r="J9" s="54">
        <v>28951.626</v>
      </c>
      <c r="K9" s="52" t="str">
        <f>IF(ISBLANK(J9),"",CONCATENATE($A9,": ",FIXED(J9,1)))</f>
        <v>Volume: 28,951.6</v>
      </c>
      <c r="L9" s="54">
        <v>1776</v>
      </c>
      <c r="M9" s="52" t="str">
        <f>IF(ISBLANK(L9),"",CONCATENATE($A9,": ",FIXED(L9,1)))</f>
        <v>Volume: 1,776.0</v>
      </c>
      <c r="N9" s="54">
        <v>2556.6759999999999</v>
      </c>
      <c r="O9" s="52" t="str">
        <f>IF(ISBLANK(N9),"",CONCATENATE($A9,": ",FIXED(N9,1)))</f>
        <v>Volume: 2,556.7</v>
      </c>
      <c r="P9" s="54">
        <v>4332.6760000000004</v>
      </c>
      <c r="Q9" s="52" t="str">
        <f>IF(ISBLANK(P9),"",CONCATENATE($A9,": ",FIXED(P9,1)))</f>
        <v>Volume: 4,332.7</v>
      </c>
      <c r="R9" s="54">
        <v>1072.330292425316</v>
      </c>
      <c r="S9" s="52" t="str">
        <f>IF(ISBLANK(R9),"",CONCATENATE($A9,": ",FIXED(R9,1)))</f>
        <v>Volume: 1,072.3</v>
      </c>
    </row>
    <row r="10" spans="1:19">
      <c r="A10" s="50" t="s">
        <v>47</v>
      </c>
      <c r="B10" s="54">
        <v>2.484</v>
      </c>
      <c r="C10" s="52" t="str">
        <f>IF(ISBLANK(B10),"",CONCATENATE($A10,": ",FIXED(B10,1)))</f>
        <v>Eq Sp Diam: 2.5</v>
      </c>
      <c r="D10" s="54">
        <v>4.0359999999999996</v>
      </c>
      <c r="E10" s="52" t="str">
        <f>IF(ISBLANK(D10),"",CONCATENATE($A10,": ",FIXED(D10,1)))</f>
        <v>Eq Sp Diam: 4.0</v>
      </c>
      <c r="F10" s="54">
        <v>5.2240000000000002</v>
      </c>
      <c r="G10" s="52" t="str">
        <f>IF(ISBLANK(F10),"",CONCATENATE($A10,": ",FIXED(F10,1)))</f>
        <v>Eq Sp Diam: 5.2</v>
      </c>
      <c r="H10" s="54">
        <v>10.64</v>
      </c>
      <c r="I10" s="52" t="str">
        <f>IF(ISBLANK(H10),"",CONCATENATE($A10,": ",FIXED(H10,1)))</f>
        <v>Eq Sp Diam: 10.6</v>
      </c>
      <c r="J10" s="54">
        <v>38.097999999999999</v>
      </c>
      <c r="K10" s="52" t="str">
        <f>IF(ISBLANK(J10),"",CONCATENATE($A10,": ",FIXED(J10,1)))</f>
        <v>Eq Sp Diam: 38.1</v>
      </c>
      <c r="L10" s="54">
        <v>15.026</v>
      </c>
      <c r="M10" s="52" t="str">
        <f>IF(ISBLANK(L10),"",CONCATENATE($A10,": ",FIXED(L10,1)))</f>
        <v>Eq Sp Diam: 15.0</v>
      </c>
      <c r="N10" s="54">
        <v>16.966000000000001</v>
      </c>
      <c r="O10" s="52" t="str">
        <f>IF(ISBLANK(N10),"",CONCATENATE($A10,": ",FIXED(N10,1)))</f>
        <v>Eq Sp Diam: 17.0</v>
      </c>
      <c r="P10" s="54">
        <v>20.225999999999999</v>
      </c>
      <c r="Q10" s="52" t="str">
        <f>IF(ISBLANK(P10),"",CONCATENATE($A10,": ",FIXED(P10,1)))</f>
        <v>Eq Sp Diam: 20.2</v>
      </c>
      <c r="R10" s="54"/>
      <c r="S10" s="52" t="str">
        <f>IF(ISBLANK(R10),"",CONCATENATE($A10,": ",FIXED(R10,1)))</f>
        <v/>
      </c>
    </row>
    <row r="11" spans="1:19">
      <c r="A11" s="50" t="s">
        <v>48</v>
      </c>
      <c r="B11" s="51"/>
      <c r="C11" s="52" t="str">
        <f>IF(ISBLANK(B11),"",CONCATENATE($A11,": ",FIXED(B11,1)))</f>
        <v/>
      </c>
      <c r="D11" s="51"/>
      <c r="E11" s="52" t="str">
        <f>IF(ISBLANK(D11),"",CONCATENATE($A11,": ",FIXED(D11,1)))</f>
        <v/>
      </c>
      <c r="F11" s="51"/>
      <c r="G11" s="52" t="str">
        <f>IF(ISBLANK(F11),"",CONCATENATE($A11,": ",FIXED(F11,1)))</f>
        <v/>
      </c>
      <c r="H11" s="51"/>
      <c r="I11" s="52" t="str">
        <f>IF(ISBLANK(H11),"",CONCATENATE($A11,": ",FIXED(H11,1)))</f>
        <v/>
      </c>
      <c r="J11" s="51">
        <v>16.512133585017349</v>
      </c>
      <c r="K11" s="52" t="str">
        <f>IF(ISBLANK(J11),"",CONCATENATE($A11,": ",FIXED(J11,1)))</f>
        <v>Radius: 16.5</v>
      </c>
      <c r="L11" s="51"/>
      <c r="M11" s="52" t="str">
        <f>IF(ISBLANK(L11),"",CONCATENATE($A11,": ",FIXED(L11,1)))</f>
        <v/>
      </c>
      <c r="N11" s="51"/>
      <c r="O11" s="52" t="str">
        <f>IF(ISBLANK(N11),"",CONCATENATE($A11,": ",FIXED(N11,1)))</f>
        <v/>
      </c>
      <c r="P11" s="51"/>
      <c r="Q11" s="52" t="str">
        <f>IF(ISBLANK(P11),"",CONCATENATE($A11,": ",FIXED(P11,1)))</f>
        <v/>
      </c>
      <c r="R11" s="51"/>
      <c r="S11" s="52" t="str">
        <f>IF(ISBLANK(R11),"",CONCATENATE($A11,": ",FIXED(R11,1)))</f>
        <v/>
      </c>
    </row>
    <row r="12" spans="1:19">
      <c r="A12" s="50" t="s">
        <v>49</v>
      </c>
      <c r="B12" s="51">
        <v>2.6</v>
      </c>
      <c r="C12" s="52" t="str">
        <f>IF(ISBLANK(B12),"",CONCATENATE($A12,": ",FIXED(B12,1)))</f>
        <v>Length: 2.6</v>
      </c>
      <c r="D12" s="51">
        <v>3.6</v>
      </c>
      <c r="E12" s="52" t="str">
        <f>IF(ISBLANK(D12),"",CONCATENATE($A12,": ",FIXED(D12,1)))</f>
        <v>Length: 3.6</v>
      </c>
      <c r="F12" s="51">
        <v>4.5999999999999996</v>
      </c>
      <c r="G12" s="52" t="str">
        <f>IF(ISBLANK(F12),"",CONCATENATE($A12,": ",FIXED(F12,1)))</f>
        <v>Length: 4.6</v>
      </c>
      <c r="H12" s="51">
        <v>9.8000000000000007</v>
      </c>
      <c r="I12" s="52" t="str">
        <f>IF(ISBLANK(H12),"",CONCATENATE($A12,": ",FIXED(H12,1)))</f>
        <v>Length: 9.8</v>
      </c>
      <c r="J12" s="51">
        <v>33.799999999999997</v>
      </c>
      <c r="K12" s="52" t="str">
        <f>IF(ISBLANK(J12),"",CONCATENATE($A12,": ",FIXED(J12,1)))</f>
        <v>Length: 33.8</v>
      </c>
      <c r="L12" s="51">
        <v>24.2</v>
      </c>
      <c r="M12" s="52" t="str">
        <f>IF(ISBLANK(L12),"",CONCATENATE($A12,": ",FIXED(L12,1)))</f>
        <v>Length: 24.2</v>
      </c>
      <c r="N12" s="51">
        <v>23.799999999999997</v>
      </c>
      <c r="O12" s="52" t="str">
        <f>IF(ISBLANK(N12),"",CONCATENATE($A12,": ",FIXED(N12,1)))</f>
        <v>Length: 23.8</v>
      </c>
      <c r="P12" s="51">
        <v>25</v>
      </c>
      <c r="Q12" s="52" t="str">
        <f>IF(ISBLANK(P12),"",CONCATENATE($A12,": ",FIXED(P12,1)))</f>
        <v>Length: 25.0</v>
      </c>
      <c r="R12" s="51">
        <v>33.799999999999997</v>
      </c>
      <c r="S12" s="52" t="str">
        <f>IF(ISBLANK(R12),"",CONCATENATE($A12,": ",FIXED(R12,1)))</f>
        <v>Length: 33.8</v>
      </c>
    </row>
    <row r="13" spans="1:19">
      <c r="A13" s="50"/>
      <c r="B13" s="51"/>
      <c r="C13" s="52" t="str">
        <f>IF(ISBLANK(B14),"",CONCATENATE("Range: (",FIXED(B14,1),", ",FIXED(B15,1),")"))</f>
        <v>Range: (-0.4, -3.0)</v>
      </c>
      <c r="D13" s="51"/>
      <c r="E13" s="52" t="str">
        <f>IF(ISBLANK(D14),"",CONCATENATE("Range: (",FIXED(D14,1),", ",FIXED(D15,1),")"))</f>
        <v>Range: (0.0, -3.6)</v>
      </c>
      <c r="F13" s="51"/>
      <c r="G13" s="52" t="str">
        <f>IF(ISBLANK(F14),"",CONCATENATE("Range: (",FIXED(F14,1),", ",FIXED(F15,1),")"))</f>
        <v>Range: (0.6, -4.0)</v>
      </c>
      <c r="H13" s="51"/>
      <c r="I13" s="52" t="str">
        <f>IF(ISBLANK(H14),"",CONCATENATE("Range: (",FIXED(H14,1),", ",FIXED(H15,1),")"))</f>
        <v>Range: (1.4, -8.4)</v>
      </c>
      <c r="J13" s="51"/>
      <c r="K13" s="52" t="str">
        <f>IF(ISBLANK(J14),"",CONCATENATE("Range: (",FIXED(J14,1),", ",FIXED(J15,1),")"))</f>
        <v>Range: (10.6, -23.2)</v>
      </c>
      <c r="L13" s="51"/>
      <c r="M13" s="52" t="str">
        <f>IF(ISBLANK(L14),"",CONCATENATE("Range: (",FIXED(L14,1),", ",FIXED(L15,1),")"))</f>
        <v>Range: (5.8, -18.4)</v>
      </c>
      <c r="N13" s="51"/>
      <c r="O13" s="52" t="str">
        <f>IF(ISBLANK(N14),"",CONCATENATE("Range: (",FIXED(N14,1),", ",FIXED(N15,1),")"))</f>
        <v>Range: (6.6, -17.2)</v>
      </c>
      <c r="P13" s="51"/>
      <c r="Q13" s="52" t="str">
        <f>IF(ISBLANK(P14),"",CONCATENATE("Range: (",FIXED(P14,1),", ",FIXED(P15,1),")"))</f>
        <v>Range: (6.6, -18.4)</v>
      </c>
      <c r="R13" s="51"/>
      <c r="S13" s="52" t="str">
        <f>IF(ISBLANK(R14),"",CONCATENATE("Range: (",FIXED(R14,1),", ",FIXED(R15,1),")"))</f>
        <v>Range: (10.6, -23.2)</v>
      </c>
    </row>
    <row r="14" spans="1:19">
      <c r="A14" s="50" t="s">
        <v>50</v>
      </c>
      <c r="B14" s="51">
        <v>-0.4</v>
      </c>
      <c r="C14" s="52"/>
      <c r="D14" s="51">
        <v>0</v>
      </c>
      <c r="E14" s="52"/>
      <c r="F14" s="51">
        <v>0.6</v>
      </c>
      <c r="G14" s="52"/>
      <c r="H14" s="51">
        <v>1.4</v>
      </c>
      <c r="I14" s="52"/>
      <c r="J14" s="51">
        <v>10.6</v>
      </c>
      <c r="K14" s="52"/>
      <c r="L14" s="51">
        <v>5.8</v>
      </c>
      <c r="M14" s="52"/>
      <c r="N14" s="51">
        <v>6.6</v>
      </c>
      <c r="O14" s="52"/>
      <c r="P14" s="51">
        <v>6.6</v>
      </c>
      <c r="Q14" s="52"/>
      <c r="R14" s="51">
        <v>10.6</v>
      </c>
      <c r="S14" s="52"/>
    </row>
    <row r="15" spans="1:19">
      <c r="A15" s="50" t="s">
        <v>51</v>
      </c>
      <c r="B15" s="51">
        <v>-3</v>
      </c>
      <c r="C15" s="52"/>
      <c r="D15" s="51">
        <v>-3.6</v>
      </c>
      <c r="E15" s="52"/>
      <c r="F15" s="51">
        <v>-4</v>
      </c>
      <c r="G15" s="52"/>
      <c r="H15" s="51">
        <v>-8.4</v>
      </c>
      <c r="I15" s="52"/>
      <c r="J15" s="51">
        <v>-23.2</v>
      </c>
      <c r="K15" s="52"/>
      <c r="L15" s="51">
        <v>-18.399999999999999</v>
      </c>
      <c r="M15" s="52"/>
      <c r="N15" s="51">
        <v>-17.2</v>
      </c>
      <c r="O15" s="52"/>
      <c r="P15" s="51">
        <v>-18.399999999999999</v>
      </c>
      <c r="Q15" s="52"/>
      <c r="R15" s="51">
        <v>-23.2</v>
      </c>
      <c r="S15" s="52"/>
    </row>
    <row r="16" spans="1:19">
      <c r="A16" s="50" t="s">
        <v>36</v>
      </c>
      <c r="B16" s="51"/>
      <c r="C16" s="52"/>
      <c r="D16" s="51"/>
      <c r="E16" s="52"/>
      <c r="F16" s="51"/>
      <c r="G16" s="52"/>
      <c r="H16" s="51"/>
      <c r="I16" s="52"/>
      <c r="J16" s="51"/>
      <c r="K16" s="52"/>
      <c r="L16" s="51"/>
      <c r="M16" s="52"/>
      <c r="N16" s="51"/>
      <c r="O16" s="52"/>
      <c r="P16" s="51"/>
      <c r="Q16" s="52"/>
      <c r="R16" s="51"/>
      <c r="S16" s="52"/>
    </row>
    <row r="17" spans="1:20">
      <c r="A17" s="50" t="s">
        <v>52</v>
      </c>
      <c r="B17" s="51" t="s">
        <v>53</v>
      </c>
      <c r="C17" s="52"/>
      <c r="D17" s="51" t="s">
        <v>54</v>
      </c>
      <c r="E17" s="52"/>
      <c r="F17" s="51" t="s">
        <v>55</v>
      </c>
      <c r="G17" s="52"/>
      <c r="H17" s="51" t="s">
        <v>56</v>
      </c>
      <c r="I17" s="52"/>
      <c r="J17" s="51" t="s">
        <v>57</v>
      </c>
      <c r="K17" s="52"/>
      <c r="L17" s="51" t="s">
        <v>58</v>
      </c>
      <c r="M17" s="52"/>
      <c r="N17" s="51" t="s">
        <v>59</v>
      </c>
      <c r="O17" s="52"/>
      <c r="P17" s="51" t="s">
        <v>60</v>
      </c>
      <c r="Q17" s="52"/>
      <c r="R17" s="51"/>
      <c r="S17" s="52"/>
    </row>
    <row r="18" spans="1:20">
      <c r="A18" s="50" t="s">
        <v>37</v>
      </c>
      <c r="B18" s="51" t="s">
        <v>38</v>
      </c>
      <c r="C18" s="52"/>
      <c r="D18" s="51" t="s">
        <v>39</v>
      </c>
      <c r="E18" s="52"/>
      <c r="F18" s="51" t="s">
        <v>40</v>
      </c>
      <c r="G18" s="52"/>
      <c r="H18" s="51" t="s">
        <v>40</v>
      </c>
      <c r="I18" s="52"/>
      <c r="J18" s="51" t="s">
        <v>41</v>
      </c>
      <c r="K18" s="52"/>
      <c r="L18" s="51" t="s">
        <v>42</v>
      </c>
      <c r="M18" s="52"/>
      <c r="N18" s="51" t="s">
        <v>43</v>
      </c>
      <c r="O18" s="52"/>
      <c r="P18" s="51" t="s">
        <v>44</v>
      </c>
      <c r="Q18" s="52"/>
      <c r="R18" s="51" t="s">
        <v>66</v>
      </c>
      <c r="S18" s="52"/>
    </row>
    <row r="19" spans="1:20">
      <c r="A19" s="50" t="s">
        <v>45</v>
      </c>
      <c r="B19" s="51">
        <v>1.231E-2</v>
      </c>
      <c r="C19" s="52"/>
      <c r="D19" s="51">
        <v>2.2229999999999996E-2</v>
      </c>
      <c r="E19" s="52"/>
      <c r="F19" s="51">
        <v>2.2239999999999996E-2</v>
      </c>
      <c r="G19" s="52"/>
      <c r="H19" s="51">
        <v>2.2149999999999996E-2</v>
      </c>
      <c r="I19" s="52"/>
      <c r="J19" s="51">
        <v>1.01</v>
      </c>
      <c r="K19" s="52"/>
      <c r="L19" s="51">
        <v>1.0609999999999999</v>
      </c>
      <c r="M19" s="52"/>
      <c r="N19" s="51">
        <v>1.0620000000000001</v>
      </c>
      <c r="O19" s="52"/>
      <c r="P19" s="51">
        <v>1.0629999999999999</v>
      </c>
      <c r="Q19" s="52"/>
      <c r="R19" s="51"/>
      <c r="S19" s="52"/>
    </row>
    <row r="20" spans="1:20">
      <c r="C20" t="str">
        <f>CONCATENATE(C1,"\n",C2,"\n",C3,"\n",C4,"\n",C5,"\n",C6,"\n",C7,"\n",C8,"\n",C9,"\n",C10,"\n",C11,"\n",C12,"\n",C13)</f>
        <v>ID: GTV\nROI: 38\n\nVolumeType: GTV\nDicomType: GTV\nCode: GTVp\nLabel: Primary Gross Tumor Volume\nScheme: 99VMS_STRUCTCODE\nVolume: 8.0\nEq Sp Diam: 2.5\n\nLength: 2.6\nRange: (-0.4, -3.0)</v>
      </c>
      <c r="D20" t="s">
        <v>70</v>
      </c>
      <c r="E20" t="str">
        <f t="shared" ref="E20:S20" si="42">CONCATENATE(E1,"\n",E2,"\n",E3,"\n",E4,"\n",E5,"\n",E6,"\n",E7,"\n",E8,"\n",E9,"\n",E10,"\n",E11,"\n",E12,"\n",E13)</f>
        <v>ID: CTV\nROI: 24\nName: Internal Target Volume\nVolumeType: CTV\nDicomType: CTV\nCode: ITV\nLabel: Internal Target Volume\nScheme: 99VMS_STRUCTCODE\nVolume: 34.4\nEq Sp Diam: 4.0\n\nLength: 3.6\nRange: (0.0, -3.6)</v>
      </c>
      <c r="F20" t="s">
        <v>70</v>
      </c>
      <c r="G20" t="str">
        <f t="shared" si="42"/>
        <v>ID: PTV\nROI: 30\nName: PTV defined by Radiation Oncologist\nVolumeType: PTV\nDicomType: PTV\nCode: PTVp\nLabel: Primary Planning Target Volume\nScheme: 99VMS_STRUCTCODE\nVolume: 74.6\nEq Sp Diam: 5.2\n\nLength: 4.6\nRange: (0.6, -4.0)</v>
      </c>
      <c r="H20" t="s">
        <v>70</v>
      </c>
      <c r="I20" t="str">
        <f t="shared" si="42"/>
        <v>ID: eval_PTV\nROI: 41\nName: PTV High Risk for dvh\nVolumeType: PTV\nDicomType: PTV\nCode: PTVp\nLabel: Primary Planning Target Volume\nScheme: 99VMS_STRUCTCODE\nVolume: 630.6\nEq Sp Diam: 10.6\n\nLength: 9.8\nRange: (1.4, -8.4)</v>
      </c>
      <c r="J20" t="s">
        <v>70</v>
      </c>
      <c r="K20" t="str">
        <f t="shared" si="42"/>
        <v>ID: Body\nROI: 1\n\nVolumeType: BODY\nDicomType: EXTERNAL\nCode: BODY\nLabel: Body\nScheme: 99VMS_STRUCTCODE\nVolume: 28,951.6\nEq Sp Diam: 38.1\nRadius: 16.5\nLength: 33.8\nRange: (10.6, -23.2)</v>
      </c>
      <c r="L20" t="s">
        <v>70</v>
      </c>
      <c r="M20" t="str">
        <f t="shared" si="42"/>
        <v>ID: Lung_L\nROI: 26\nName: Left Lung\nVolumeType: Organ\nDicomType: ORGAN\nCode: 7310\nLabel: Left lung\nScheme: FMA\nVolume: 1,776.0\nEq Sp Diam: 15.0\n\nLength: 24.2\nRange: (5.8, -18.4)</v>
      </c>
      <c r="N20" t="s">
        <v>70</v>
      </c>
      <c r="O20" t="str">
        <f t="shared" si="42"/>
        <v>ID: Lung_R\nROI: 27\nName: Right Lung\nVolumeType: Organ\nDicomType: ORGAN\nCode: 7309\nLabel: Right lung\nScheme: FMA\nVolume: 2,556.7\nEq Sp Diam: 17.0\n\nLength: 23.8\nRange: (6.6, -17.2)</v>
      </c>
      <c r="P20" t="s">
        <v>70</v>
      </c>
      <c r="Q20" t="str">
        <f t="shared" si="42"/>
        <v>ID: Lung_B\nROI: 25\nName: Both Lungs\nVolumeType: Organ\nDicomType: ORGAN\nCode: 68877\nLabel: Pair of lungs\nScheme: FMA\nVolume: 4,332.7\nEq Sp Diam: 20.2\n\nLength: 25.0\nRange: (6.6, -18.4)</v>
      </c>
      <c r="R20" t="s">
        <v>70</v>
      </c>
      <c r="S20" t="str">
        <f t="shared" si="42"/>
        <v>ID: Skin\n\nName: Skin\nVolumeType: Organ\nDicomType: Organ\nCode: 7163\nLabel: Skin\nScheme: FMA\nVolume: 1,072.3\n\n\nLength: 33.8\nRange: (10.6, -23.2)</v>
      </c>
      <c r="T2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7"/>
  <sheetViews>
    <sheetView topLeftCell="T1" workbookViewId="0">
      <selection activeCell="AA2" sqref="AA2:AA37"/>
    </sheetView>
  </sheetViews>
  <sheetFormatPr defaultRowHeight="15"/>
  <cols>
    <col min="1" max="1" width="9.28515625" bestFit="1" customWidth="1"/>
    <col min="2" max="2" width="7.42578125" bestFit="1" customWidth="1"/>
    <col min="3" max="5" width="9.42578125" bestFit="1" customWidth="1"/>
    <col min="6" max="6" width="11" bestFit="1" customWidth="1"/>
    <col min="7" max="7" width="8.140625" bestFit="1" customWidth="1"/>
    <col min="8" max="8" width="8.42578125" bestFit="1" customWidth="1"/>
    <col min="9" max="9" width="8.140625" bestFit="1" customWidth="1"/>
    <col min="10" max="10" width="8.28515625" bestFit="1" customWidth="1"/>
    <col min="12" max="12" width="17" customWidth="1"/>
    <col min="14" max="14" width="12" bestFit="1" customWidth="1"/>
    <col min="15" max="16" width="10.42578125" bestFit="1" customWidth="1"/>
    <col min="17" max="17" width="12" bestFit="1" customWidth="1"/>
    <col min="18" max="18" width="10.42578125" bestFit="1" customWidth="1"/>
    <col min="21" max="21" width="12.42578125" customWidth="1"/>
    <col min="22" max="22" width="13.42578125" customWidth="1"/>
    <col min="23" max="24" width="10.85546875" style="48" customWidth="1"/>
    <col min="25" max="25" width="14.28515625" customWidth="1"/>
    <col min="30" max="30" width="13.5703125" customWidth="1"/>
  </cols>
  <sheetData>
    <row r="1" spans="1:31" ht="20.25" thickBot="1">
      <c r="A1" s="18" t="s">
        <v>71</v>
      </c>
      <c r="B1" s="15" t="s">
        <v>29</v>
      </c>
      <c r="C1" s="15" t="s">
        <v>1</v>
      </c>
      <c r="D1" s="15" t="s">
        <v>2</v>
      </c>
      <c r="E1" s="15" t="s">
        <v>3</v>
      </c>
      <c r="F1" s="16" t="s">
        <v>61</v>
      </c>
      <c r="G1" s="15" t="s">
        <v>65</v>
      </c>
      <c r="H1" s="16" t="s">
        <v>62</v>
      </c>
      <c r="I1" s="16" t="s">
        <v>63</v>
      </c>
      <c r="J1" s="16" t="s">
        <v>64</v>
      </c>
      <c r="L1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U1" t="s">
        <v>352</v>
      </c>
      <c r="V1" t="s">
        <v>353</v>
      </c>
      <c r="W1" s="86" t="s">
        <v>354</v>
      </c>
      <c r="X1" s="86" t="s">
        <v>355</v>
      </c>
      <c r="Y1" s="86" t="s">
        <v>73</v>
      </c>
      <c r="Z1" s="87" t="s">
        <v>357</v>
      </c>
      <c r="AA1" t="s">
        <v>358</v>
      </c>
      <c r="AD1" s="88" t="s">
        <v>356</v>
      </c>
      <c r="AE1" s="88"/>
    </row>
    <row r="2" spans="1:31" ht="15.75" thickTop="1">
      <c r="A2" s="15" t="s">
        <v>29</v>
      </c>
      <c r="B2" s="17"/>
      <c r="C2" s="14" t="s">
        <v>78</v>
      </c>
      <c r="D2" s="14" t="s">
        <v>78</v>
      </c>
      <c r="E2" s="14" t="s">
        <v>78</v>
      </c>
      <c r="F2" s="14" t="s">
        <v>78</v>
      </c>
      <c r="G2" s="14" t="s">
        <v>79</v>
      </c>
      <c r="H2" s="14" t="s">
        <v>78</v>
      </c>
      <c r="I2" s="14" t="s">
        <v>78</v>
      </c>
      <c r="J2" s="14" t="s">
        <v>78</v>
      </c>
      <c r="L2" t="s">
        <v>80</v>
      </c>
      <c r="N2" s="11" t="s">
        <v>81</v>
      </c>
      <c r="O2" s="11" t="s">
        <v>82</v>
      </c>
      <c r="P2" s="11" t="s">
        <v>83</v>
      </c>
      <c r="Q2" s="11" t="s">
        <v>81</v>
      </c>
      <c r="R2" s="12" t="s">
        <v>84</v>
      </c>
      <c r="U2" t="s">
        <v>29</v>
      </c>
      <c r="V2" t="s">
        <v>65</v>
      </c>
      <c r="W2" s="48">
        <f>VLOOKUP(U2,ROI_Lookup[],2,FALSE)</f>
        <v>1</v>
      </c>
      <c r="X2" s="48">
        <f>VLOOKUP(V2,ROI_Lookup[],2,FALSE)</f>
        <v>2</v>
      </c>
      <c r="Y2" t="s">
        <v>79</v>
      </c>
      <c r="Z2" t="b">
        <v>0</v>
      </c>
      <c r="AA2" t="b">
        <v>1</v>
      </c>
      <c r="AD2" t="s">
        <v>0</v>
      </c>
      <c r="AE2" t="s">
        <v>68</v>
      </c>
    </row>
    <row r="3" spans="1:31">
      <c r="A3" s="15" t="s">
        <v>1</v>
      </c>
      <c r="B3" s="14" t="s">
        <v>85</v>
      </c>
      <c r="C3" s="17"/>
      <c r="D3" s="14" t="s">
        <v>86</v>
      </c>
      <c r="E3" s="14" t="s">
        <v>85</v>
      </c>
      <c r="F3" s="14" t="s">
        <v>85</v>
      </c>
      <c r="G3" s="14" t="s">
        <v>87</v>
      </c>
      <c r="H3" s="14" t="s">
        <v>85</v>
      </c>
      <c r="I3" s="14" t="s">
        <v>81</v>
      </c>
      <c r="J3" s="14" t="s">
        <v>85</v>
      </c>
      <c r="L3" t="s">
        <v>88</v>
      </c>
      <c r="N3" s="13" t="s">
        <v>80</v>
      </c>
      <c r="O3" s="4" t="s">
        <v>83</v>
      </c>
      <c r="P3" s="4" t="s">
        <v>82</v>
      </c>
      <c r="Q3" s="4" t="s">
        <v>88</v>
      </c>
      <c r="R3" s="4" t="s">
        <v>89</v>
      </c>
      <c r="U3" t="s">
        <v>29</v>
      </c>
      <c r="V3" t="s">
        <v>64</v>
      </c>
      <c r="W3" s="48">
        <f>VLOOKUP(U3,ROI_Lookup[],2,FALSE)</f>
        <v>1</v>
      </c>
      <c r="X3" s="48">
        <f>VLOOKUP(V3,ROI_Lookup[],2,FALSE)</f>
        <v>25</v>
      </c>
      <c r="Y3" t="s">
        <v>78</v>
      </c>
      <c r="Z3" t="b">
        <v>1</v>
      </c>
      <c r="AA3" t="b">
        <v>1</v>
      </c>
      <c r="AD3" t="s">
        <v>1</v>
      </c>
      <c r="AE3">
        <v>38</v>
      </c>
    </row>
    <row r="4" spans="1:31">
      <c r="A4" s="15" t="s">
        <v>2</v>
      </c>
      <c r="B4" s="14" t="s">
        <v>85</v>
      </c>
      <c r="C4" s="14" t="s">
        <v>86</v>
      </c>
      <c r="D4" s="17"/>
      <c r="E4" s="14" t="s">
        <v>78</v>
      </c>
      <c r="F4" s="14" t="s">
        <v>85</v>
      </c>
      <c r="G4" s="14" t="s">
        <v>87</v>
      </c>
      <c r="H4" s="14" t="s">
        <v>85</v>
      </c>
      <c r="I4" s="14" t="s">
        <v>81</v>
      </c>
      <c r="J4" s="14" t="s">
        <v>85</v>
      </c>
      <c r="L4" t="s">
        <v>90</v>
      </c>
      <c r="N4" s="4" t="s">
        <v>88</v>
      </c>
      <c r="O4" s="4" t="s">
        <v>83</v>
      </c>
      <c r="P4" s="4" t="s">
        <v>82</v>
      </c>
      <c r="Q4" s="4" t="s">
        <v>80</v>
      </c>
      <c r="R4" s="4" t="s">
        <v>89</v>
      </c>
      <c r="U4" t="s">
        <v>29</v>
      </c>
      <c r="V4" t="s">
        <v>63</v>
      </c>
      <c r="W4" s="48">
        <f>VLOOKUP(U4,ROI_Lookup[],2,FALSE)</f>
        <v>1</v>
      </c>
      <c r="X4" s="48">
        <f>VLOOKUP(V4,ROI_Lookup[],2,FALSE)</f>
        <v>27</v>
      </c>
      <c r="Y4" t="s">
        <v>78</v>
      </c>
      <c r="Z4" t="b">
        <v>1</v>
      </c>
      <c r="AA4" t="b">
        <v>0</v>
      </c>
      <c r="AD4" t="s">
        <v>2</v>
      </c>
      <c r="AE4">
        <v>24</v>
      </c>
    </row>
    <row r="5" spans="1:31">
      <c r="A5" s="15" t="s">
        <v>3</v>
      </c>
      <c r="B5" s="14" t="s">
        <v>85</v>
      </c>
      <c r="C5" s="14" t="s">
        <v>78</v>
      </c>
      <c r="D5" s="14" t="s">
        <v>78</v>
      </c>
      <c r="E5" s="17"/>
      <c r="F5" s="14" t="s">
        <v>91</v>
      </c>
      <c r="G5" s="14" t="s">
        <v>87</v>
      </c>
      <c r="H5" s="14" t="s">
        <v>92</v>
      </c>
      <c r="I5" s="14" t="s">
        <v>81</v>
      </c>
      <c r="J5" s="14" t="s">
        <v>92</v>
      </c>
      <c r="N5" s="5" t="s">
        <v>93</v>
      </c>
      <c r="O5" s="5" t="s">
        <v>83</v>
      </c>
      <c r="P5" s="5" t="s">
        <v>82</v>
      </c>
      <c r="Q5" s="5" t="s">
        <v>87</v>
      </c>
      <c r="R5" s="5" t="s">
        <v>94</v>
      </c>
      <c r="U5" t="s">
        <v>29</v>
      </c>
      <c r="V5" t="s">
        <v>62</v>
      </c>
      <c r="W5" s="48">
        <f>VLOOKUP(U5,ROI_Lookup[],2,FALSE)</f>
        <v>1</v>
      </c>
      <c r="X5" s="48">
        <f>VLOOKUP(V5,ROI_Lookup[],2,FALSE)</f>
        <v>26</v>
      </c>
      <c r="Y5" t="s">
        <v>78</v>
      </c>
      <c r="Z5" t="b">
        <v>1</v>
      </c>
      <c r="AA5" t="b">
        <v>0</v>
      </c>
      <c r="AD5" t="s">
        <v>3</v>
      </c>
      <c r="AE5">
        <v>30</v>
      </c>
    </row>
    <row r="6" spans="1:31" ht="15.75">
      <c r="A6" s="16" t="s">
        <v>61</v>
      </c>
      <c r="B6" s="14" t="s">
        <v>85</v>
      </c>
      <c r="C6" s="14" t="s">
        <v>78</v>
      </c>
      <c r="D6" s="14" t="s">
        <v>78</v>
      </c>
      <c r="E6" s="14" t="s">
        <v>95</v>
      </c>
      <c r="F6" s="17"/>
      <c r="G6" s="14" t="s">
        <v>87</v>
      </c>
      <c r="H6" s="14" t="s">
        <v>95</v>
      </c>
      <c r="I6" s="14" t="s">
        <v>81</v>
      </c>
      <c r="J6" s="14" t="s">
        <v>85</v>
      </c>
      <c r="N6" s="5" t="s">
        <v>87</v>
      </c>
      <c r="O6" s="5" t="s">
        <v>83</v>
      </c>
      <c r="P6" s="5" t="s">
        <v>82</v>
      </c>
      <c r="Q6" s="5" t="s">
        <v>93</v>
      </c>
      <c r="R6" s="5" t="s">
        <v>94</v>
      </c>
      <c r="U6" t="s">
        <v>29</v>
      </c>
      <c r="V6" t="s">
        <v>3</v>
      </c>
      <c r="W6" s="48">
        <f>VLOOKUP(U6,ROI_Lookup[],2,FALSE)</f>
        <v>1</v>
      </c>
      <c r="X6" s="48">
        <f>VLOOKUP(V6,ROI_Lookup[],2,FALSE)</f>
        <v>30</v>
      </c>
      <c r="Y6" t="s">
        <v>78</v>
      </c>
      <c r="Z6" t="b">
        <v>1</v>
      </c>
      <c r="AA6" t="b">
        <v>1</v>
      </c>
      <c r="AD6" t="s">
        <v>61</v>
      </c>
      <c r="AE6">
        <v>41</v>
      </c>
    </row>
    <row r="7" spans="1:31">
      <c r="A7" s="15" t="s">
        <v>65</v>
      </c>
      <c r="B7" s="14" t="s">
        <v>96</v>
      </c>
      <c r="C7" s="14" t="s">
        <v>93</v>
      </c>
      <c r="D7" s="14" t="s">
        <v>93</v>
      </c>
      <c r="E7" s="14" t="s">
        <v>93</v>
      </c>
      <c r="F7" s="14" t="s">
        <v>93</v>
      </c>
      <c r="G7" s="17"/>
      <c r="H7" s="14" t="s">
        <v>81</v>
      </c>
      <c r="I7" s="14" t="s">
        <v>81</v>
      </c>
      <c r="J7" s="14" t="s">
        <v>81</v>
      </c>
      <c r="N7" s="6" t="s">
        <v>90</v>
      </c>
      <c r="O7" s="6" t="s">
        <v>82</v>
      </c>
      <c r="P7" s="6" t="s">
        <v>83</v>
      </c>
      <c r="Q7" s="6" t="s">
        <v>90</v>
      </c>
      <c r="R7" s="6" t="s">
        <v>90</v>
      </c>
      <c r="U7" t="s">
        <v>29</v>
      </c>
      <c r="V7" t="s">
        <v>61</v>
      </c>
      <c r="W7" s="48">
        <f>VLOOKUP(U7,ROI_Lookup[],2,FALSE)</f>
        <v>1</v>
      </c>
      <c r="X7" s="48">
        <f>VLOOKUP(V7,ROI_Lookup[],2,FALSE)</f>
        <v>41</v>
      </c>
      <c r="Y7" t="s">
        <v>78</v>
      </c>
      <c r="Z7" t="b">
        <v>1</v>
      </c>
      <c r="AA7" t="b">
        <v>0</v>
      </c>
      <c r="AD7" t="s">
        <v>29</v>
      </c>
      <c r="AE7">
        <v>1</v>
      </c>
    </row>
    <row r="8" spans="1:31" ht="15.75">
      <c r="A8" s="16" t="s">
        <v>62</v>
      </c>
      <c r="B8" s="14" t="s">
        <v>85</v>
      </c>
      <c r="C8" s="14" t="s">
        <v>78</v>
      </c>
      <c r="D8" s="14" t="s">
        <v>78</v>
      </c>
      <c r="E8" s="14" t="s">
        <v>92</v>
      </c>
      <c r="F8" s="14" t="s">
        <v>91</v>
      </c>
      <c r="G8" s="14" t="s">
        <v>81</v>
      </c>
      <c r="H8" s="17"/>
      <c r="I8" s="14" t="s">
        <v>81</v>
      </c>
      <c r="J8" s="14" t="s">
        <v>85</v>
      </c>
      <c r="N8" s="10" t="s">
        <v>79</v>
      </c>
      <c r="O8" s="10" t="s">
        <v>83</v>
      </c>
      <c r="P8" s="10" t="s">
        <v>83</v>
      </c>
      <c r="Q8" s="10" t="s">
        <v>96</v>
      </c>
      <c r="R8" s="10" t="s">
        <v>97</v>
      </c>
      <c r="U8" t="s">
        <v>29</v>
      </c>
      <c r="V8" t="s">
        <v>2</v>
      </c>
      <c r="W8" s="48">
        <f>VLOOKUP(U8,ROI_Lookup[],2,FALSE)</f>
        <v>1</v>
      </c>
      <c r="X8" s="48">
        <f>VLOOKUP(V8,ROI_Lookup[],2,FALSE)</f>
        <v>24</v>
      </c>
      <c r="Y8" t="s">
        <v>78</v>
      </c>
      <c r="Z8" t="b">
        <v>1</v>
      </c>
      <c r="AA8" t="b">
        <v>0</v>
      </c>
      <c r="AD8" t="s">
        <v>62</v>
      </c>
      <c r="AE8">
        <v>26</v>
      </c>
    </row>
    <row r="9" spans="1:31" ht="18">
      <c r="A9" s="16" t="s">
        <v>63</v>
      </c>
      <c r="B9" s="14" t="s">
        <v>85</v>
      </c>
      <c r="C9" s="14" t="s">
        <v>81</v>
      </c>
      <c r="D9" s="14" t="s">
        <v>81</v>
      </c>
      <c r="E9" s="14" t="s">
        <v>81</v>
      </c>
      <c r="F9" s="14" t="s">
        <v>81</v>
      </c>
      <c r="G9" s="14" t="s">
        <v>81</v>
      </c>
      <c r="H9" s="14" t="s">
        <v>81</v>
      </c>
      <c r="I9" s="17"/>
      <c r="J9" s="14" t="s">
        <v>85</v>
      </c>
      <c r="N9" s="10" t="s">
        <v>96</v>
      </c>
      <c r="O9" s="10" t="s">
        <v>83</v>
      </c>
      <c r="P9" s="10" t="s">
        <v>83</v>
      </c>
      <c r="Q9" s="10" t="s">
        <v>79</v>
      </c>
      <c r="R9" s="10" t="s">
        <v>97</v>
      </c>
      <c r="S9" s="44"/>
      <c r="U9" t="s">
        <v>29</v>
      </c>
      <c r="V9" t="s">
        <v>1</v>
      </c>
      <c r="W9" s="48">
        <f>VLOOKUP(U9,ROI_Lookup[],2,FALSE)</f>
        <v>1</v>
      </c>
      <c r="X9" s="48">
        <f>VLOOKUP(V9,ROI_Lookup[],2,FALSE)</f>
        <v>38</v>
      </c>
      <c r="Y9" t="s">
        <v>78</v>
      </c>
      <c r="Z9" t="b">
        <v>1</v>
      </c>
      <c r="AA9" t="b">
        <v>0</v>
      </c>
      <c r="AD9" t="s">
        <v>63</v>
      </c>
      <c r="AE9">
        <v>27</v>
      </c>
    </row>
    <row r="10" spans="1:31" ht="15.75">
      <c r="A10" s="16" t="s">
        <v>64</v>
      </c>
      <c r="B10" s="14" t="s">
        <v>85</v>
      </c>
      <c r="C10" s="14" t="s">
        <v>78</v>
      </c>
      <c r="D10" s="14" t="s">
        <v>78</v>
      </c>
      <c r="E10" s="14" t="s">
        <v>92</v>
      </c>
      <c r="F10" s="14" t="s">
        <v>78</v>
      </c>
      <c r="G10" s="14" t="s">
        <v>81</v>
      </c>
      <c r="H10" s="14" t="s">
        <v>78</v>
      </c>
      <c r="I10" s="14" t="s">
        <v>78</v>
      </c>
      <c r="J10" s="17"/>
      <c r="N10" s="7" t="s">
        <v>95</v>
      </c>
      <c r="O10" s="7" t="s">
        <v>83</v>
      </c>
      <c r="P10" s="7" t="s">
        <v>83</v>
      </c>
      <c r="Q10" s="7" t="s">
        <v>91</v>
      </c>
      <c r="R10" s="7" t="s">
        <v>98</v>
      </c>
      <c r="U10" t="s">
        <v>65</v>
      </c>
      <c r="V10" t="s">
        <v>64</v>
      </c>
      <c r="W10" s="48">
        <f>VLOOKUP(U10,ROI_Lookup[],2,FALSE)</f>
        <v>2</v>
      </c>
      <c r="X10" s="48">
        <f>VLOOKUP(V10,ROI_Lookup[],2,FALSE)</f>
        <v>25</v>
      </c>
      <c r="Y10" t="s">
        <v>81</v>
      </c>
      <c r="Z10" t="b">
        <v>0</v>
      </c>
      <c r="AA10" t="b">
        <v>1</v>
      </c>
      <c r="AD10" t="s">
        <v>64</v>
      </c>
      <c r="AE10">
        <v>25</v>
      </c>
    </row>
    <row r="11" spans="1:31" ht="15.75">
      <c r="A11" s="1"/>
      <c r="N11" s="7" t="s">
        <v>91</v>
      </c>
      <c r="O11" s="7" t="s">
        <v>83</v>
      </c>
      <c r="P11" s="7" t="s">
        <v>83</v>
      </c>
      <c r="Q11" s="7" t="s">
        <v>95</v>
      </c>
      <c r="R11" s="7" t="s">
        <v>98</v>
      </c>
      <c r="U11" t="s">
        <v>65</v>
      </c>
      <c r="V11" t="s">
        <v>63</v>
      </c>
      <c r="W11" s="48">
        <f>VLOOKUP(U11,ROI_Lookup[],2,FALSE)</f>
        <v>2</v>
      </c>
      <c r="X11" s="48">
        <f>VLOOKUP(V11,ROI_Lookup[],2,FALSE)</f>
        <v>27</v>
      </c>
      <c r="Y11" t="s">
        <v>81</v>
      </c>
      <c r="Z11" t="b">
        <v>0</v>
      </c>
      <c r="AA11" t="b">
        <v>0</v>
      </c>
      <c r="AD11" t="s">
        <v>65</v>
      </c>
      <c r="AE11">
        <v>2</v>
      </c>
    </row>
    <row r="12" spans="1:31">
      <c r="N12" s="8" t="s">
        <v>85</v>
      </c>
      <c r="O12" s="8" t="s">
        <v>83</v>
      </c>
      <c r="P12" s="8" t="s">
        <v>82</v>
      </c>
      <c r="Q12" s="8" t="s">
        <v>78</v>
      </c>
      <c r="R12" s="8" t="s">
        <v>99</v>
      </c>
      <c r="U12" t="s">
        <v>65</v>
      </c>
      <c r="V12" t="s">
        <v>62</v>
      </c>
      <c r="W12" s="48">
        <f>VLOOKUP(U12,ROI_Lookup[],2,FALSE)</f>
        <v>2</v>
      </c>
      <c r="X12" s="48">
        <f>VLOOKUP(V12,ROI_Lookup[],2,FALSE)</f>
        <v>26</v>
      </c>
      <c r="Y12" t="s">
        <v>81</v>
      </c>
      <c r="Z12" t="b">
        <v>0</v>
      </c>
      <c r="AA12" t="b">
        <v>0</v>
      </c>
    </row>
    <row r="13" spans="1:31">
      <c r="N13" s="8" t="s">
        <v>78</v>
      </c>
      <c r="O13" s="8" t="s">
        <v>83</v>
      </c>
      <c r="P13" s="8" t="s">
        <v>82</v>
      </c>
      <c r="Q13" s="8" t="s">
        <v>85</v>
      </c>
      <c r="R13" s="8" t="s">
        <v>99</v>
      </c>
      <c r="U13" t="s">
        <v>65</v>
      </c>
      <c r="V13" t="s">
        <v>3</v>
      </c>
      <c r="W13" s="48">
        <f>VLOOKUP(U13,ROI_Lookup[],2,FALSE)</f>
        <v>2</v>
      </c>
      <c r="X13" s="48">
        <f>VLOOKUP(V13,ROI_Lookup[],2,FALSE)</f>
        <v>30</v>
      </c>
      <c r="Y13" t="s">
        <v>93</v>
      </c>
      <c r="Z13" t="b">
        <v>0</v>
      </c>
      <c r="AA13" t="b">
        <v>0</v>
      </c>
    </row>
    <row r="14" spans="1:31">
      <c r="N14" s="9" t="s">
        <v>92</v>
      </c>
      <c r="O14" s="9" t="s">
        <v>82</v>
      </c>
      <c r="P14" s="9" t="s">
        <v>83</v>
      </c>
      <c r="Q14" s="9" t="s">
        <v>92</v>
      </c>
      <c r="R14" s="9" t="s">
        <v>92</v>
      </c>
      <c r="U14" t="s">
        <v>65</v>
      </c>
      <c r="V14" t="s">
        <v>61</v>
      </c>
      <c r="W14" s="48">
        <f>VLOOKUP(U14,ROI_Lookup[],2,FALSE)</f>
        <v>2</v>
      </c>
      <c r="X14" s="48">
        <f>VLOOKUP(V14,ROI_Lookup[],2,FALSE)</f>
        <v>41</v>
      </c>
      <c r="Y14" t="s">
        <v>93</v>
      </c>
      <c r="Z14" t="b">
        <v>1</v>
      </c>
      <c r="AA14" t="b">
        <v>1</v>
      </c>
    </row>
    <row r="15" spans="1:31">
      <c r="N15" s="3" t="s">
        <v>86</v>
      </c>
      <c r="O15" s="3" t="s">
        <v>82</v>
      </c>
      <c r="P15" s="3" t="s">
        <v>82</v>
      </c>
      <c r="Q15" s="3" t="s">
        <v>86</v>
      </c>
      <c r="R15" s="3" t="s">
        <v>86</v>
      </c>
      <c r="U15" t="s">
        <v>65</v>
      </c>
      <c r="V15" t="s">
        <v>2</v>
      </c>
      <c r="W15" s="48">
        <f>VLOOKUP(U15,ROI_Lookup[],2,FALSE)</f>
        <v>2</v>
      </c>
      <c r="X15" s="48">
        <f>VLOOKUP(V15,ROI_Lookup[],2,FALSE)</f>
        <v>24</v>
      </c>
      <c r="Y15" t="s">
        <v>93</v>
      </c>
      <c r="Z15" t="b">
        <v>1</v>
      </c>
      <c r="AA15" t="b">
        <v>0</v>
      </c>
    </row>
    <row r="16" spans="1:31">
      <c r="U16" t="s">
        <v>65</v>
      </c>
      <c r="V16" t="s">
        <v>1</v>
      </c>
      <c r="W16" s="48">
        <f>VLOOKUP(U16,ROI_Lookup[],2,FALSE)</f>
        <v>2</v>
      </c>
      <c r="X16" s="48">
        <f>VLOOKUP(V16,ROI_Lookup[],2,FALSE)</f>
        <v>38</v>
      </c>
      <c r="Y16" t="s">
        <v>93</v>
      </c>
      <c r="Z16" t="b">
        <v>1</v>
      </c>
      <c r="AA16" t="b">
        <v>0</v>
      </c>
    </row>
    <row r="17" spans="21:27">
      <c r="U17" t="s">
        <v>64</v>
      </c>
      <c r="V17" t="s">
        <v>63</v>
      </c>
      <c r="W17" s="48">
        <f>VLOOKUP(U17,ROI_Lookup[],2,FALSE)</f>
        <v>25</v>
      </c>
      <c r="X17" s="48">
        <f>VLOOKUP(V17,ROI_Lookup[],2,FALSE)</f>
        <v>27</v>
      </c>
      <c r="Y17" t="s">
        <v>78</v>
      </c>
      <c r="Z17" t="b">
        <v>0</v>
      </c>
      <c r="AA17" t="b">
        <v>1</v>
      </c>
    </row>
    <row r="18" spans="21:27">
      <c r="U18" t="s">
        <v>64</v>
      </c>
      <c r="V18" t="s">
        <v>62</v>
      </c>
      <c r="W18" s="48">
        <f>VLOOKUP(U18,ROI_Lookup[],2,FALSE)</f>
        <v>25</v>
      </c>
      <c r="X18" s="48">
        <f>VLOOKUP(V18,ROI_Lookup[],2,FALSE)</f>
        <v>26</v>
      </c>
      <c r="Y18" t="s">
        <v>78</v>
      </c>
      <c r="Z18" t="b">
        <v>0</v>
      </c>
      <c r="AA18" t="b">
        <v>1</v>
      </c>
    </row>
    <row r="19" spans="21:27">
      <c r="U19" t="s">
        <v>64</v>
      </c>
      <c r="V19" t="s">
        <v>3</v>
      </c>
      <c r="W19" s="48">
        <f>VLOOKUP(U19,ROI_Lookup[],2,FALSE)</f>
        <v>25</v>
      </c>
      <c r="X19" s="48">
        <f>VLOOKUP(V19,ROI_Lookup[],2,FALSE)</f>
        <v>30</v>
      </c>
      <c r="Y19" t="s">
        <v>92</v>
      </c>
      <c r="Z19" t="b">
        <v>1</v>
      </c>
      <c r="AA19" t="b">
        <v>0</v>
      </c>
    </row>
    <row r="20" spans="21:27">
      <c r="U20" t="s">
        <v>64</v>
      </c>
      <c r="V20" t="s">
        <v>61</v>
      </c>
      <c r="W20" s="48">
        <f>VLOOKUP(U20,ROI_Lookup[],2,FALSE)</f>
        <v>25</v>
      </c>
      <c r="X20" s="48">
        <f>VLOOKUP(V20,ROI_Lookup[],2,FALSE)</f>
        <v>41</v>
      </c>
      <c r="Y20" t="s">
        <v>78</v>
      </c>
      <c r="Z20" t="b">
        <v>1</v>
      </c>
      <c r="AA20" t="b">
        <v>0</v>
      </c>
    </row>
    <row r="21" spans="21:27">
      <c r="U21" t="s">
        <v>64</v>
      </c>
      <c r="V21" t="s">
        <v>2</v>
      </c>
      <c r="W21" s="48">
        <f>VLOOKUP(U21,ROI_Lookup[],2,FALSE)</f>
        <v>25</v>
      </c>
      <c r="X21" s="48">
        <f>VLOOKUP(V21,ROI_Lookup[],2,FALSE)</f>
        <v>24</v>
      </c>
      <c r="Y21" t="s">
        <v>78</v>
      </c>
      <c r="Z21" t="b">
        <v>1</v>
      </c>
      <c r="AA21" t="b">
        <v>0</v>
      </c>
    </row>
    <row r="22" spans="21:27">
      <c r="U22" t="s">
        <v>64</v>
      </c>
      <c r="V22" t="s">
        <v>1</v>
      </c>
      <c r="W22" s="48">
        <f>VLOOKUP(U22,ROI_Lookup[],2,FALSE)</f>
        <v>25</v>
      </c>
      <c r="X22" s="48">
        <f>VLOOKUP(V22,ROI_Lookup[],2,FALSE)</f>
        <v>38</v>
      </c>
      <c r="Y22" t="s">
        <v>78</v>
      </c>
      <c r="Z22" t="b">
        <v>1</v>
      </c>
      <c r="AA22" t="b">
        <v>0</v>
      </c>
    </row>
    <row r="23" spans="21:27">
      <c r="U23" t="s">
        <v>63</v>
      </c>
      <c r="V23" t="s">
        <v>62</v>
      </c>
      <c r="W23" s="48">
        <f>VLOOKUP(U23,ROI_Lookup[],2,FALSE)</f>
        <v>27</v>
      </c>
      <c r="X23" s="48">
        <f>VLOOKUP(V23,ROI_Lookup[],2,FALSE)</f>
        <v>26</v>
      </c>
      <c r="Y23" t="s">
        <v>81</v>
      </c>
      <c r="Z23" t="b">
        <v>0</v>
      </c>
      <c r="AA23" t="b">
        <v>0</v>
      </c>
    </row>
    <row r="24" spans="21:27">
      <c r="U24" t="s">
        <v>63</v>
      </c>
      <c r="V24" t="s">
        <v>3</v>
      </c>
      <c r="W24" s="48">
        <f>VLOOKUP(U24,ROI_Lookup[],2,FALSE)</f>
        <v>27</v>
      </c>
      <c r="X24" s="48">
        <f>VLOOKUP(V24,ROI_Lookup[],2,FALSE)</f>
        <v>30</v>
      </c>
      <c r="Y24" t="s">
        <v>81</v>
      </c>
      <c r="Z24" t="b">
        <v>0</v>
      </c>
      <c r="AA24" t="b">
        <v>0</v>
      </c>
    </row>
    <row r="25" spans="21:27">
      <c r="U25" t="s">
        <v>63</v>
      </c>
      <c r="V25" t="s">
        <v>61</v>
      </c>
      <c r="W25" s="48">
        <f>VLOOKUP(U25,ROI_Lookup[],2,FALSE)</f>
        <v>27</v>
      </c>
      <c r="X25" s="48">
        <f>VLOOKUP(V25,ROI_Lookup[],2,FALSE)</f>
        <v>41</v>
      </c>
      <c r="Y25" t="s">
        <v>81</v>
      </c>
      <c r="Z25" t="b">
        <v>0</v>
      </c>
      <c r="AA25" t="b">
        <v>0</v>
      </c>
    </row>
    <row r="26" spans="21:27">
      <c r="U26" t="s">
        <v>63</v>
      </c>
      <c r="V26" t="s">
        <v>2</v>
      </c>
      <c r="W26" s="48">
        <f>VLOOKUP(U26,ROI_Lookup[],2,FALSE)</f>
        <v>27</v>
      </c>
      <c r="X26" s="48">
        <f>VLOOKUP(V26,ROI_Lookup[],2,FALSE)</f>
        <v>24</v>
      </c>
      <c r="Y26" t="s">
        <v>81</v>
      </c>
      <c r="Z26" t="b">
        <v>0</v>
      </c>
      <c r="AA26" t="b">
        <v>0</v>
      </c>
    </row>
    <row r="27" spans="21:27">
      <c r="U27" t="s">
        <v>63</v>
      </c>
      <c r="V27" t="s">
        <v>1</v>
      </c>
      <c r="W27" s="48">
        <f>VLOOKUP(U27,ROI_Lookup[],2,FALSE)</f>
        <v>27</v>
      </c>
      <c r="X27" s="48">
        <f>VLOOKUP(V27,ROI_Lookup[],2,FALSE)</f>
        <v>38</v>
      </c>
      <c r="Y27" t="s">
        <v>81</v>
      </c>
      <c r="Z27" t="b">
        <v>0</v>
      </c>
      <c r="AA27" t="b">
        <v>0</v>
      </c>
    </row>
    <row r="28" spans="21:27">
      <c r="U28" t="s">
        <v>62</v>
      </c>
      <c r="V28" t="s">
        <v>3</v>
      </c>
      <c r="W28" s="48">
        <f>VLOOKUP(U28,ROI_Lookup[],2,FALSE)</f>
        <v>26</v>
      </c>
      <c r="X28" s="48">
        <f>VLOOKUP(V28,ROI_Lookup[],2,FALSE)</f>
        <v>30</v>
      </c>
      <c r="Y28" t="s">
        <v>92</v>
      </c>
      <c r="Z28" t="b">
        <v>0</v>
      </c>
      <c r="AA28" t="b">
        <v>1</v>
      </c>
    </row>
    <row r="29" spans="21:27">
      <c r="U29" t="s">
        <v>62</v>
      </c>
      <c r="V29" t="s">
        <v>61</v>
      </c>
      <c r="W29" s="48">
        <f>VLOOKUP(U29,ROI_Lookup[],2,FALSE)</f>
        <v>26</v>
      </c>
      <c r="X29" s="48">
        <f>VLOOKUP(V29,ROI_Lookup[],2,FALSE)</f>
        <v>41</v>
      </c>
      <c r="Y29" t="s">
        <v>91</v>
      </c>
      <c r="Z29" t="b">
        <v>1</v>
      </c>
      <c r="AA29" t="b">
        <v>1</v>
      </c>
    </row>
    <row r="30" spans="21:27">
      <c r="U30" t="s">
        <v>62</v>
      </c>
      <c r="V30" t="s">
        <v>2</v>
      </c>
      <c r="W30" s="48">
        <f>VLOOKUP(U30,ROI_Lookup[],2,FALSE)</f>
        <v>26</v>
      </c>
      <c r="X30" s="48">
        <f>VLOOKUP(V30,ROI_Lookup[],2,FALSE)</f>
        <v>24</v>
      </c>
      <c r="Y30" t="s">
        <v>78</v>
      </c>
      <c r="Z30" t="b">
        <v>1</v>
      </c>
      <c r="AA30" t="b">
        <v>0</v>
      </c>
    </row>
    <row r="31" spans="21:27">
      <c r="U31" t="s">
        <v>62</v>
      </c>
      <c r="V31" t="s">
        <v>1</v>
      </c>
      <c r="W31" s="48">
        <f>VLOOKUP(U31,ROI_Lookup[],2,FALSE)</f>
        <v>26</v>
      </c>
      <c r="X31" s="48">
        <f>VLOOKUP(V31,ROI_Lookup[],2,FALSE)</f>
        <v>38</v>
      </c>
      <c r="Y31" t="s">
        <v>78</v>
      </c>
      <c r="Z31" t="b">
        <v>1</v>
      </c>
      <c r="AA31" t="b">
        <v>0</v>
      </c>
    </row>
    <row r="32" spans="21:27">
      <c r="U32" t="s">
        <v>3</v>
      </c>
      <c r="V32" t="s">
        <v>61</v>
      </c>
      <c r="W32" s="48">
        <f>VLOOKUP(U32,ROI_Lookup[],2,FALSE)</f>
        <v>30</v>
      </c>
      <c r="X32" s="48">
        <f>VLOOKUP(V32,ROI_Lookup[],2,FALSE)</f>
        <v>41</v>
      </c>
      <c r="Y32" t="s">
        <v>91</v>
      </c>
      <c r="Z32" t="b">
        <v>0</v>
      </c>
      <c r="AA32" t="b">
        <v>1</v>
      </c>
    </row>
    <row r="33" spans="21:27">
      <c r="U33" t="s">
        <v>3</v>
      </c>
      <c r="V33" t="s">
        <v>2</v>
      </c>
      <c r="W33" s="48">
        <f>VLOOKUP(U33,ROI_Lookup[],2,FALSE)</f>
        <v>30</v>
      </c>
      <c r="X33" s="48">
        <f>VLOOKUP(V33,ROI_Lookup[],2,FALSE)</f>
        <v>24</v>
      </c>
      <c r="Y33" t="s">
        <v>78</v>
      </c>
      <c r="Z33" t="b">
        <v>1</v>
      </c>
      <c r="AA33" t="b">
        <v>1</v>
      </c>
    </row>
    <row r="34" spans="21:27">
      <c r="U34" t="s">
        <v>3</v>
      </c>
      <c r="V34" t="s">
        <v>1</v>
      </c>
      <c r="W34" s="48">
        <f>VLOOKUP(U34,ROI_Lookup[],2,FALSE)</f>
        <v>30</v>
      </c>
      <c r="X34" s="48">
        <f>VLOOKUP(V34,ROI_Lookup[],2,FALSE)</f>
        <v>38</v>
      </c>
      <c r="Y34" t="s">
        <v>78</v>
      </c>
      <c r="Z34" t="b">
        <v>1</v>
      </c>
      <c r="AA34" t="b">
        <v>1</v>
      </c>
    </row>
    <row r="35" spans="21:27">
      <c r="U35" t="s">
        <v>61</v>
      </c>
      <c r="V35" t="s">
        <v>2</v>
      </c>
      <c r="W35" s="48">
        <f>VLOOKUP(U35,ROI_Lookup[],2,FALSE)</f>
        <v>41</v>
      </c>
      <c r="X35" s="48">
        <f>VLOOKUP(V35,ROI_Lookup[],2,FALSE)</f>
        <v>24</v>
      </c>
      <c r="Y35" t="s">
        <v>78</v>
      </c>
      <c r="Z35" t="b">
        <v>0</v>
      </c>
      <c r="AA35" t="b">
        <v>1</v>
      </c>
    </row>
    <row r="36" spans="21:27">
      <c r="U36" t="s">
        <v>61</v>
      </c>
      <c r="V36" t="s">
        <v>1</v>
      </c>
      <c r="W36" s="48">
        <f>VLOOKUP(U36,ROI_Lookup[],2,FALSE)</f>
        <v>41</v>
      </c>
      <c r="X36" s="48">
        <f>VLOOKUP(V36,ROI_Lookup[],2,FALSE)</f>
        <v>38</v>
      </c>
      <c r="Y36" t="s">
        <v>78</v>
      </c>
      <c r="Z36" t="b">
        <v>1</v>
      </c>
      <c r="AA36" t="b">
        <v>1</v>
      </c>
    </row>
    <row r="37" spans="21:27">
      <c r="U37" t="s">
        <v>2</v>
      </c>
      <c r="V37" t="s">
        <v>1</v>
      </c>
      <c r="W37" s="48">
        <f>VLOOKUP(U37,ROI_Lookup[],2,FALSE)</f>
        <v>24</v>
      </c>
      <c r="X37" s="48">
        <f>VLOOKUP(V37,ROI_Lookup[],2,FALSE)</f>
        <v>38</v>
      </c>
      <c r="Y37" t="s">
        <v>86</v>
      </c>
      <c r="Z37" t="b">
        <v>1</v>
      </c>
      <c r="AA37" t="b">
        <v>1</v>
      </c>
    </row>
  </sheetData>
  <mergeCells count="1">
    <mergeCell ref="AD1:AE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9"/>
  <sheetViews>
    <sheetView workbookViewId="0">
      <selection activeCell="O2" sqref="O2:O16"/>
    </sheetView>
  </sheetViews>
  <sheetFormatPr defaultRowHeight="15"/>
  <cols>
    <col min="1" max="1" width="11" bestFit="1" customWidth="1"/>
    <col min="2" max="2" width="22.28515625" bestFit="1" customWidth="1"/>
    <col min="3" max="3" width="1.42578125" customWidth="1"/>
    <col min="4" max="4" width="17.7109375" bestFit="1" customWidth="1"/>
    <col min="5" max="5" width="13" bestFit="1" customWidth="1"/>
    <col min="6" max="6" width="15.140625" bestFit="1" customWidth="1"/>
    <col min="7" max="7" width="9.42578125" bestFit="1" customWidth="1"/>
    <col min="8" max="8" width="8.140625" bestFit="1" customWidth="1"/>
    <col min="9" max="9" width="9.42578125" bestFit="1" customWidth="1"/>
    <col min="10" max="10" width="1.28515625" customWidth="1"/>
    <col min="11" max="11" width="16" bestFit="1" customWidth="1"/>
    <col min="12" max="12" width="10.5703125" bestFit="1" customWidth="1"/>
    <col min="13" max="13" width="18" bestFit="1" customWidth="1"/>
    <col min="14" max="14" width="1.42578125" customWidth="1"/>
    <col min="15" max="15" width="7.28515625" bestFit="1" customWidth="1"/>
    <col min="16" max="16" width="12.5703125" bestFit="1" customWidth="1"/>
    <col min="17" max="17" width="16" bestFit="1" customWidth="1"/>
    <col min="18" max="18" width="8.28515625" bestFit="1" customWidth="1"/>
    <col min="19" max="19" width="1.28515625" customWidth="1"/>
    <col min="20" max="20" width="24.28515625" bestFit="1" customWidth="1"/>
    <col min="21" max="21" width="2.140625" customWidth="1"/>
    <col min="22" max="22" width="13.140625" bestFit="1" customWidth="1"/>
    <col min="23" max="23" width="1.5703125" customWidth="1"/>
    <col min="24" max="24" width="14.7109375" bestFit="1" customWidth="1"/>
  </cols>
  <sheetData>
    <row r="1" spans="1:24" ht="18.75">
      <c r="A1" s="89" t="s">
        <v>100</v>
      </c>
      <c r="B1" s="89"/>
      <c r="C1" s="62"/>
      <c r="D1" s="93" t="s">
        <v>101</v>
      </c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62"/>
      <c r="T1" s="78" t="s">
        <v>102</v>
      </c>
      <c r="U1" s="62"/>
      <c r="V1" s="44" t="s">
        <v>103</v>
      </c>
      <c r="W1" s="62"/>
      <c r="X1" t="s">
        <v>104</v>
      </c>
    </row>
    <row r="2" spans="1:24">
      <c r="A2" s="48" t="s">
        <v>105</v>
      </c>
      <c r="B2" s="48" t="s">
        <v>106</v>
      </c>
      <c r="C2" s="63"/>
      <c r="D2" t="s">
        <v>19</v>
      </c>
      <c r="E2" t="s">
        <v>107</v>
      </c>
      <c r="F2" t="s">
        <v>108</v>
      </c>
      <c r="G2" t="s">
        <v>109</v>
      </c>
      <c r="H2" s="59" t="s">
        <v>110</v>
      </c>
      <c r="I2" s="57" t="s">
        <v>111</v>
      </c>
      <c r="J2" s="63"/>
      <c r="K2" s="70" t="s">
        <v>36</v>
      </c>
      <c r="L2" s="59" t="s">
        <v>110</v>
      </c>
      <c r="N2" s="63"/>
      <c r="O2" s="90" t="s">
        <v>112</v>
      </c>
      <c r="P2" s="64" t="s">
        <v>113</v>
      </c>
      <c r="Q2" s="65" t="s">
        <v>0</v>
      </c>
      <c r="R2" s="77"/>
      <c r="S2" s="66"/>
      <c r="T2" s="79" t="s">
        <v>0</v>
      </c>
      <c r="U2" s="63"/>
      <c r="V2" s="46" t="s">
        <v>114</v>
      </c>
      <c r="W2" s="63"/>
      <c r="X2" t="s">
        <v>115</v>
      </c>
    </row>
    <row r="3" spans="1:24">
      <c r="A3" t="s">
        <v>116</v>
      </c>
      <c r="B3" s="42" t="s">
        <v>117</v>
      </c>
      <c r="C3" s="63"/>
      <c r="D3" t="s">
        <v>1</v>
      </c>
      <c r="E3" t="s">
        <v>118</v>
      </c>
      <c r="F3" s="61" t="s">
        <v>119</v>
      </c>
      <c r="G3" s="48">
        <v>3</v>
      </c>
      <c r="I3" t="s">
        <v>120</v>
      </c>
      <c r="J3" s="63"/>
      <c r="K3" s="74" t="s">
        <v>121</v>
      </c>
      <c r="L3" s="75" t="s">
        <v>122</v>
      </c>
      <c r="N3" s="63"/>
      <c r="O3" s="91"/>
      <c r="P3" t="s">
        <v>123</v>
      </c>
      <c r="Q3" s="20" t="s">
        <v>9</v>
      </c>
      <c r="R3" s="75"/>
      <c r="S3" s="63"/>
      <c r="T3" s="80" t="s">
        <v>9</v>
      </c>
      <c r="U3" s="63"/>
      <c r="V3" s="46" t="s">
        <v>124</v>
      </c>
      <c r="W3" s="63"/>
      <c r="X3" t="s">
        <v>125</v>
      </c>
    </row>
    <row r="4" spans="1:24">
      <c r="A4" t="s">
        <v>126</v>
      </c>
      <c r="B4" s="42">
        <v>1</v>
      </c>
      <c r="C4" s="63"/>
      <c r="D4" t="s">
        <v>2</v>
      </c>
      <c r="E4" t="s">
        <v>127</v>
      </c>
      <c r="F4" s="61" t="s">
        <v>119</v>
      </c>
      <c r="G4" s="48">
        <v>3</v>
      </c>
      <c r="I4" t="s">
        <v>120</v>
      </c>
      <c r="J4" s="63"/>
      <c r="K4" s="74" t="s">
        <v>128</v>
      </c>
      <c r="L4" s="75" t="s">
        <v>129</v>
      </c>
      <c r="N4" s="63"/>
      <c r="O4" s="91"/>
      <c r="P4" t="s">
        <v>130</v>
      </c>
      <c r="Q4" s="20" t="s">
        <v>10</v>
      </c>
      <c r="R4" s="75"/>
      <c r="S4" s="63"/>
      <c r="T4" s="80" t="s">
        <v>10</v>
      </c>
      <c r="U4" s="63"/>
      <c r="V4" s="46" t="s">
        <v>131</v>
      </c>
      <c r="W4" s="63"/>
      <c r="X4" t="s">
        <v>132</v>
      </c>
    </row>
    <row r="5" spans="1:24">
      <c r="A5" t="s">
        <v>133</v>
      </c>
      <c r="B5" s="42">
        <v>0.6</v>
      </c>
      <c r="C5" s="63"/>
      <c r="D5" t="s">
        <v>3</v>
      </c>
      <c r="E5" t="s">
        <v>134</v>
      </c>
      <c r="F5" s="61" t="s">
        <v>119</v>
      </c>
      <c r="G5" s="48">
        <v>3</v>
      </c>
      <c r="I5" t="s">
        <v>120</v>
      </c>
      <c r="J5" s="63"/>
      <c r="K5" s="76" t="s">
        <v>135</v>
      </c>
      <c r="L5" s="72" t="s">
        <v>136</v>
      </c>
      <c r="N5" s="63"/>
      <c r="O5" s="91"/>
      <c r="P5" t="s">
        <v>137</v>
      </c>
      <c r="Q5" s="20" t="s">
        <v>17</v>
      </c>
      <c r="R5" s="75"/>
      <c r="S5" s="63"/>
      <c r="T5" s="80" t="s">
        <v>17</v>
      </c>
      <c r="U5" s="63"/>
      <c r="V5" s="46" t="s">
        <v>138</v>
      </c>
      <c r="W5" s="63"/>
      <c r="X5" t="s">
        <v>139</v>
      </c>
    </row>
    <row r="6" spans="1:24">
      <c r="A6" t="s">
        <v>140</v>
      </c>
      <c r="B6" s="42" t="s">
        <v>141</v>
      </c>
      <c r="C6" s="63"/>
      <c r="D6" t="s">
        <v>20</v>
      </c>
      <c r="E6" t="s">
        <v>142</v>
      </c>
      <c r="F6" s="61" t="s">
        <v>119</v>
      </c>
      <c r="G6" s="48">
        <v>2</v>
      </c>
      <c r="H6" t="s">
        <v>143</v>
      </c>
      <c r="I6" t="s">
        <v>144</v>
      </c>
      <c r="J6" s="63"/>
      <c r="N6" s="63"/>
      <c r="O6" s="91"/>
      <c r="P6" t="s">
        <v>145</v>
      </c>
      <c r="Q6" s="20" t="s">
        <v>19</v>
      </c>
      <c r="R6" s="75"/>
      <c r="S6" s="63"/>
      <c r="T6" s="80" t="s">
        <v>19</v>
      </c>
      <c r="U6" s="63"/>
      <c r="V6" s="46" t="s">
        <v>146</v>
      </c>
      <c r="W6" s="63"/>
      <c r="X6" t="s">
        <v>147</v>
      </c>
    </row>
    <row r="7" spans="1:24">
      <c r="A7" t="s">
        <v>148</v>
      </c>
      <c r="B7" s="42">
        <v>12</v>
      </c>
      <c r="C7" s="63"/>
      <c r="D7" t="s">
        <v>21</v>
      </c>
      <c r="E7" t="s">
        <v>149</v>
      </c>
      <c r="F7" t="s">
        <v>150</v>
      </c>
      <c r="G7" s="48">
        <v>3</v>
      </c>
      <c r="I7" t="s">
        <v>151</v>
      </c>
      <c r="J7" s="63"/>
      <c r="K7" s="70" t="s">
        <v>37</v>
      </c>
      <c r="L7" s="58" t="s">
        <v>152</v>
      </c>
      <c r="M7" s="59" t="s">
        <v>153</v>
      </c>
      <c r="N7" s="63"/>
      <c r="O7" s="91"/>
      <c r="P7" t="s">
        <v>154</v>
      </c>
      <c r="Q7" s="20" t="s">
        <v>22</v>
      </c>
      <c r="R7" s="75"/>
      <c r="S7" s="63"/>
      <c r="T7" s="80" t="s">
        <v>22</v>
      </c>
      <c r="U7" s="63"/>
      <c r="V7" s="46" t="s">
        <v>119</v>
      </c>
      <c r="W7" s="63"/>
      <c r="X7" t="s">
        <v>155</v>
      </c>
    </row>
    <row r="8" spans="1:24">
      <c r="A8" t="s">
        <v>156</v>
      </c>
      <c r="B8" s="42" t="s">
        <v>157</v>
      </c>
      <c r="C8" s="63"/>
      <c r="D8" t="s">
        <v>158</v>
      </c>
      <c r="E8" t="s">
        <v>159</v>
      </c>
      <c r="F8" t="s">
        <v>150</v>
      </c>
      <c r="G8" s="48">
        <v>3</v>
      </c>
      <c r="I8" t="s">
        <v>151</v>
      </c>
      <c r="J8" s="63"/>
      <c r="K8" s="71"/>
      <c r="L8" s="68"/>
      <c r="M8" s="72" t="s">
        <v>160</v>
      </c>
      <c r="N8" s="63"/>
      <c r="O8" s="91"/>
      <c r="P8" t="s">
        <v>161</v>
      </c>
      <c r="Q8" s="20" t="s">
        <v>26</v>
      </c>
      <c r="R8" s="75"/>
      <c r="S8" s="63"/>
      <c r="T8" s="80" t="s">
        <v>26</v>
      </c>
      <c r="U8" s="63"/>
      <c r="V8" s="46" t="s">
        <v>162</v>
      </c>
      <c r="W8" s="63"/>
      <c r="X8" t="s">
        <v>163</v>
      </c>
    </row>
    <row r="9" spans="1:24">
      <c r="A9" t="s">
        <v>109</v>
      </c>
      <c r="B9" s="42">
        <v>3</v>
      </c>
      <c r="C9" s="63"/>
      <c r="D9" t="s">
        <v>164</v>
      </c>
      <c r="E9" t="s">
        <v>165</v>
      </c>
      <c r="F9" t="s">
        <v>150</v>
      </c>
      <c r="G9" s="48">
        <v>3</v>
      </c>
      <c r="I9" t="s">
        <v>166</v>
      </c>
      <c r="J9" s="63"/>
      <c r="N9" s="63"/>
      <c r="O9" s="91"/>
      <c r="P9" t="s">
        <v>167</v>
      </c>
      <c r="Q9" s="20" t="s">
        <v>33</v>
      </c>
      <c r="R9" s="75"/>
      <c r="S9" s="63"/>
      <c r="T9" s="80" t="s">
        <v>33</v>
      </c>
      <c r="U9" s="63"/>
      <c r="V9" s="46" t="s">
        <v>168</v>
      </c>
      <c r="W9" s="63"/>
      <c r="X9" t="s">
        <v>169</v>
      </c>
    </row>
    <row r="10" spans="1:24">
      <c r="A10" t="s">
        <v>108</v>
      </c>
      <c r="B10" s="55" t="s">
        <v>170</v>
      </c>
      <c r="C10" s="63"/>
      <c r="D10" t="s">
        <v>171</v>
      </c>
      <c r="E10" t="s">
        <v>172</v>
      </c>
      <c r="F10" t="s">
        <v>150</v>
      </c>
      <c r="G10" s="48">
        <v>3</v>
      </c>
      <c r="I10" t="s">
        <v>166</v>
      </c>
      <c r="J10" s="63"/>
      <c r="K10" s="73" t="s">
        <v>0</v>
      </c>
      <c r="L10" s="56" t="s">
        <v>173</v>
      </c>
      <c r="N10" s="63"/>
      <c r="O10" s="91"/>
      <c r="P10" t="s">
        <v>174</v>
      </c>
      <c r="Q10" s="21" t="s">
        <v>46</v>
      </c>
      <c r="R10" s="75"/>
      <c r="S10" s="63"/>
      <c r="T10" s="80" t="s">
        <v>36</v>
      </c>
      <c r="U10" s="63"/>
      <c r="V10" s="46" t="s">
        <v>175</v>
      </c>
      <c r="W10" s="63"/>
      <c r="X10" t="s">
        <v>176</v>
      </c>
    </row>
    <row r="11" spans="1:24">
      <c r="A11" t="s">
        <v>153</v>
      </c>
      <c r="B11" s="42" t="s">
        <v>177</v>
      </c>
      <c r="C11" s="63"/>
      <c r="D11" t="s">
        <v>178</v>
      </c>
      <c r="E11" t="s">
        <v>179</v>
      </c>
      <c r="F11" t="s">
        <v>150</v>
      </c>
      <c r="G11" s="48">
        <v>3</v>
      </c>
      <c r="I11" t="s">
        <v>166</v>
      </c>
      <c r="J11" s="63"/>
      <c r="N11" s="63"/>
      <c r="O11" s="91"/>
      <c r="P11" t="s">
        <v>180</v>
      </c>
      <c r="Q11" s="20" t="s">
        <v>47</v>
      </c>
      <c r="R11" s="75"/>
      <c r="S11" s="63"/>
      <c r="T11" s="80" t="s">
        <v>37</v>
      </c>
      <c r="U11" s="63"/>
      <c r="V11" s="46" t="s">
        <v>181</v>
      </c>
      <c r="W11" s="63"/>
      <c r="X11" t="s">
        <v>182</v>
      </c>
    </row>
    <row r="12" spans="1:24">
      <c r="C12" s="63"/>
      <c r="D12" t="s">
        <v>183</v>
      </c>
      <c r="E12" t="s">
        <v>179</v>
      </c>
      <c r="F12" t="s">
        <v>150</v>
      </c>
      <c r="G12" s="48">
        <v>3</v>
      </c>
      <c r="I12" t="s">
        <v>166</v>
      </c>
      <c r="J12" s="63"/>
      <c r="N12" s="63"/>
      <c r="O12" s="91"/>
      <c r="P12" t="s">
        <v>184</v>
      </c>
      <c r="Q12" s="20" t="s">
        <v>48</v>
      </c>
      <c r="R12" s="75"/>
      <c r="S12" s="63"/>
      <c r="T12" s="80" t="s">
        <v>45</v>
      </c>
      <c r="U12" s="63"/>
      <c r="W12" s="63"/>
      <c r="X12" t="s">
        <v>185</v>
      </c>
    </row>
    <row r="13" spans="1:24" ht="18">
      <c r="C13" s="63"/>
      <c r="D13" t="s">
        <v>186</v>
      </c>
      <c r="E13" t="s">
        <v>185</v>
      </c>
      <c r="F13" t="s">
        <v>150</v>
      </c>
      <c r="G13" s="48">
        <v>3</v>
      </c>
      <c r="I13" t="s">
        <v>187</v>
      </c>
      <c r="J13" s="63"/>
      <c r="L13" s="44"/>
      <c r="N13" s="63"/>
      <c r="O13" s="91"/>
      <c r="P13" t="s">
        <v>188</v>
      </c>
      <c r="Q13" s="20" t="s">
        <v>49</v>
      </c>
      <c r="R13" s="75"/>
      <c r="S13" s="63"/>
      <c r="T13" s="80" t="s">
        <v>46</v>
      </c>
      <c r="U13" s="63"/>
      <c r="W13" s="63"/>
      <c r="X13" t="s">
        <v>159</v>
      </c>
    </row>
    <row r="14" spans="1:24">
      <c r="C14" s="63"/>
      <c r="D14" t="s">
        <v>189</v>
      </c>
      <c r="E14" t="s">
        <v>190</v>
      </c>
      <c r="F14" t="s">
        <v>150</v>
      </c>
      <c r="G14" s="48">
        <v>3</v>
      </c>
      <c r="I14" t="s">
        <v>191</v>
      </c>
      <c r="J14" s="63"/>
      <c r="L14" s="45"/>
      <c r="N14" s="63"/>
      <c r="O14" s="91"/>
      <c r="P14" t="s">
        <v>192</v>
      </c>
      <c r="Q14" s="20" t="s">
        <v>50</v>
      </c>
      <c r="R14" s="67" t="s">
        <v>51</v>
      </c>
      <c r="S14" s="63"/>
      <c r="T14" s="80" t="s">
        <v>47</v>
      </c>
      <c r="U14" s="63"/>
      <c r="W14" s="63"/>
      <c r="X14" t="s">
        <v>179</v>
      </c>
    </row>
    <row r="15" spans="1:24">
      <c r="C15" s="63"/>
      <c r="D15" t="s">
        <v>193</v>
      </c>
      <c r="E15" t="s">
        <v>190</v>
      </c>
      <c r="F15" t="s">
        <v>150</v>
      </c>
      <c r="G15" s="48">
        <v>3</v>
      </c>
      <c r="I15" t="s">
        <v>191</v>
      </c>
      <c r="J15" s="63"/>
      <c r="L15" s="46"/>
      <c r="N15" s="63"/>
      <c r="O15" s="91"/>
      <c r="Q15" s="20" t="s">
        <v>36</v>
      </c>
      <c r="R15" s="75"/>
      <c r="S15" s="63"/>
      <c r="T15" s="80" t="s">
        <v>48</v>
      </c>
      <c r="U15" s="63"/>
      <c r="W15" s="63"/>
      <c r="X15" t="s">
        <v>165</v>
      </c>
    </row>
    <row r="16" spans="1:24">
      <c r="C16" s="63"/>
      <c r="D16" t="s">
        <v>194</v>
      </c>
      <c r="E16" t="s">
        <v>169</v>
      </c>
      <c r="F16" t="s">
        <v>195</v>
      </c>
      <c r="G16" s="48">
        <v>3</v>
      </c>
      <c r="I16" t="s">
        <v>144</v>
      </c>
      <c r="J16" s="63"/>
      <c r="L16" s="46"/>
      <c r="N16" s="63"/>
      <c r="O16" s="92"/>
      <c r="P16" s="68"/>
      <c r="Q16" s="68"/>
      <c r="R16" s="72"/>
      <c r="S16" s="69"/>
      <c r="T16" s="80" t="s">
        <v>49</v>
      </c>
      <c r="U16" s="63"/>
      <c r="W16" s="63"/>
      <c r="X16" t="s">
        <v>118</v>
      </c>
    </row>
    <row r="17" spans="3:24">
      <c r="C17" s="63"/>
      <c r="D17" t="s">
        <v>196</v>
      </c>
      <c r="E17" t="s">
        <v>139</v>
      </c>
      <c r="F17" s="61" t="s">
        <v>146</v>
      </c>
      <c r="G17" s="48">
        <v>3</v>
      </c>
      <c r="I17" t="s">
        <v>144</v>
      </c>
      <c r="J17" s="63"/>
      <c r="L17" s="46"/>
      <c r="N17" s="63"/>
      <c r="S17" s="63"/>
      <c r="T17" s="80" t="s">
        <v>50</v>
      </c>
      <c r="U17" s="63"/>
      <c r="W17" s="63"/>
      <c r="X17" t="s">
        <v>127</v>
      </c>
    </row>
    <row r="18" spans="3:24">
      <c r="C18" s="63"/>
      <c r="D18" t="s">
        <v>197</v>
      </c>
      <c r="E18" t="s">
        <v>185</v>
      </c>
      <c r="F18" s="61" t="s">
        <v>146</v>
      </c>
      <c r="G18" s="48">
        <v>3</v>
      </c>
      <c r="I18" t="s">
        <v>144</v>
      </c>
      <c r="J18" s="63"/>
      <c r="N18" s="63"/>
      <c r="S18" s="63"/>
      <c r="T18" s="80" t="s">
        <v>51</v>
      </c>
      <c r="U18" s="63"/>
      <c r="W18" s="63"/>
      <c r="X18" t="s">
        <v>198</v>
      </c>
    </row>
    <row r="19" spans="3:24">
      <c r="S19" s="63"/>
      <c r="T19" s="81" t="s">
        <v>52</v>
      </c>
      <c r="U19" s="63"/>
      <c r="X19" t="s">
        <v>134</v>
      </c>
    </row>
    <row r="20" spans="3:24">
      <c r="X20" t="s">
        <v>142</v>
      </c>
    </row>
    <row r="21" spans="3:24">
      <c r="H21" s="46"/>
      <c r="X21" t="s">
        <v>199</v>
      </c>
    </row>
    <row r="22" spans="3:24">
      <c r="X22" t="s">
        <v>200</v>
      </c>
    </row>
    <row r="23" spans="3:24">
      <c r="X23" t="s">
        <v>201</v>
      </c>
    </row>
    <row r="24" spans="3:24">
      <c r="X24" t="s">
        <v>202</v>
      </c>
    </row>
    <row r="25" spans="3:24">
      <c r="X25" t="s">
        <v>172</v>
      </c>
    </row>
    <row r="26" spans="3:24">
      <c r="X26" t="s">
        <v>203</v>
      </c>
    </row>
    <row r="27" spans="3:24">
      <c r="X27" t="s">
        <v>204</v>
      </c>
    </row>
    <row r="28" spans="3:24">
      <c r="X28" t="s">
        <v>205</v>
      </c>
    </row>
    <row r="29" spans="3:24">
      <c r="X29" t="s">
        <v>206</v>
      </c>
    </row>
    <row r="30" spans="3:24">
      <c r="X30" t="s">
        <v>149</v>
      </c>
    </row>
    <row r="31" spans="3:24">
      <c r="X31" t="s">
        <v>190</v>
      </c>
    </row>
    <row r="32" spans="3:24">
      <c r="X32" t="s">
        <v>207</v>
      </c>
    </row>
    <row r="33" spans="24:24">
      <c r="X33" t="s">
        <v>208</v>
      </c>
    </row>
    <row r="34" spans="24:24">
      <c r="X34" t="s">
        <v>209</v>
      </c>
    </row>
    <row r="35" spans="24:24">
      <c r="X35" t="s">
        <v>210</v>
      </c>
    </row>
    <row r="36" spans="24:24">
      <c r="X36" t="s">
        <v>211</v>
      </c>
    </row>
    <row r="37" spans="24:24">
      <c r="X37" t="s">
        <v>212</v>
      </c>
    </row>
    <row r="38" spans="24:24">
      <c r="X38" t="s">
        <v>213</v>
      </c>
    </row>
    <row r="39" spans="24:24">
      <c r="X39" t="s">
        <v>214</v>
      </c>
    </row>
    <row r="40" spans="24:24">
      <c r="X40" t="s">
        <v>215</v>
      </c>
    </row>
    <row r="41" spans="24:24">
      <c r="X41" t="s">
        <v>216</v>
      </c>
    </row>
    <row r="42" spans="24:24">
      <c r="X42" t="s">
        <v>217</v>
      </c>
    </row>
    <row r="43" spans="24:24">
      <c r="X43" t="s">
        <v>218</v>
      </c>
    </row>
    <row r="44" spans="24:24">
      <c r="X44" t="s">
        <v>219</v>
      </c>
    </row>
    <row r="45" spans="24:24">
      <c r="X45" t="s">
        <v>220</v>
      </c>
    </row>
    <row r="46" spans="24:24">
      <c r="X46" t="s">
        <v>221</v>
      </c>
    </row>
    <row r="47" spans="24:24">
      <c r="X47" t="s">
        <v>222</v>
      </c>
    </row>
    <row r="48" spans="24:24">
      <c r="X48" t="s">
        <v>223</v>
      </c>
    </row>
    <row r="49" spans="24:24">
      <c r="X49" t="s">
        <v>224</v>
      </c>
    </row>
    <row r="50" spans="24:24">
      <c r="X50" t="s">
        <v>225</v>
      </c>
    </row>
    <row r="51" spans="24:24">
      <c r="X51" t="s">
        <v>226</v>
      </c>
    </row>
    <row r="52" spans="24:24">
      <c r="X52" t="s">
        <v>227</v>
      </c>
    </row>
    <row r="53" spans="24:24">
      <c r="X53" t="s">
        <v>228</v>
      </c>
    </row>
    <row r="54" spans="24:24">
      <c r="X54" t="s">
        <v>229</v>
      </c>
    </row>
    <row r="55" spans="24:24">
      <c r="X55" t="s">
        <v>230</v>
      </c>
    </row>
    <row r="56" spans="24:24">
      <c r="X56" t="s">
        <v>231</v>
      </c>
    </row>
    <row r="57" spans="24:24">
      <c r="X57" t="s">
        <v>232</v>
      </c>
    </row>
    <row r="58" spans="24:24">
      <c r="X58" t="s">
        <v>233</v>
      </c>
    </row>
    <row r="59" spans="24:24">
      <c r="X59" t="s">
        <v>234</v>
      </c>
    </row>
  </sheetData>
  <mergeCells count="3">
    <mergeCell ref="A1:B1"/>
    <mergeCell ref="O2:O16"/>
    <mergeCell ref="D1:R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C1D5-74D0-4DA5-ABED-B4779519270D}">
  <dimension ref="A1:Q16"/>
  <sheetViews>
    <sheetView workbookViewId="0">
      <selection activeCell="T10" sqref="T10"/>
    </sheetView>
  </sheetViews>
  <sheetFormatPr defaultRowHeight="15"/>
  <cols>
    <col min="1" max="2" width="14.5703125" customWidth="1"/>
    <col min="4" max="4" width="12" bestFit="1" customWidth="1"/>
    <col min="5" max="6" width="10.42578125" bestFit="1" customWidth="1"/>
    <col min="7" max="7" width="12" bestFit="1" customWidth="1"/>
    <col min="8" max="8" width="10.42578125" bestFit="1" customWidth="1"/>
  </cols>
  <sheetData>
    <row r="1" spans="1:17" ht="18.75">
      <c r="A1" s="94" t="s">
        <v>235</v>
      </c>
      <c r="B1" s="94"/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108</v>
      </c>
      <c r="J1" s="2" t="s">
        <v>236</v>
      </c>
      <c r="K1" s="2" t="s">
        <v>109</v>
      </c>
      <c r="L1" s="2" t="s">
        <v>152</v>
      </c>
      <c r="O1" s="44" t="s">
        <v>237</v>
      </c>
      <c r="Q1" s="44" t="s">
        <v>236</v>
      </c>
    </row>
    <row r="2" spans="1:17">
      <c r="A2" s="48" t="s">
        <v>105</v>
      </c>
      <c r="B2" s="48" t="s">
        <v>106</v>
      </c>
      <c r="D2" s="11" t="s">
        <v>81</v>
      </c>
      <c r="E2" s="11" t="s">
        <v>82</v>
      </c>
      <c r="F2" s="11" t="s">
        <v>83</v>
      </c>
      <c r="G2" s="11" t="s">
        <v>81</v>
      </c>
      <c r="H2" s="12" t="s">
        <v>84</v>
      </c>
      <c r="I2" s="82" t="s">
        <v>138</v>
      </c>
      <c r="J2" s="82"/>
      <c r="K2" s="85"/>
      <c r="L2" s="82"/>
      <c r="O2" s="46" t="s">
        <v>114</v>
      </c>
      <c r="Q2" s="47" t="s">
        <v>238</v>
      </c>
    </row>
    <row r="3" spans="1:17">
      <c r="A3" t="s">
        <v>239</v>
      </c>
      <c r="B3" s="42" t="s">
        <v>208</v>
      </c>
      <c r="D3" s="11" t="s">
        <v>240</v>
      </c>
      <c r="E3" s="11" t="s">
        <v>83</v>
      </c>
      <c r="F3" s="11" t="s">
        <v>83</v>
      </c>
      <c r="G3" s="12" t="s">
        <v>84</v>
      </c>
      <c r="H3" s="11" t="s">
        <v>240</v>
      </c>
      <c r="I3" s="83" t="s">
        <v>124</v>
      </c>
      <c r="J3" s="82"/>
      <c r="K3" s="85">
        <v>1</v>
      </c>
      <c r="L3" s="82"/>
      <c r="O3" s="46" t="s">
        <v>124</v>
      </c>
      <c r="Q3" s="47" t="s">
        <v>241</v>
      </c>
    </row>
    <row r="4" spans="1:17">
      <c r="A4" t="s">
        <v>242</v>
      </c>
      <c r="B4" s="42" t="s">
        <v>208</v>
      </c>
      <c r="D4" s="13" t="s">
        <v>80</v>
      </c>
      <c r="E4" s="4" t="s">
        <v>83</v>
      </c>
      <c r="F4" s="4" t="s">
        <v>82</v>
      </c>
      <c r="G4" s="4" t="s">
        <v>88</v>
      </c>
      <c r="H4" s="4" t="s">
        <v>89</v>
      </c>
      <c r="I4" s="82" t="s">
        <v>243</v>
      </c>
      <c r="J4" s="82" t="s">
        <v>244</v>
      </c>
      <c r="K4" s="85">
        <v>3</v>
      </c>
      <c r="L4" s="82" t="s">
        <v>245</v>
      </c>
      <c r="O4" s="46" t="s">
        <v>131</v>
      </c>
      <c r="Q4" s="47" t="s">
        <v>246</v>
      </c>
    </row>
    <row r="5" spans="1:17">
      <c r="A5" t="s">
        <v>109</v>
      </c>
      <c r="B5" s="42">
        <v>3</v>
      </c>
      <c r="D5" s="4" t="s">
        <v>88</v>
      </c>
      <c r="E5" s="4" t="s">
        <v>83</v>
      </c>
      <c r="F5" s="4" t="s">
        <v>82</v>
      </c>
      <c r="G5" s="4" t="s">
        <v>80</v>
      </c>
      <c r="H5" s="4" t="s">
        <v>89</v>
      </c>
      <c r="I5" s="82" t="s">
        <v>243</v>
      </c>
      <c r="J5" s="82" t="s">
        <v>247</v>
      </c>
      <c r="K5" s="85">
        <v>3</v>
      </c>
      <c r="L5" s="82" t="s">
        <v>245</v>
      </c>
      <c r="O5" s="46" t="s">
        <v>138</v>
      </c>
      <c r="Q5" s="47" t="s">
        <v>208</v>
      </c>
    </row>
    <row r="6" spans="1:17">
      <c r="A6" t="s">
        <v>108</v>
      </c>
      <c r="B6" s="55" t="s">
        <v>131</v>
      </c>
      <c r="D6" s="5" t="s">
        <v>93</v>
      </c>
      <c r="E6" s="5" t="s">
        <v>83</v>
      </c>
      <c r="F6" s="5" t="s">
        <v>82</v>
      </c>
      <c r="G6" s="5" t="s">
        <v>87</v>
      </c>
      <c r="H6" s="5" t="s">
        <v>94</v>
      </c>
      <c r="I6" s="82" t="s">
        <v>243</v>
      </c>
      <c r="J6" s="82" t="s">
        <v>244</v>
      </c>
      <c r="K6" s="85">
        <v>3</v>
      </c>
      <c r="L6" s="82" t="s">
        <v>245</v>
      </c>
      <c r="O6" s="46" t="s">
        <v>146</v>
      </c>
    </row>
    <row r="7" spans="1:17">
      <c r="A7" t="s">
        <v>248</v>
      </c>
      <c r="B7" s="42" t="s">
        <v>249</v>
      </c>
      <c r="D7" s="5" t="s">
        <v>87</v>
      </c>
      <c r="E7" s="5" t="s">
        <v>83</v>
      </c>
      <c r="F7" s="5" t="s">
        <v>82</v>
      </c>
      <c r="G7" s="5" t="s">
        <v>93</v>
      </c>
      <c r="H7" s="5" t="s">
        <v>94</v>
      </c>
      <c r="I7" s="82" t="s">
        <v>243</v>
      </c>
      <c r="J7" s="82" t="s">
        <v>247</v>
      </c>
      <c r="K7" s="85">
        <v>3</v>
      </c>
      <c r="L7" s="82" t="s">
        <v>245</v>
      </c>
      <c r="O7" s="46" t="s">
        <v>243</v>
      </c>
    </row>
    <row r="8" spans="1:17">
      <c r="A8" t="s">
        <v>250</v>
      </c>
      <c r="B8" s="42" t="s">
        <v>251</v>
      </c>
      <c r="D8" s="6" t="s">
        <v>90</v>
      </c>
      <c r="E8" s="6" t="s">
        <v>82</v>
      </c>
      <c r="F8" s="6" t="s">
        <v>83</v>
      </c>
      <c r="G8" s="6" t="s">
        <v>90</v>
      </c>
      <c r="H8" s="6" t="s">
        <v>90</v>
      </c>
      <c r="I8" s="84" t="s">
        <v>114</v>
      </c>
      <c r="J8" s="82" t="s">
        <v>252</v>
      </c>
      <c r="K8" s="85">
        <v>3</v>
      </c>
      <c r="L8" s="82" t="s">
        <v>253</v>
      </c>
    </row>
    <row r="9" spans="1:17">
      <c r="A9" t="s">
        <v>153</v>
      </c>
      <c r="B9" s="42" t="s">
        <v>254</v>
      </c>
      <c r="D9" s="10" t="s">
        <v>79</v>
      </c>
      <c r="E9" s="10" t="s">
        <v>83</v>
      </c>
      <c r="F9" s="10" t="s">
        <v>83</v>
      </c>
      <c r="G9" s="10" t="s">
        <v>96</v>
      </c>
      <c r="H9" s="10" t="s">
        <v>97</v>
      </c>
      <c r="I9" s="82" t="s">
        <v>243</v>
      </c>
      <c r="J9" s="82" t="s">
        <v>244</v>
      </c>
      <c r="K9" s="85">
        <v>3</v>
      </c>
      <c r="L9" s="82" t="s">
        <v>255</v>
      </c>
    </row>
    <row r="10" spans="1:17">
      <c r="A10" t="s">
        <v>148</v>
      </c>
      <c r="B10" s="42">
        <v>10</v>
      </c>
      <c r="D10" s="10" t="s">
        <v>96</v>
      </c>
      <c r="E10" s="10" t="s">
        <v>83</v>
      </c>
      <c r="F10" s="10" t="s">
        <v>83</v>
      </c>
      <c r="G10" s="10" t="s">
        <v>79</v>
      </c>
      <c r="H10" s="10" t="s">
        <v>97</v>
      </c>
      <c r="I10" s="82" t="s">
        <v>243</v>
      </c>
      <c r="J10" s="82" t="s">
        <v>247</v>
      </c>
      <c r="K10" s="85">
        <v>3</v>
      </c>
      <c r="L10" s="82" t="s">
        <v>255</v>
      </c>
    </row>
    <row r="11" spans="1:17">
      <c r="A11" t="s">
        <v>152</v>
      </c>
      <c r="B11" s="42" t="s">
        <v>256</v>
      </c>
      <c r="D11" s="7" t="s">
        <v>95</v>
      </c>
      <c r="E11" s="7" t="s">
        <v>83</v>
      </c>
      <c r="F11" s="7" t="s">
        <v>83</v>
      </c>
      <c r="G11" s="7" t="s">
        <v>91</v>
      </c>
      <c r="H11" s="7" t="s">
        <v>98</v>
      </c>
      <c r="I11" s="82" t="s">
        <v>243</v>
      </c>
      <c r="J11" s="82" t="s">
        <v>247</v>
      </c>
      <c r="K11" s="85">
        <v>6</v>
      </c>
      <c r="L11" s="82" t="s">
        <v>257</v>
      </c>
    </row>
    <row r="12" spans="1:17">
      <c r="D12" s="7" t="s">
        <v>91</v>
      </c>
      <c r="E12" s="7" t="s">
        <v>83</v>
      </c>
      <c r="F12" s="7" t="s">
        <v>83</v>
      </c>
      <c r="G12" s="7" t="s">
        <v>95</v>
      </c>
      <c r="H12" s="7" t="s">
        <v>98</v>
      </c>
      <c r="I12" s="82" t="s">
        <v>243</v>
      </c>
      <c r="J12" s="82" t="s">
        <v>244</v>
      </c>
      <c r="K12" s="85">
        <v>6</v>
      </c>
      <c r="L12" s="82" t="s">
        <v>257</v>
      </c>
    </row>
    <row r="13" spans="1:17">
      <c r="D13" s="8" t="s">
        <v>85</v>
      </c>
      <c r="E13" s="8" t="s">
        <v>83</v>
      </c>
      <c r="F13" s="8" t="s">
        <v>82</v>
      </c>
      <c r="G13" s="8" t="s">
        <v>78</v>
      </c>
      <c r="H13" s="8" t="s">
        <v>99</v>
      </c>
      <c r="I13" s="82" t="s">
        <v>243</v>
      </c>
      <c r="J13" s="82" t="s">
        <v>247</v>
      </c>
      <c r="K13" s="85">
        <v>6</v>
      </c>
      <c r="L13" s="82" t="s">
        <v>258</v>
      </c>
    </row>
    <row r="14" spans="1:17">
      <c r="D14" s="8" t="s">
        <v>78</v>
      </c>
      <c r="E14" s="8" t="s">
        <v>83</v>
      </c>
      <c r="F14" s="8" t="s">
        <v>82</v>
      </c>
      <c r="G14" s="8" t="s">
        <v>85</v>
      </c>
      <c r="H14" s="8" t="s">
        <v>99</v>
      </c>
      <c r="I14" s="82" t="s">
        <v>243</v>
      </c>
      <c r="J14" s="82" t="s">
        <v>244</v>
      </c>
      <c r="K14" s="85">
        <v>6</v>
      </c>
      <c r="L14" s="82" t="s">
        <v>258</v>
      </c>
    </row>
    <row r="15" spans="1:17">
      <c r="D15" s="9" t="s">
        <v>92</v>
      </c>
      <c r="E15" s="9" t="s">
        <v>82</v>
      </c>
      <c r="F15" s="9" t="s">
        <v>83</v>
      </c>
      <c r="G15" s="9" t="s">
        <v>92</v>
      </c>
      <c r="H15" s="9" t="s">
        <v>92</v>
      </c>
      <c r="I15" s="82" t="s">
        <v>243</v>
      </c>
      <c r="J15" s="82" t="s">
        <v>252</v>
      </c>
      <c r="K15" s="85">
        <v>6</v>
      </c>
      <c r="L15" s="82" t="s">
        <v>253</v>
      </c>
    </row>
    <row r="16" spans="1:17">
      <c r="D16" s="3" t="s">
        <v>86</v>
      </c>
      <c r="E16" s="3" t="s">
        <v>82</v>
      </c>
      <c r="F16" s="3" t="s">
        <v>82</v>
      </c>
      <c r="G16" s="3" t="s">
        <v>86</v>
      </c>
      <c r="H16" s="3" t="s">
        <v>86</v>
      </c>
      <c r="I16" s="84" t="s">
        <v>146</v>
      </c>
      <c r="J16" s="82"/>
      <c r="K16" s="85">
        <v>5</v>
      </c>
      <c r="L16" s="82" t="s">
        <v>259</v>
      </c>
    </row>
  </sheetData>
  <mergeCells count="1">
    <mergeCell ref="A1:B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"/>
  <sheetViews>
    <sheetView tabSelected="1" topLeftCell="I1" workbookViewId="0">
      <selection activeCell="M20" sqref="M20"/>
    </sheetView>
  </sheetViews>
  <sheetFormatPr defaultRowHeight="15"/>
  <cols>
    <col min="3" max="4" width="8.5703125" bestFit="1" customWidth="1"/>
    <col min="5" max="5" width="12" bestFit="1" customWidth="1"/>
    <col min="6" max="6" width="12" customWidth="1"/>
    <col min="7" max="7" width="10.42578125" bestFit="1" customWidth="1"/>
    <col min="9" max="9" width="53.85546875" style="38" bestFit="1" customWidth="1"/>
    <col min="10" max="10" width="66.42578125" customWidth="1"/>
    <col min="12" max="12" width="11" bestFit="1" customWidth="1"/>
    <col min="13" max="13" width="22.28515625" bestFit="1" customWidth="1"/>
  </cols>
  <sheetData>
    <row r="1" spans="1:13" ht="15.75">
      <c r="A1" t="s">
        <v>260</v>
      </c>
      <c r="C1" s="89" t="s">
        <v>261</v>
      </c>
      <c r="D1" s="89"/>
      <c r="E1" s="89"/>
      <c r="F1" s="89"/>
      <c r="G1" s="89"/>
      <c r="I1" s="37" t="s">
        <v>262</v>
      </c>
      <c r="J1" t="s">
        <v>263</v>
      </c>
      <c r="L1" s="95" t="s">
        <v>264</v>
      </c>
      <c r="M1" s="95"/>
    </row>
    <row r="2" spans="1:13">
      <c r="A2" t="s">
        <v>29</v>
      </c>
      <c r="C2" t="s">
        <v>265</v>
      </c>
      <c r="D2" t="s">
        <v>266</v>
      </c>
      <c r="E2" t="s">
        <v>73</v>
      </c>
      <c r="F2" t="s">
        <v>76</v>
      </c>
      <c r="G2" t="s">
        <v>267</v>
      </c>
      <c r="I2" s="38" t="s">
        <v>268</v>
      </c>
      <c r="L2" s="60" t="s">
        <v>105</v>
      </c>
      <c r="M2" s="60" t="s">
        <v>106</v>
      </c>
    </row>
    <row r="3" spans="1:13">
      <c r="A3" t="s">
        <v>1</v>
      </c>
      <c r="C3" t="s">
        <v>29</v>
      </c>
      <c r="D3" t="s">
        <v>1</v>
      </c>
      <c r="E3" t="s">
        <v>78</v>
      </c>
      <c r="F3" t="e">
        <f>VLOOKUP(Table9[[#This Row],[Relationship]],#REF!,4,FALSE)</f>
        <v>#REF!</v>
      </c>
      <c r="G3" t="e">
        <f>VLOOKUP(Table9[[#This Row],[Relationship]],#REF!,5,FALSE)</f>
        <v>#REF!</v>
      </c>
      <c r="I3" s="38" t="s">
        <v>269</v>
      </c>
      <c r="L3" t="s">
        <v>156</v>
      </c>
      <c r="M3" s="42" t="s">
        <v>270</v>
      </c>
    </row>
    <row r="4" spans="1:13">
      <c r="A4" t="s">
        <v>2</v>
      </c>
      <c r="C4" t="s">
        <v>29</v>
      </c>
      <c r="D4" t="s">
        <v>2</v>
      </c>
      <c r="E4" t="s">
        <v>78</v>
      </c>
      <c r="F4" t="e">
        <f>VLOOKUP(Table9[[#This Row],[Relationship]],#REF!,4,FALSE)</f>
        <v>#REF!</v>
      </c>
      <c r="G4" t="e">
        <f>VLOOKUP(Table9[[#This Row],[Relationship]],#REF!,5,FALSE)</f>
        <v>#REF!</v>
      </c>
      <c r="I4" s="38" t="s">
        <v>271</v>
      </c>
      <c r="L4" t="s">
        <v>272</v>
      </c>
      <c r="M4" s="42" t="s">
        <v>273</v>
      </c>
    </row>
    <row r="5" spans="1:13">
      <c r="A5" t="s">
        <v>3</v>
      </c>
      <c r="C5" t="s">
        <v>29</v>
      </c>
      <c r="D5" t="s">
        <v>3</v>
      </c>
      <c r="E5" t="s">
        <v>78</v>
      </c>
      <c r="F5" t="e">
        <f>VLOOKUP(Table9[[#This Row],[Relationship]],#REF!,4,FALSE)</f>
        <v>#REF!</v>
      </c>
      <c r="G5" t="e">
        <f>VLOOKUP(Table9[[#This Row],[Relationship]],#REF!,5,FALSE)</f>
        <v>#REF!</v>
      </c>
      <c r="I5" s="38" t="s">
        <v>274</v>
      </c>
      <c r="L5" t="s">
        <v>275</v>
      </c>
      <c r="M5" s="55" t="s">
        <v>136</v>
      </c>
    </row>
    <row r="6" spans="1:13">
      <c r="A6" t="s">
        <v>61</v>
      </c>
      <c r="C6" t="s">
        <v>29</v>
      </c>
      <c r="D6" t="s">
        <v>61</v>
      </c>
      <c r="E6" t="s">
        <v>78</v>
      </c>
      <c r="F6" t="e">
        <f>VLOOKUP(Table9[[#This Row],[Relationship]],#REF!,4,FALSE)</f>
        <v>#REF!</v>
      </c>
      <c r="G6" t="e">
        <f>VLOOKUP(Table9[[#This Row],[Relationship]],#REF!,5,FALSE)</f>
        <v>#REF!</v>
      </c>
      <c r="I6" s="38" t="s">
        <v>276</v>
      </c>
      <c r="L6" t="s">
        <v>140</v>
      </c>
      <c r="M6" s="42" t="s">
        <v>277</v>
      </c>
    </row>
    <row r="7" spans="1:13">
      <c r="A7" t="s">
        <v>65</v>
      </c>
      <c r="C7" t="s">
        <v>29</v>
      </c>
      <c r="D7" t="s">
        <v>65</v>
      </c>
      <c r="E7" t="s">
        <v>79</v>
      </c>
      <c r="F7" t="e">
        <f>VLOOKUP(Table9[[#This Row],[Relationship]],#REF!,4,FALSE)</f>
        <v>#REF!</v>
      </c>
      <c r="G7" t="e">
        <f>VLOOKUP(Table9[[#This Row],[Relationship]],#REF!,5,FALSE)</f>
        <v>#REF!</v>
      </c>
      <c r="I7" s="38" t="s">
        <v>278</v>
      </c>
      <c r="L7" t="s">
        <v>148</v>
      </c>
      <c r="M7" s="42">
        <v>16</v>
      </c>
    </row>
    <row r="8" spans="1:13">
      <c r="A8" t="s">
        <v>62</v>
      </c>
      <c r="C8" t="s">
        <v>29</v>
      </c>
      <c r="D8" t="s">
        <v>62</v>
      </c>
      <c r="E8" t="s">
        <v>78</v>
      </c>
      <c r="F8" t="e">
        <f>VLOOKUP(Table9[[#This Row],[Relationship]],#REF!,4,FALSE)</f>
        <v>#REF!</v>
      </c>
      <c r="G8" t="e">
        <f>VLOOKUP(Table9[[#This Row],[Relationship]],#REF!,5,FALSE)</f>
        <v>#REF!</v>
      </c>
      <c r="I8" s="38" t="s">
        <v>279</v>
      </c>
      <c r="L8" t="s">
        <v>153</v>
      </c>
      <c r="M8" s="42" t="s">
        <v>143</v>
      </c>
    </row>
    <row r="9" spans="1:13">
      <c r="A9" t="s">
        <v>63</v>
      </c>
      <c r="C9" t="s">
        <v>29</v>
      </c>
      <c r="D9" t="s">
        <v>63</v>
      </c>
      <c r="E9" t="s">
        <v>78</v>
      </c>
      <c r="F9" t="e">
        <f>VLOOKUP(Table9[[#This Row],[Relationship]],#REF!,4,FALSE)</f>
        <v>#REF!</v>
      </c>
      <c r="G9" t="e">
        <f>VLOOKUP(Table9[[#This Row],[Relationship]],#REF!,5,FALSE)</f>
        <v>#REF!</v>
      </c>
      <c r="I9" s="38" t="s">
        <v>280</v>
      </c>
    </row>
    <row r="10" spans="1:13">
      <c r="A10" t="s">
        <v>64</v>
      </c>
      <c r="C10" t="s">
        <v>29</v>
      </c>
      <c r="D10" t="s">
        <v>64</v>
      </c>
      <c r="E10" t="s">
        <v>78</v>
      </c>
      <c r="F10" t="e">
        <f>VLOOKUP(Table9[[#This Row],[Relationship]],#REF!,4,FALSE)</f>
        <v>#REF!</v>
      </c>
      <c r="G10" t="e">
        <f>VLOOKUP(Table9[[#This Row],[Relationship]],#REF!,5,FALSE)</f>
        <v>#REF!</v>
      </c>
      <c r="I10" s="38" t="s">
        <v>281</v>
      </c>
    </row>
    <row r="11" spans="1:13">
      <c r="C11" t="s">
        <v>1</v>
      </c>
      <c r="D11" t="s">
        <v>2</v>
      </c>
      <c r="E11" t="s">
        <v>86</v>
      </c>
      <c r="F11" t="e">
        <f>VLOOKUP(Table9[[#This Row],[Relationship]],#REF!,4,FALSE)</f>
        <v>#REF!</v>
      </c>
      <c r="G11" t="e">
        <f>VLOOKUP(Table9[[#This Row],[Relationship]],#REF!,5,FALSE)</f>
        <v>#REF!</v>
      </c>
      <c r="I11" s="38" t="s">
        <v>282</v>
      </c>
    </row>
    <row r="12" spans="1:13">
      <c r="C12" t="s">
        <v>1</v>
      </c>
      <c r="D12" t="s">
        <v>3</v>
      </c>
      <c r="E12" t="s">
        <v>85</v>
      </c>
      <c r="F12" t="e">
        <f>VLOOKUP(Table9[[#This Row],[Relationship]],#REF!,4,FALSE)</f>
        <v>#REF!</v>
      </c>
      <c r="G12" t="e">
        <f>VLOOKUP(Table9[[#This Row],[Relationship]],#REF!,5,FALSE)</f>
        <v>#REF!</v>
      </c>
      <c r="I12" s="39" t="s">
        <v>283</v>
      </c>
    </row>
    <row r="13" spans="1:13">
      <c r="C13" t="s">
        <v>1</v>
      </c>
      <c r="D13" t="s">
        <v>61</v>
      </c>
      <c r="E13" t="s">
        <v>85</v>
      </c>
      <c r="F13" t="e">
        <f>VLOOKUP(Table9[[#This Row],[Relationship]],#REF!,4,FALSE)</f>
        <v>#REF!</v>
      </c>
      <c r="G13" t="e">
        <f>VLOOKUP(Table9[[#This Row],[Relationship]],#REF!,5,FALSE)</f>
        <v>#REF!</v>
      </c>
      <c r="I13" s="39" t="s">
        <v>284</v>
      </c>
    </row>
    <row r="14" spans="1:13">
      <c r="C14" t="s">
        <v>1</v>
      </c>
      <c r="D14" t="s">
        <v>65</v>
      </c>
      <c r="E14" t="s">
        <v>87</v>
      </c>
      <c r="F14" t="e">
        <f>VLOOKUP(Table9[[#This Row],[Relationship]],#REF!,4,FALSE)</f>
        <v>#REF!</v>
      </c>
      <c r="G14" t="e">
        <f>VLOOKUP(Table9[[#This Row],[Relationship]],#REF!,5,FALSE)</f>
        <v>#REF!</v>
      </c>
      <c r="I14" s="39" t="s">
        <v>285</v>
      </c>
    </row>
    <row r="15" spans="1:13">
      <c r="C15" t="s">
        <v>1</v>
      </c>
      <c r="D15" t="s">
        <v>62</v>
      </c>
      <c r="E15" t="s">
        <v>85</v>
      </c>
      <c r="F15" t="e">
        <f>VLOOKUP(Table9[[#This Row],[Relationship]],#REF!,4,FALSE)</f>
        <v>#REF!</v>
      </c>
      <c r="G15" t="e">
        <f>VLOOKUP(Table9[[#This Row],[Relationship]],#REF!,5,FALSE)</f>
        <v>#REF!</v>
      </c>
      <c r="I15" s="39" t="s">
        <v>286</v>
      </c>
    </row>
    <row r="16" spans="1:13">
      <c r="C16" t="s">
        <v>1</v>
      </c>
      <c r="D16" t="s">
        <v>63</v>
      </c>
      <c r="E16" t="s">
        <v>81</v>
      </c>
      <c r="F16" t="e">
        <f>VLOOKUP(Table9[[#This Row],[Relationship]],#REF!,4,FALSE)</f>
        <v>#REF!</v>
      </c>
      <c r="G16" t="e">
        <f>VLOOKUP(Table9[[#This Row],[Relationship]],#REF!,5,FALSE)</f>
        <v>#REF!</v>
      </c>
      <c r="I16" s="38" t="s">
        <v>287</v>
      </c>
    </row>
    <row r="17" spans="3:9">
      <c r="C17" t="s">
        <v>1</v>
      </c>
      <c r="D17" t="s">
        <v>64</v>
      </c>
      <c r="E17" t="s">
        <v>85</v>
      </c>
      <c r="F17" t="e">
        <f>VLOOKUP(Table9[[#This Row],[Relationship]],#REF!,4,FALSE)</f>
        <v>#REF!</v>
      </c>
      <c r="G17" t="e">
        <f>VLOOKUP(Table9[[#This Row],[Relationship]],#REF!,5,FALSE)</f>
        <v>#REF!</v>
      </c>
      <c r="I17" s="39" t="s">
        <v>288</v>
      </c>
    </row>
    <row r="18" spans="3:9">
      <c r="C18" t="s">
        <v>2</v>
      </c>
      <c r="D18" t="s">
        <v>3</v>
      </c>
      <c r="E18" t="s">
        <v>78</v>
      </c>
      <c r="F18" t="e">
        <f>VLOOKUP(Table9[[#This Row],[Relationship]],#REF!,4,FALSE)</f>
        <v>#REF!</v>
      </c>
      <c r="G18" t="e">
        <f>VLOOKUP(Table9[[#This Row],[Relationship]],#REF!,5,FALSE)</f>
        <v>#REF!</v>
      </c>
      <c r="I18" s="39" t="s">
        <v>289</v>
      </c>
    </row>
    <row r="19" spans="3:9">
      <c r="C19" t="s">
        <v>2</v>
      </c>
      <c r="D19" t="s">
        <v>61</v>
      </c>
      <c r="E19" t="s">
        <v>85</v>
      </c>
      <c r="F19" t="e">
        <f>VLOOKUP(Table9[[#This Row],[Relationship]],#REF!,4,FALSE)</f>
        <v>#REF!</v>
      </c>
      <c r="G19" t="e">
        <f>VLOOKUP(Table9[[#This Row],[Relationship]],#REF!,5,FALSE)</f>
        <v>#REF!</v>
      </c>
      <c r="I19" s="38" t="s">
        <v>280</v>
      </c>
    </row>
    <row r="20" spans="3:9">
      <c r="C20" t="s">
        <v>2</v>
      </c>
      <c r="D20" t="s">
        <v>65</v>
      </c>
      <c r="E20" t="s">
        <v>87</v>
      </c>
      <c r="F20" t="e">
        <f>VLOOKUP(Table9[[#This Row],[Relationship]],#REF!,4,FALSE)</f>
        <v>#REF!</v>
      </c>
      <c r="G20" t="e">
        <f>VLOOKUP(Table9[[#This Row],[Relationship]],#REF!,5,FALSE)</f>
        <v>#REF!</v>
      </c>
      <c r="I20" s="39" t="s">
        <v>290</v>
      </c>
    </row>
    <row r="21" spans="3:9">
      <c r="C21" t="s">
        <v>2</v>
      </c>
      <c r="D21" t="s">
        <v>62</v>
      </c>
      <c r="E21" t="s">
        <v>85</v>
      </c>
      <c r="F21" t="e">
        <f>VLOOKUP(Table9[[#This Row],[Relationship]],#REF!,4,FALSE)</f>
        <v>#REF!</v>
      </c>
      <c r="G21" t="e">
        <f>VLOOKUP(Table9[[#This Row],[Relationship]],#REF!,5,FALSE)</f>
        <v>#REF!</v>
      </c>
      <c r="I21" s="39" t="s">
        <v>287</v>
      </c>
    </row>
    <row r="22" spans="3:9">
      <c r="C22" t="s">
        <v>2</v>
      </c>
      <c r="D22" t="s">
        <v>63</v>
      </c>
      <c r="E22" t="s">
        <v>81</v>
      </c>
      <c r="F22" t="e">
        <f>VLOOKUP(Table9[[#This Row],[Relationship]],#REF!,4,FALSE)</f>
        <v>#REF!</v>
      </c>
      <c r="G22" t="e">
        <f>VLOOKUP(Table9[[#This Row],[Relationship]],#REF!,5,FALSE)</f>
        <v>#REF!</v>
      </c>
      <c r="I22" s="39" t="s">
        <v>291</v>
      </c>
    </row>
    <row r="23" spans="3:9">
      <c r="C23" t="s">
        <v>2</v>
      </c>
      <c r="D23" t="s">
        <v>64</v>
      </c>
      <c r="E23" t="s">
        <v>85</v>
      </c>
      <c r="F23" t="e">
        <f>VLOOKUP(Table9[[#This Row],[Relationship]],#REF!,4,FALSE)</f>
        <v>#REF!</v>
      </c>
      <c r="G23" t="e">
        <f>VLOOKUP(Table9[[#This Row],[Relationship]],#REF!,5,FALSE)</f>
        <v>#REF!</v>
      </c>
      <c r="I23" s="39" t="s">
        <v>292</v>
      </c>
    </row>
    <row r="24" spans="3:9">
      <c r="C24" t="s">
        <v>3</v>
      </c>
      <c r="D24" t="s">
        <v>61</v>
      </c>
      <c r="E24" t="s">
        <v>91</v>
      </c>
      <c r="F24" t="e">
        <f>VLOOKUP(Table9[[#This Row],[Relationship]],#REF!,4,FALSE)</f>
        <v>#REF!</v>
      </c>
      <c r="G24" t="e">
        <f>VLOOKUP(Table9[[#This Row],[Relationship]],#REF!,5,FALSE)</f>
        <v>#REF!</v>
      </c>
      <c r="I24" s="39" t="s">
        <v>293</v>
      </c>
    </row>
    <row r="25" spans="3:9">
      <c r="C25" t="s">
        <v>3</v>
      </c>
      <c r="D25" t="s">
        <v>65</v>
      </c>
      <c r="E25" t="s">
        <v>87</v>
      </c>
      <c r="F25" t="e">
        <f>VLOOKUP(Table9[[#This Row],[Relationship]],#REF!,4,FALSE)</f>
        <v>#REF!</v>
      </c>
      <c r="G25" t="e">
        <f>VLOOKUP(Table9[[#This Row],[Relationship]],#REF!,5,FALSE)</f>
        <v>#REF!</v>
      </c>
      <c r="I25" s="39" t="s">
        <v>294</v>
      </c>
    </row>
    <row r="26" spans="3:9">
      <c r="C26" t="s">
        <v>3</v>
      </c>
      <c r="D26" t="s">
        <v>62</v>
      </c>
      <c r="E26" t="s">
        <v>92</v>
      </c>
      <c r="F26" t="e">
        <f>VLOOKUP(Table9[[#This Row],[Relationship]],#REF!,4,FALSE)</f>
        <v>#REF!</v>
      </c>
      <c r="G26" t="e">
        <f>VLOOKUP(Table9[[#This Row],[Relationship]],#REF!,5,FALSE)</f>
        <v>#REF!</v>
      </c>
      <c r="I26" s="38" t="s">
        <v>295</v>
      </c>
    </row>
    <row r="27" spans="3:9">
      <c r="C27" t="s">
        <v>3</v>
      </c>
      <c r="D27" t="s">
        <v>63</v>
      </c>
      <c r="E27" t="s">
        <v>81</v>
      </c>
      <c r="F27" t="e">
        <f>VLOOKUP(Table9[[#This Row],[Relationship]],#REF!,4,FALSE)</f>
        <v>#REF!</v>
      </c>
      <c r="G27" t="e">
        <f>VLOOKUP(Table9[[#This Row],[Relationship]],#REF!,5,FALSE)</f>
        <v>#REF!</v>
      </c>
      <c r="I27" s="39" t="s">
        <v>296</v>
      </c>
    </row>
    <row r="28" spans="3:9">
      <c r="C28" t="s">
        <v>3</v>
      </c>
      <c r="D28" t="s">
        <v>64</v>
      </c>
      <c r="E28" t="s">
        <v>92</v>
      </c>
      <c r="F28" t="e">
        <f>VLOOKUP(Table9[[#This Row],[Relationship]],#REF!,4,FALSE)</f>
        <v>#REF!</v>
      </c>
      <c r="G28" t="e">
        <f>VLOOKUP(Table9[[#This Row],[Relationship]],#REF!,5,FALSE)</f>
        <v>#REF!</v>
      </c>
      <c r="I28" s="39" t="s">
        <v>297</v>
      </c>
    </row>
    <row r="29" spans="3:9">
      <c r="C29" t="s">
        <v>61</v>
      </c>
      <c r="D29" t="s">
        <v>65</v>
      </c>
      <c r="E29" t="s">
        <v>87</v>
      </c>
      <c r="F29" t="e">
        <f>VLOOKUP(Table9[[#This Row],[Relationship]],#REF!,4,FALSE)</f>
        <v>#REF!</v>
      </c>
      <c r="G29" t="e">
        <f>VLOOKUP(Table9[[#This Row],[Relationship]],#REF!,5,FALSE)</f>
        <v>#REF!</v>
      </c>
      <c r="I29" s="38" t="s">
        <v>280</v>
      </c>
    </row>
    <row r="30" spans="3:9">
      <c r="C30" t="s">
        <v>61</v>
      </c>
      <c r="D30" t="s">
        <v>62</v>
      </c>
      <c r="E30" t="s">
        <v>95</v>
      </c>
      <c r="F30" t="e">
        <f>VLOOKUP(Table9[[#This Row],[Relationship]],#REF!,4,FALSE)</f>
        <v>#REF!</v>
      </c>
      <c r="G30" t="e">
        <f>VLOOKUP(Table9[[#This Row],[Relationship]],#REF!,5,FALSE)</f>
        <v>#REF!</v>
      </c>
      <c r="I30" s="39" t="s">
        <v>298</v>
      </c>
    </row>
    <row r="31" spans="3:9">
      <c r="C31" t="s">
        <v>61</v>
      </c>
      <c r="D31" t="s">
        <v>63</v>
      </c>
      <c r="E31" t="s">
        <v>81</v>
      </c>
      <c r="F31" t="e">
        <f>VLOOKUP(Table9[[#This Row],[Relationship]],#REF!,4,FALSE)</f>
        <v>#REF!</v>
      </c>
      <c r="G31" t="e">
        <f>VLOOKUP(Table9[[#This Row],[Relationship]],#REF!,5,FALSE)</f>
        <v>#REF!</v>
      </c>
      <c r="I31" s="38" t="s">
        <v>299</v>
      </c>
    </row>
    <row r="32" spans="3:9">
      <c r="C32" t="s">
        <v>61</v>
      </c>
      <c r="D32" t="s">
        <v>64</v>
      </c>
      <c r="E32" t="s">
        <v>85</v>
      </c>
      <c r="F32" t="e">
        <f>VLOOKUP(Table9[[#This Row],[Relationship]],#REF!,4,FALSE)</f>
        <v>#REF!</v>
      </c>
      <c r="G32" t="e">
        <f>VLOOKUP(Table9[[#This Row],[Relationship]],#REF!,5,FALSE)</f>
        <v>#REF!</v>
      </c>
      <c r="I32" s="38" t="s">
        <v>300</v>
      </c>
    </row>
    <row r="33" spans="3:9">
      <c r="C33" t="s">
        <v>65</v>
      </c>
      <c r="D33" t="s">
        <v>62</v>
      </c>
      <c r="E33" t="s">
        <v>81</v>
      </c>
      <c r="F33" t="e">
        <f>VLOOKUP(Table9[[#This Row],[Relationship]],#REF!,4,FALSE)</f>
        <v>#REF!</v>
      </c>
      <c r="G33" t="e">
        <f>VLOOKUP(Table9[[#This Row],[Relationship]],#REF!,5,FALSE)</f>
        <v>#REF!</v>
      </c>
      <c r="I33" s="38" t="s">
        <v>301</v>
      </c>
    </row>
    <row r="34" spans="3:9">
      <c r="C34" t="s">
        <v>65</v>
      </c>
      <c r="D34" t="s">
        <v>63</v>
      </c>
      <c r="E34" t="s">
        <v>81</v>
      </c>
      <c r="F34" t="e">
        <f>VLOOKUP(Table9[[#This Row],[Relationship]],#REF!,4,FALSE)</f>
        <v>#REF!</v>
      </c>
      <c r="G34" t="e">
        <f>VLOOKUP(Table9[[#This Row],[Relationship]],#REF!,5,FALSE)</f>
        <v>#REF!</v>
      </c>
      <c r="I34" s="39" t="s">
        <v>302</v>
      </c>
    </row>
    <row r="35" spans="3:9">
      <c r="C35" t="s">
        <v>65</v>
      </c>
      <c r="D35" t="s">
        <v>64</v>
      </c>
      <c r="E35" t="s">
        <v>81</v>
      </c>
      <c r="F35" t="e">
        <f>VLOOKUP(Table9[[#This Row],[Relationship]],#REF!,4,FALSE)</f>
        <v>#REF!</v>
      </c>
      <c r="G35" t="e">
        <f>VLOOKUP(Table9[[#This Row],[Relationship]],#REF!,5,FALSE)</f>
        <v>#REF!</v>
      </c>
      <c r="I35" s="38" t="s">
        <v>303</v>
      </c>
    </row>
    <row r="36" spans="3:9">
      <c r="C36" t="s">
        <v>62</v>
      </c>
      <c r="D36" t="s">
        <v>63</v>
      </c>
      <c r="E36" t="s">
        <v>81</v>
      </c>
      <c r="F36" t="e">
        <f>VLOOKUP(Table9[[#This Row],[Relationship]],#REF!,4,FALSE)</f>
        <v>#REF!</v>
      </c>
      <c r="G36" t="e">
        <f>VLOOKUP(Table9[[#This Row],[Relationship]],#REF!,5,FALSE)</f>
        <v>#REF!</v>
      </c>
      <c r="I36" s="38" t="s">
        <v>304</v>
      </c>
    </row>
    <row r="37" spans="3:9">
      <c r="C37" t="s">
        <v>62</v>
      </c>
      <c r="D37" t="s">
        <v>64</v>
      </c>
      <c r="E37" t="s">
        <v>85</v>
      </c>
      <c r="F37" t="e">
        <f>VLOOKUP(Table9[[#This Row],[Relationship]],#REF!,4,FALSE)</f>
        <v>#REF!</v>
      </c>
      <c r="G37" t="e">
        <f>VLOOKUP(Table9[[#This Row],[Relationship]],#REF!,5,FALSE)</f>
        <v>#REF!</v>
      </c>
      <c r="I37" s="39" t="s">
        <v>305</v>
      </c>
    </row>
    <row r="38" spans="3:9">
      <c r="C38" t="s">
        <v>63</v>
      </c>
      <c r="D38" t="s">
        <v>64</v>
      </c>
      <c r="E38" t="s">
        <v>85</v>
      </c>
      <c r="F38" t="e">
        <f>VLOOKUP(Table9[[#This Row],[Relationship]],#REF!,4,FALSE)</f>
        <v>#REF!</v>
      </c>
      <c r="G38" t="e">
        <f>VLOOKUP(Table9[[#This Row],[Relationship]],#REF!,5,FALSE)</f>
        <v>#REF!</v>
      </c>
      <c r="I38" s="38" t="s">
        <v>306</v>
      </c>
    </row>
    <row r="39" spans="3:9">
      <c r="I39" s="38" t="s">
        <v>307</v>
      </c>
    </row>
    <row r="40" spans="3:9">
      <c r="I40" s="38" t="s">
        <v>308</v>
      </c>
    </row>
    <row r="41" spans="3:9">
      <c r="I41" s="38" t="s">
        <v>309</v>
      </c>
    </row>
    <row r="42" spans="3:9">
      <c r="I42" s="38" t="s">
        <v>310</v>
      </c>
    </row>
    <row r="43" spans="3:9">
      <c r="I43" s="38" t="s">
        <v>304</v>
      </c>
    </row>
    <row r="44" spans="3:9">
      <c r="I44" s="38" t="s">
        <v>311</v>
      </c>
    </row>
    <row r="45" spans="3:9">
      <c r="I45" s="38" t="s">
        <v>312</v>
      </c>
    </row>
    <row r="46" spans="3:9">
      <c r="I46" s="38" t="s">
        <v>304</v>
      </c>
    </row>
    <row r="47" spans="3:9">
      <c r="I47" s="38" t="s">
        <v>313</v>
      </c>
    </row>
    <row r="49" spans="9:9">
      <c r="I49" s="38" t="s">
        <v>314</v>
      </c>
    </row>
    <row r="50" spans="9:9">
      <c r="I50" s="38" t="s">
        <v>315</v>
      </c>
    </row>
    <row r="51" spans="9:9">
      <c r="I51" s="38" t="s">
        <v>316</v>
      </c>
    </row>
    <row r="52" spans="9:9">
      <c r="I52" s="38" t="s">
        <v>317</v>
      </c>
    </row>
    <row r="53" spans="9:9">
      <c r="I53" s="38" t="s">
        <v>318</v>
      </c>
    </row>
    <row r="54" spans="9:9">
      <c r="I54" s="38" t="s">
        <v>319</v>
      </c>
    </row>
    <row r="55" spans="9:9">
      <c r="I55" s="38" t="s">
        <v>320</v>
      </c>
    </row>
    <row r="56" spans="9:9">
      <c r="I56" s="38" t="s">
        <v>321</v>
      </c>
    </row>
    <row r="57" spans="9:9">
      <c r="I57" s="38" t="s">
        <v>322</v>
      </c>
    </row>
    <row r="58" spans="9:9">
      <c r="I58" s="38" t="s">
        <v>323</v>
      </c>
    </row>
    <row r="59" spans="9:9">
      <c r="I59" s="38" t="s">
        <v>324</v>
      </c>
    </row>
    <row r="60" spans="9:9">
      <c r="I60" s="38" t="s">
        <v>325</v>
      </c>
    </row>
    <row r="61" spans="9:9">
      <c r="I61" s="38" t="s">
        <v>326</v>
      </c>
    </row>
    <row r="62" spans="9:9">
      <c r="I62" s="38" t="s">
        <v>327</v>
      </c>
    </row>
    <row r="63" spans="9:9">
      <c r="I63" s="38" t="s">
        <v>328</v>
      </c>
    </row>
    <row r="64" spans="9:9">
      <c r="I64" s="38" t="s">
        <v>329</v>
      </c>
    </row>
    <row r="65" spans="9:9">
      <c r="I65" s="38" t="s">
        <v>330</v>
      </c>
    </row>
    <row r="66" spans="9:9">
      <c r="I66" s="38" t="s">
        <v>331</v>
      </c>
    </row>
    <row r="67" spans="9:9">
      <c r="I67" s="38" t="s">
        <v>332</v>
      </c>
    </row>
    <row r="68" spans="9:9">
      <c r="I68" s="38" t="s">
        <v>333</v>
      </c>
    </row>
    <row r="69" spans="9:9">
      <c r="I69" s="38" t="s">
        <v>334</v>
      </c>
    </row>
    <row r="70" spans="9:9">
      <c r="I70" s="38" t="s">
        <v>335</v>
      </c>
    </row>
    <row r="71" spans="9:9">
      <c r="I71" s="38" t="s">
        <v>336</v>
      </c>
    </row>
    <row r="72" spans="9:9">
      <c r="I72" s="38" t="s">
        <v>337</v>
      </c>
    </row>
    <row r="73" spans="9:9">
      <c r="I73" s="38" t="s">
        <v>338</v>
      </c>
    </row>
    <row r="74" spans="9:9">
      <c r="I74" s="38" t="s">
        <v>339</v>
      </c>
    </row>
    <row r="75" spans="9:9">
      <c r="I75" s="38" t="s">
        <v>340</v>
      </c>
    </row>
    <row r="76" spans="9:9">
      <c r="I76" s="38" t="s">
        <v>341</v>
      </c>
    </row>
    <row r="77" spans="9:9">
      <c r="I77" s="38" t="s">
        <v>342</v>
      </c>
    </row>
    <row r="78" spans="9:9">
      <c r="I78" s="38" t="s">
        <v>343</v>
      </c>
    </row>
    <row r="79" spans="9:9">
      <c r="I79" s="38" t="s">
        <v>344</v>
      </c>
    </row>
    <row r="80" spans="9:9">
      <c r="I80" s="38" t="s">
        <v>345</v>
      </c>
    </row>
    <row r="81" spans="9:9">
      <c r="I81" s="38" t="s">
        <v>346</v>
      </c>
    </row>
    <row r="82" spans="9:9">
      <c r="I82" s="38" t="s">
        <v>347</v>
      </c>
    </row>
    <row r="83" spans="9:9">
      <c r="I83" s="38" t="s">
        <v>348</v>
      </c>
    </row>
    <row r="84" spans="9:9">
      <c r="I84" s="38" t="s">
        <v>349</v>
      </c>
    </row>
    <row r="85" spans="9:9">
      <c r="I85" s="38" t="s">
        <v>350</v>
      </c>
    </row>
    <row r="86" spans="9:9">
      <c r="I86" s="38" t="s">
        <v>351</v>
      </c>
    </row>
  </sheetData>
  <mergeCells count="2">
    <mergeCell ref="C1:G1"/>
    <mergeCell ref="L1:M1"/>
  </mergeCells>
  <hyperlinks>
    <hyperlink ref="I1" r:id="rId1" display="http://magjac.com/graphviz-visual-editor/" xr:uid="{00000000-0004-0000-0300-000000000000}"/>
  </hyperlinks>
  <pageMargins left="0.7" right="0.7" top="0.75" bottom="0.75" header="0.3" footer="0.3"/>
  <pageSetup orientation="portrait" r:id="rId2"/>
  <drawing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Structure Lookup</vt:lpstr>
      <vt:lpstr>Structure Properties</vt:lpstr>
      <vt:lpstr>ToolTips</vt:lpstr>
      <vt:lpstr>Relationships</vt:lpstr>
      <vt:lpstr>Node Options</vt:lpstr>
      <vt:lpstr>Edge Options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Salomons</dc:creator>
  <cp:keywords/>
  <dc:description/>
  <cp:lastModifiedBy>Greg Salomons</cp:lastModifiedBy>
  <cp:revision/>
  <dcterms:created xsi:type="dcterms:W3CDTF">2024-06-09T11:38:19Z</dcterms:created>
  <dcterms:modified xsi:type="dcterms:W3CDTF">2024-07-07T00:05:10Z</dcterms:modified>
  <cp:category/>
  <cp:contentStatus/>
</cp:coreProperties>
</file>