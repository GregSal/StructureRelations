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neDrive - Queen's University\Python\Projects\StructureRelations\reference\"/>
    </mc:Choice>
  </mc:AlternateContent>
  <xr:revisionPtr revIDLastSave="0" documentId="8_{FF0F0ECD-423C-4567-BB57-9E2FEFD3BD49}" xr6:coauthVersionLast="47" xr6:coauthVersionMax="47" xr10:uidLastSave="{00000000-0000-0000-0000-000000000000}"/>
  <bookViews>
    <workbookView xWindow="-120" yWindow="-120" windowWidth="29040" windowHeight="15990" xr2:uid="{472A3B76-6773-4C07-B087-07E2A74EA903}"/>
  </bookViews>
  <sheets>
    <sheet name="Structure" sheetId="1" r:id="rId1"/>
    <sheet name="Structure S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H3" i="1"/>
  <c r="I3" i="1"/>
  <c r="G4" i="1"/>
  <c r="H4" i="1"/>
  <c r="I4" i="1"/>
  <c r="G5" i="1"/>
  <c r="H5" i="1"/>
  <c r="I5" i="1"/>
  <c r="G6" i="1"/>
  <c r="H6" i="1"/>
  <c r="I6" i="1"/>
  <c r="G7" i="1"/>
  <c r="H7" i="1"/>
  <c r="I7" i="1"/>
  <c r="G8" i="1"/>
  <c r="H8" i="1"/>
  <c r="I8" i="1"/>
  <c r="G9" i="1"/>
  <c r="H9" i="1"/>
  <c r="I9" i="1"/>
  <c r="G10" i="1"/>
  <c r="H10" i="1"/>
  <c r="I10" i="1"/>
  <c r="G11" i="1"/>
  <c r="H11" i="1"/>
  <c r="I11" i="1"/>
  <c r="G12" i="1"/>
  <c r="H12" i="1"/>
  <c r="I12" i="1"/>
  <c r="G13" i="1"/>
  <c r="H13" i="1"/>
  <c r="I13" i="1"/>
  <c r="G14" i="1"/>
  <c r="H14" i="1"/>
  <c r="I14" i="1"/>
  <c r="G15" i="1"/>
  <c r="H15" i="1"/>
  <c r="I15" i="1"/>
  <c r="G16" i="1"/>
  <c r="H16" i="1"/>
  <c r="I16" i="1"/>
  <c r="G17" i="1"/>
  <c r="H17" i="1"/>
  <c r="I17" i="1"/>
  <c r="G18" i="1"/>
  <c r="H18" i="1"/>
  <c r="I18" i="1"/>
  <c r="G19" i="1"/>
  <c r="H19" i="1"/>
  <c r="I19" i="1"/>
  <c r="G20" i="1"/>
  <c r="H20" i="1"/>
  <c r="I20" i="1"/>
  <c r="G21" i="1"/>
  <c r="H21" i="1"/>
  <c r="I21" i="1"/>
  <c r="G22" i="1"/>
  <c r="H22" i="1"/>
  <c r="I22" i="1"/>
  <c r="G23" i="1"/>
  <c r="H23" i="1"/>
  <c r="I23" i="1"/>
  <c r="G24" i="1"/>
  <c r="H24" i="1"/>
  <c r="I24" i="1"/>
  <c r="G25" i="1"/>
  <c r="H25" i="1"/>
  <c r="I25" i="1"/>
  <c r="G26" i="1"/>
  <c r="H26" i="1"/>
  <c r="I26" i="1"/>
  <c r="G27" i="1"/>
  <c r="H27" i="1"/>
  <c r="I27" i="1"/>
  <c r="G28" i="1"/>
  <c r="H28" i="1"/>
  <c r="I28" i="1"/>
  <c r="G29" i="1"/>
  <c r="H29" i="1"/>
  <c r="I29" i="1"/>
  <c r="G30" i="1"/>
  <c r="H30" i="1"/>
  <c r="I30" i="1"/>
  <c r="G31" i="1"/>
  <c r="H31" i="1"/>
  <c r="I31" i="1"/>
  <c r="G32" i="1"/>
  <c r="H32" i="1"/>
  <c r="I32" i="1"/>
  <c r="G33" i="1"/>
  <c r="H33" i="1"/>
  <c r="I33" i="1"/>
  <c r="G34" i="1"/>
  <c r="H34" i="1"/>
  <c r="I34" i="1"/>
  <c r="G35" i="1"/>
  <c r="H35" i="1"/>
  <c r="I35" i="1"/>
  <c r="G36" i="1"/>
  <c r="H36" i="1"/>
  <c r="I36" i="1"/>
  <c r="G37" i="1"/>
  <c r="H37" i="1"/>
  <c r="I37" i="1"/>
  <c r="G38" i="1"/>
  <c r="H38" i="1"/>
  <c r="I38" i="1"/>
  <c r="G39" i="1"/>
  <c r="H39" i="1"/>
  <c r="I39" i="1"/>
  <c r="G40" i="1"/>
  <c r="H40" i="1"/>
  <c r="I40" i="1"/>
  <c r="G41" i="1"/>
  <c r="H41" i="1"/>
  <c r="I41" i="1"/>
  <c r="G42" i="1"/>
  <c r="H42" i="1"/>
  <c r="I42" i="1"/>
  <c r="G43" i="1"/>
  <c r="H43" i="1"/>
  <c r="I43" i="1"/>
  <c r="G44" i="1"/>
  <c r="H44" i="1"/>
  <c r="I44" i="1"/>
  <c r="G45" i="1"/>
  <c r="H45" i="1"/>
  <c r="I45" i="1"/>
  <c r="G46" i="1"/>
  <c r="H46" i="1"/>
  <c r="I46" i="1"/>
  <c r="G47" i="1"/>
  <c r="H47" i="1"/>
  <c r="I47" i="1"/>
  <c r="G48" i="1"/>
  <c r="H48" i="1"/>
  <c r="I48" i="1"/>
  <c r="G49" i="1"/>
  <c r="H49" i="1"/>
  <c r="I49" i="1"/>
  <c r="I2" i="1"/>
  <c r="H2" i="1"/>
  <c r="G2" i="1"/>
  <c r="H1" i="2"/>
  <c r="G1" i="2"/>
  <c r="F1" i="2"/>
  <c r="G2" i="2"/>
  <c r="H2" i="2"/>
  <c r="G3" i="2"/>
  <c r="H3" i="2"/>
  <c r="G4" i="2"/>
  <c r="H4" i="2"/>
  <c r="G5" i="2"/>
  <c r="H5" i="2"/>
  <c r="G6" i="2"/>
  <c r="H6" i="2"/>
  <c r="G7" i="2"/>
  <c r="H7" i="2"/>
  <c r="G8" i="2"/>
  <c r="H8" i="2"/>
  <c r="G9" i="2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H19" i="2"/>
  <c r="G20" i="2"/>
  <c r="H20" i="2"/>
  <c r="G21" i="2"/>
  <c r="H21" i="2"/>
  <c r="G22" i="2"/>
  <c r="H22" i="2"/>
  <c r="G23" i="2"/>
  <c r="H23" i="2"/>
  <c r="G24" i="2"/>
  <c r="H24" i="2"/>
  <c r="G25" i="2"/>
  <c r="H25" i="2"/>
  <c r="G26" i="2"/>
  <c r="H26" i="2"/>
  <c r="G27" i="2"/>
  <c r="H27" i="2"/>
  <c r="G28" i="2"/>
  <c r="H28" i="2"/>
  <c r="G29" i="2"/>
  <c r="H29" i="2"/>
  <c r="G30" i="2"/>
  <c r="H30" i="2"/>
  <c r="G31" i="2"/>
  <c r="H31" i="2"/>
  <c r="G32" i="2"/>
  <c r="H32" i="2"/>
  <c r="G33" i="2"/>
  <c r="H33" i="2"/>
  <c r="G34" i="2"/>
  <c r="H34" i="2"/>
  <c r="G35" i="2"/>
  <c r="H35" i="2"/>
  <c r="G36" i="2"/>
  <c r="H36" i="2"/>
  <c r="G37" i="2"/>
  <c r="H37" i="2"/>
  <c r="G38" i="2"/>
  <c r="H38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2" i="2"/>
</calcChain>
</file>

<file path=xl/sharedStrings.xml><?xml version="1.0" encoding="utf-8"?>
<sst xmlns="http://schemas.openxmlformats.org/spreadsheetml/2006/main" count="216" uniqueCount="145">
  <si>
    <t xml:space="preserve">Element      </t>
  </si>
  <si>
    <t xml:space="preserve">Description                         </t>
  </si>
  <si>
    <t>Data Type</t>
  </si>
  <si>
    <t>LO</t>
  </si>
  <si>
    <t>PN</t>
  </si>
  <si>
    <t>DA</t>
  </si>
  <si>
    <t>CS</t>
  </si>
  <si>
    <t>SH</t>
  </si>
  <si>
    <t>IS</t>
  </si>
  <si>
    <t>TM</t>
  </si>
  <si>
    <t>UL</t>
  </si>
  <si>
    <t>OB</t>
  </si>
  <si>
    <t>UI</t>
  </si>
  <si>
    <t>(3006, 0039)  ROI Contour Sequence</t>
  </si>
  <si>
    <t xml:space="preserve">(3006, 002a) </t>
  </si>
  <si>
    <t xml:space="preserve">ROI Display Color                   </t>
  </si>
  <si>
    <t xml:space="preserve">(3006, 0084) </t>
  </si>
  <si>
    <t xml:space="preserve">Referenced ROI Number               </t>
  </si>
  <si>
    <t>(3006, 0020)  Structure Set ROI Sequence</t>
  </si>
  <si>
    <t>(3006, 0022)</t>
  </si>
  <si>
    <t xml:space="preserve">ROI Number                          </t>
  </si>
  <si>
    <t>(3006, 0024)</t>
  </si>
  <si>
    <t xml:space="preserve">Referenced Frame of Reference UID   </t>
  </si>
  <si>
    <t>(3006, 0026)</t>
  </si>
  <si>
    <t xml:space="preserve">ROI Name                            </t>
  </si>
  <si>
    <t>(3006, 0036)</t>
  </si>
  <si>
    <t xml:space="preserve">ROI Generation Algorithm            </t>
  </si>
  <si>
    <t>(3006, 0040)  Contour Sequence</t>
  </si>
  <si>
    <t xml:space="preserve">(3006, 0042) </t>
  </si>
  <si>
    <t xml:space="preserve">Contour Geometric Type              </t>
  </si>
  <si>
    <t xml:space="preserve">(3006, 0046) </t>
  </si>
  <si>
    <t xml:space="preserve">Number of Contour Points            </t>
  </si>
  <si>
    <t xml:space="preserve">(3006, 0050) </t>
  </si>
  <si>
    <t xml:space="preserve">Contour Data                        </t>
  </si>
  <si>
    <t>DS</t>
  </si>
  <si>
    <t xml:space="preserve">(3006, 0082) </t>
  </si>
  <si>
    <t xml:space="preserve">Observation Number                  </t>
  </si>
  <si>
    <t xml:space="preserve">(3006, 0085) </t>
  </si>
  <si>
    <t xml:space="preserve">ROI Observation Label               </t>
  </si>
  <si>
    <t xml:space="preserve">(3006, 00a4) </t>
  </si>
  <si>
    <t xml:space="preserve">RT ROI Interpreted Type             </t>
  </si>
  <si>
    <t xml:space="preserve">(3006, 00a6) </t>
  </si>
  <si>
    <t xml:space="preserve">ROI Interpreter                     </t>
  </si>
  <si>
    <t xml:space="preserve">   (3006, 00b2) </t>
  </si>
  <si>
    <t xml:space="preserve">    ROI Physical Property               </t>
  </si>
  <si>
    <t xml:space="preserve">   (3006, 00b4) </t>
  </si>
  <si>
    <t xml:space="preserve">    ROI Physical Property Value         </t>
  </si>
  <si>
    <t xml:space="preserve">   (0008, 0100) </t>
  </si>
  <si>
    <t xml:space="preserve">    Code Value                          </t>
  </si>
  <si>
    <t xml:space="preserve">   (0008, 0102) </t>
  </si>
  <si>
    <t xml:space="preserve">    Coding Scheme Designator            </t>
  </si>
  <si>
    <t xml:space="preserve">   (0008, 0103) </t>
  </si>
  <si>
    <t xml:space="preserve">    Coding Scheme Version               </t>
  </si>
  <si>
    <t xml:space="preserve">   (0008, 0104) </t>
  </si>
  <si>
    <t xml:space="preserve">    Code Meaning                        </t>
  </si>
  <si>
    <t xml:space="preserve">   (0008, 0105) </t>
  </si>
  <si>
    <t xml:space="preserve">    Mapping Resource                    </t>
  </si>
  <si>
    <t xml:space="preserve">   (0008, 0106) </t>
  </si>
  <si>
    <t xml:space="preserve">    Context Group Version               </t>
  </si>
  <si>
    <t>DT</t>
  </si>
  <si>
    <t xml:space="preserve">   (0008, 010f) </t>
  </si>
  <si>
    <t xml:space="preserve">    Context Identifier                  </t>
  </si>
  <si>
    <t xml:space="preserve">   (0008, 0117) </t>
  </si>
  <si>
    <t xml:space="preserve">    Context UID                         </t>
  </si>
  <si>
    <t xml:space="preserve">   (0008, 0118) </t>
  </si>
  <si>
    <t xml:space="preserve">    Mapping Resource UID                </t>
  </si>
  <si>
    <t xml:space="preserve">   (0008, 0122) </t>
  </si>
  <si>
    <t xml:space="preserve">    Mapping Resource Name               </t>
  </si>
  <si>
    <t>(0010, 0020)</t>
  </si>
  <si>
    <t>Patient ID</t>
  </si>
  <si>
    <t>(0010, 0010)</t>
  </si>
  <si>
    <t xml:space="preserve">Patient's Name                     </t>
  </si>
  <si>
    <t>(0010, 0030)</t>
  </si>
  <si>
    <t xml:space="preserve">Patient's Birth Date               </t>
  </si>
  <si>
    <t>(0010, 0040)</t>
  </si>
  <si>
    <t xml:space="preserve">Patient's Sex                      </t>
  </si>
  <si>
    <t>(0008, 0060)</t>
  </si>
  <si>
    <t xml:space="preserve">Modality                           </t>
  </si>
  <si>
    <t>(0020, 0010)</t>
  </si>
  <si>
    <t xml:space="preserve">Study ID                           </t>
  </si>
  <si>
    <t>(0020, 0011)</t>
  </si>
  <si>
    <t xml:space="preserve">Series Number                      </t>
  </si>
  <si>
    <t>(0008, 1030)</t>
  </si>
  <si>
    <t xml:space="preserve">Study Description                  </t>
  </si>
  <si>
    <t>(0008, 103e)</t>
  </si>
  <si>
    <t xml:space="preserve">Series Description                 </t>
  </si>
  <si>
    <t>(3006, 0002)</t>
  </si>
  <si>
    <t xml:space="preserve">Structure Set Label                </t>
  </si>
  <si>
    <t>(300e, 0002)</t>
  </si>
  <si>
    <t xml:space="preserve">Approval Status                    </t>
  </si>
  <si>
    <t>(0008, 0020)</t>
  </si>
  <si>
    <t xml:space="preserve">Study Date                         </t>
  </si>
  <si>
    <t>(0008, 0030)</t>
  </si>
  <si>
    <t xml:space="preserve">Study Time                         </t>
  </si>
  <si>
    <t>(3006, 0008)</t>
  </si>
  <si>
    <t xml:space="preserve">Structure Set Date                 </t>
  </si>
  <si>
    <t>(3006, 0009)</t>
  </si>
  <si>
    <t xml:space="preserve">Structure Set Time                 </t>
  </si>
  <si>
    <t>(0008, 0012)</t>
  </si>
  <si>
    <t xml:space="preserve">Instance Creation Date             </t>
  </si>
  <si>
    <t>(0008, 0013)</t>
  </si>
  <si>
    <t xml:space="preserve">Instance Creation Time             </t>
  </si>
  <si>
    <t>(0008, 0070)</t>
  </si>
  <si>
    <t xml:space="preserve">Manufacturer                       </t>
  </si>
  <si>
    <t>(0008, 1090)</t>
  </si>
  <si>
    <t xml:space="preserve">Manufacturer's Model Name          </t>
  </si>
  <si>
    <t>(0018, 1000)</t>
  </si>
  <si>
    <t xml:space="preserve">Device Serial Number               </t>
  </si>
  <si>
    <t>(0018, 1020)</t>
  </si>
  <si>
    <t xml:space="preserve">Software Versions                  </t>
  </si>
  <si>
    <t>(0008, 0090)</t>
  </si>
  <si>
    <t xml:space="preserve">Referring Physician's Name         </t>
  </si>
  <si>
    <t>(0008, 1070)</t>
  </si>
  <si>
    <t xml:space="preserve">Operators' Name                    </t>
  </si>
  <si>
    <t>(0008, 1010)</t>
  </si>
  <si>
    <t xml:space="preserve">Station Name                       </t>
  </si>
  <si>
    <t>(0008, 0050)</t>
  </si>
  <si>
    <t xml:space="preserve">Accession Number                   </t>
  </si>
  <si>
    <t>(0008, 0005)</t>
  </si>
  <si>
    <t xml:space="preserve">Specific Character Set             </t>
  </si>
  <si>
    <t>(0002, 0013)</t>
  </si>
  <si>
    <t xml:space="preserve">Implementation Version Name        </t>
  </si>
  <si>
    <t>(0002, 0000)</t>
  </si>
  <si>
    <t xml:space="preserve">File Meta Information Group Length </t>
  </si>
  <si>
    <t>(0002, 0001)</t>
  </si>
  <si>
    <t xml:space="preserve">File Meta Information Version      </t>
  </si>
  <si>
    <t>(0002, 0002)</t>
  </si>
  <si>
    <t xml:space="preserve">Media Storage SOP Class UID        </t>
  </si>
  <si>
    <t>(0002, 0003)</t>
  </si>
  <si>
    <t xml:space="preserve">Media Storage SOP Instance UID     </t>
  </si>
  <si>
    <t>(0002, 0010)</t>
  </si>
  <si>
    <t xml:space="preserve">Transfer Syntax UID                </t>
  </si>
  <si>
    <t>(0002, 0012)</t>
  </si>
  <si>
    <t xml:space="preserve">Implementation Class UID           </t>
  </si>
  <si>
    <t>(0008, 0016)</t>
  </si>
  <si>
    <t xml:space="preserve">SOP Class UID                      </t>
  </si>
  <si>
    <t>(0008, 0018)</t>
  </si>
  <si>
    <t xml:space="preserve">SOP Instance UID                   </t>
  </si>
  <si>
    <t>(0020, 000d)</t>
  </si>
  <si>
    <t xml:space="preserve">Study Instance UID                 </t>
  </si>
  <si>
    <t>(0020, 000e)</t>
  </si>
  <si>
    <t xml:space="preserve">Series Instance UID                </t>
  </si>
  <si>
    <t>(3006, 0086)  RT ROI Identification Code Sequence</t>
  </si>
  <si>
    <t>(3006, 00b0)  ROI Physical Properties Sequence</t>
  </si>
  <si>
    <t>(3006, 0080)  RT ROI Observations Sequence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</si>
</sst>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rgb="FFFFFFFF"/>
      <name val="Aptos Narrow"/>
      <family val="2"/>
    </font>
    <font>
      <sz val="11"/>
      <color rgb="FF000000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156082"/>
        <bgColor indexed="64"/>
      </patternFill>
    </fill>
    <fill>
      <patternFill patternType="solid">
        <fgColor rgb="FFC0E6F5"/>
        <bgColor indexed="64"/>
      </patternFill>
    </fill>
    <fill>
      <patternFill patternType="solid">
        <fgColor rgb="FFC1F0C8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0" fillId="3" borderId="0" xfId="0" applyFont="1" applyFill="1"/>
    <xf numFmtId="0" fontId="0" fillId="0" borderId="0" xfId="0" applyFont="1"/>
    <xf numFmtId="0" fontId="0" fillId="3" borderId="2" xfId="0" applyFont="1" applyFill="1" applyBorder="1"/>
    <xf numFmtId="0" fontId="0" fillId="0" borderId="2" xfId="0" applyFont="1" applyBorder="1"/>
    <xf numFmtId="0" fontId="2" fillId="4" borderId="3" xfId="0" applyFont="1" applyFill="1" applyBorder="1" applyAlignment="1">
      <alignment vertical="center"/>
    </xf>
    <xf numFmtId="0" fontId="3" fillId="5" borderId="3" xfId="0" applyFont="1" applyFill="1" applyBorder="1" applyAlignment="1">
      <alignment vertical="center"/>
    </xf>
    <xf numFmtId="0" fontId="3" fillId="6" borderId="3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F46B6CC-8883-4C82-8F11-182787375515}" name="Table2" displayName="Table2" ref="B2:D4" totalsRowShown="0">
  <autoFilter ref="B2:D4" xr:uid="{8F46B6CC-8883-4C82-8F11-182787375515}"/>
  <tableColumns count="3">
    <tableColumn id="1" xr3:uid="{48BBD8EE-33FE-4D57-B505-F2812FC5B443}" name="Element      "/>
    <tableColumn id="2" xr3:uid="{6AD4BECC-3553-4472-A396-5CFB5DD1D603}" name="Description                         "/>
    <tableColumn id="3" xr3:uid="{7166489C-9E34-4123-A3E7-E41C5247E90A}" name="Data Type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B37476C-36BE-4171-B3CA-591DA42A9BA5}" name="Table3" displayName="Table3" ref="B7:D11" totalsRowShown="0">
  <autoFilter ref="B7:D11" xr:uid="{0B37476C-36BE-4171-B3CA-591DA42A9BA5}"/>
  <tableColumns count="3">
    <tableColumn id="1" xr3:uid="{6B112CEB-4174-4975-97E2-3ABEB2B4B4BE}" name="Element      "/>
    <tableColumn id="2" xr3:uid="{53C87123-38EF-46B3-A25B-BF7AA53FF691}" name="Description                         "/>
    <tableColumn id="3" xr3:uid="{685CA9E2-BF85-4518-8160-041FDF290509}" name="Data Type"/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7BE23EC-9847-4DE7-8D52-B8BFBB55D7EB}" name="Table4" displayName="Table4" ref="B13:D16" totalsRowShown="0">
  <autoFilter ref="B13:D16" xr:uid="{77BE23EC-9847-4DE7-8D52-B8BFBB55D7EB}"/>
  <tableColumns count="3">
    <tableColumn id="1" xr3:uid="{1CF42BE9-2FE9-457A-85BA-65C4C4E091F9}" name="Element      "/>
    <tableColumn id="2" xr3:uid="{E7964865-6D66-430E-9265-7C56131EEAB7}" name="Description                         "/>
    <tableColumn id="3" xr3:uid="{F4AD8AD1-12ED-4972-82B6-A0E1685DA8EB}" name="Data Type"/>
  </tableColumns>
  <tableStyleInfo name="TableStyleMedium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CD835BE-BDCF-46B4-B6CD-C5EDA6D453C1}" name="Table5" displayName="Table5" ref="B24:D29" totalsRowShown="0">
  <autoFilter ref="B24:D29" xr:uid="{4CD835BE-BDCF-46B4-B6CD-C5EDA6D453C1}"/>
  <tableColumns count="3">
    <tableColumn id="1" xr3:uid="{82919011-A823-498E-B897-154F989DF5BB}" name="Element      "/>
    <tableColumn id="2" xr3:uid="{AF547E02-3D67-428D-8539-56AFCEE01019}" name="Description                         "/>
    <tableColumn id="3" xr3:uid="{59B4810C-8C0D-4E45-98F5-0FF2DCCE5604}" name="Data Type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84256-2BEC-4BE2-BDFE-5379BF987465}">
  <dimension ref="A1:I49"/>
  <sheetViews>
    <sheetView tabSelected="1" topLeftCell="A24" workbookViewId="0">
      <selection activeCell="L34" sqref="L34"/>
    </sheetView>
  </sheetViews>
  <sheetFormatPr defaultRowHeight="15" x14ac:dyDescent="0.25"/>
  <cols>
    <col min="1" max="1" width="11.5703125" customWidth="1"/>
    <col min="2" max="2" width="12.7109375" customWidth="1"/>
    <col min="3" max="3" width="33.42578125" bestFit="1" customWidth="1"/>
    <col min="4" max="4" width="11.7109375" customWidth="1"/>
    <col min="7" max="7" width="11.5703125" bestFit="1" customWidth="1"/>
    <col min="8" max="8" width="32.140625" bestFit="1" customWidth="1"/>
    <col min="9" max="9" width="9.85546875" bestFit="1" customWidth="1"/>
  </cols>
  <sheetData>
    <row r="1" spans="1:9" ht="15.75" thickBot="1" x14ac:dyDescent="0.3">
      <c r="A1" t="s">
        <v>13</v>
      </c>
    </row>
    <row r="2" spans="1:9" ht="15.75" thickBot="1" x14ac:dyDescent="0.3">
      <c r="B2" t="s">
        <v>0</v>
      </c>
      <c r="C2" t="s">
        <v>1</v>
      </c>
      <c r="D2" t="s">
        <v>2</v>
      </c>
      <c r="G2" s="1" t="str">
        <f t="shared" ref="G2:H2" si="0">TRIM(B2)</f>
        <v>Element</v>
      </c>
      <c r="H2" s="1" t="str">
        <f t="shared" si="0"/>
        <v>Description</v>
      </c>
      <c r="I2" s="1" t="str">
        <f>TRIM(D2)</f>
        <v>Data Type</v>
      </c>
    </row>
    <row r="3" spans="1:9" x14ac:dyDescent="0.25">
      <c r="B3" t="s">
        <v>14</v>
      </c>
      <c r="C3" t="s">
        <v>15</v>
      </c>
      <c r="D3" t="s">
        <v>8</v>
      </c>
      <c r="G3" s="2" t="str">
        <f t="shared" ref="G3:G49" si="1">TRIM(B3)</f>
        <v>(3006, 002a)</v>
      </c>
      <c r="H3" s="2" t="str">
        <f t="shared" ref="H3:H49" si="2">TRIM(C3)</f>
        <v>ROI Display Color</v>
      </c>
      <c r="I3" s="2" t="str">
        <f t="shared" ref="I3:I49" si="3">TRIM(D3)</f>
        <v>IS</v>
      </c>
    </row>
    <row r="4" spans="1:9" ht="15.75" thickBot="1" x14ac:dyDescent="0.3">
      <c r="B4" t="s">
        <v>16</v>
      </c>
      <c r="C4" t="s">
        <v>17</v>
      </c>
      <c r="D4" t="s">
        <v>8</v>
      </c>
      <c r="G4" s="5" t="str">
        <f t="shared" si="1"/>
        <v>(3006, 0084)</v>
      </c>
      <c r="H4" s="5" t="str">
        <f t="shared" si="2"/>
        <v>Referenced ROI Number</v>
      </c>
      <c r="I4" s="5" t="str">
        <f t="shared" si="3"/>
        <v>IS</v>
      </c>
    </row>
    <row r="5" spans="1:9" x14ac:dyDescent="0.25">
      <c r="G5" t="str">
        <f t="shared" si="1"/>
        <v/>
      </c>
      <c r="H5" t="str">
        <f t="shared" si="2"/>
        <v/>
      </c>
      <c r="I5" t="str">
        <f t="shared" si="3"/>
        <v/>
      </c>
    </row>
    <row r="6" spans="1:9" ht="15.75" thickBot="1" x14ac:dyDescent="0.3">
      <c r="A6" t="s">
        <v>18</v>
      </c>
      <c r="G6" t="str">
        <f t="shared" si="1"/>
        <v/>
      </c>
      <c r="H6" t="str">
        <f t="shared" si="2"/>
        <v/>
      </c>
      <c r="I6" t="str">
        <f t="shared" si="3"/>
        <v/>
      </c>
    </row>
    <row r="7" spans="1:9" ht="15.75" thickBot="1" x14ac:dyDescent="0.3">
      <c r="B7" t="s">
        <v>0</v>
      </c>
      <c r="C7" t="s">
        <v>1</v>
      </c>
      <c r="D7" t="s">
        <v>2</v>
      </c>
      <c r="G7" s="1" t="str">
        <f t="shared" si="1"/>
        <v>Element</v>
      </c>
      <c r="H7" s="1" t="str">
        <f t="shared" si="2"/>
        <v>Description</v>
      </c>
      <c r="I7" s="1" t="str">
        <f t="shared" si="3"/>
        <v>Data Type</v>
      </c>
    </row>
    <row r="8" spans="1:9" x14ac:dyDescent="0.25">
      <c r="B8" t="s">
        <v>19</v>
      </c>
      <c r="C8" t="s">
        <v>20</v>
      </c>
      <c r="D8" t="s">
        <v>8</v>
      </c>
      <c r="G8" s="2" t="str">
        <f t="shared" si="1"/>
        <v>(3006, 0022)</v>
      </c>
      <c r="H8" s="2" t="str">
        <f t="shared" si="2"/>
        <v>ROI Number</v>
      </c>
      <c r="I8" s="2" t="str">
        <f t="shared" si="3"/>
        <v>IS</v>
      </c>
    </row>
    <row r="9" spans="1:9" x14ac:dyDescent="0.25">
      <c r="B9" t="s">
        <v>21</v>
      </c>
      <c r="C9" t="s">
        <v>22</v>
      </c>
      <c r="D9" t="s">
        <v>12</v>
      </c>
      <c r="G9" s="3" t="str">
        <f t="shared" si="1"/>
        <v>(3006, 0024)</v>
      </c>
      <c r="H9" s="3" t="str">
        <f t="shared" si="2"/>
        <v>Referenced Frame of Reference UID</v>
      </c>
      <c r="I9" s="3" t="str">
        <f t="shared" si="3"/>
        <v>UI</v>
      </c>
    </row>
    <row r="10" spans="1:9" x14ac:dyDescent="0.25">
      <c r="B10" t="s">
        <v>23</v>
      </c>
      <c r="C10" t="s">
        <v>24</v>
      </c>
      <c r="D10" t="s">
        <v>3</v>
      </c>
      <c r="G10" s="2" t="str">
        <f t="shared" si="1"/>
        <v>(3006, 0026)</v>
      </c>
      <c r="H10" s="2" t="str">
        <f t="shared" si="2"/>
        <v>ROI Name</v>
      </c>
      <c r="I10" s="2" t="str">
        <f t="shared" si="3"/>
        <v>LO</v>
      </c>
    </row>
    <row r="11" spans="1:9" ht="15.75" thickBot="1" x14ac:dyDescent="0.3">
      <c r="B11" t="s">
        <v>25</v>
      </c>
      <c r="C11" t="s">
        <v>26</v>
      </c>
      <c r="D11" t="s">
        <v>6</v>
      </c>
      <c r="G11" s="5" t="str">
        <f t="shared" si="1"/>
        <v>(3006, 0036)</v>
      </c>
      <c r="H11" s="5" t="str">
        <f t="shared" si="2"/>
        <v>ROI Generation Algorithm</v>
      </c>
      <c r="I11" s="5" t="str">
        <f t="shared" si="3"/>
        <v>CS</v>
      </c>
    </row>
    <row r="12" spans="1:9" ht="15.75" thickBot="1" x14ac:dyDescent="0.3">
      <c r="A12" t="s">
        <v>27</v>
      </c>
      <c r="G12" t="str">
        <f t="shared" si="1"/>
        <v/>
      </c>
      <c r="H12" t="str">
        <f t="shared" si="2"/>
        <v/>
      </c>
      <c r="I12" t="str">
        <f t="shared" si="3"/>
        <v/>
      </c>
    </row>
    <row r="13" spans="1:9" ht="15.75" thickBot="1" x14ac:dyDescent="0.3">
      <c r="B13" t="s">
        <v>0</v>
      </c>
      <c r="C13" t="s">
        <v>1</v>
      </c>
      <c r="D13" t="s">
        <v>2</v>
      </c>
      <c r="G13" s="1" t="str">
        <f t="shared" si="1"/>
        <v>Element</v>
      </c>
      <c r="H13" s="1" t="str">
        <f t="shared" si="2"/>
        <v>Description</v>
      </c>
      <c r="I13" s="1" t="str">
        <f t="shared" si="3"/>
        <v>Data Type</v>
      </c>
    </row>
    <row r="14" spans="1:9" x14ac:dyDescent="0.25">
      <c r="B14" t="s">
        <v>28</v>
      </c>
      <c r="C14" t="s">
        <v>29</v>
      </c>
      <c r="D14" t="s">
        <v>6</v>
      </c>
      <c r="G14" s="2" t="str">
        <f t="shared" si="1"/>
        <v>(3006, 0042)</v>
      </c>
      <c r="H14" s="2" t="str">
        <f t="shared" si="2"/>
        <v>Contour Geometric Type</v>
      </c>
      <c r="I14" s="2" t="str">
        <f t="shared" si="3"/>
        <v>CS</v>
      </c>
    </row>
    <row r="15" spans="1:9" x14ac:dyDescent="0.25">
      <c r="B15" t="s">
        <v>30</v>
      </c>
      <c r="C15" t="s">
        <v>31</v>
      </c>
      <c r="D15" t="s">
        <v>8</v>
      </c>
      <c r="G15" s="3" t="str">
        <f t="shared" si="1"/>
        <v>(3006, 0046)</v>
      </c>
      <c r="H15" s="3" t="str">
        <f t="shared" si="2"/>
        <v>Number of Contour Points</v>
      </c>
      <c r="I15" s="3" t="str">
        <f t="shared" si="3"/>
        <v>IS</v>
      </c>
    </row>
    <row r="16" spans="1:9" ht="15.75" thickBot="1" x14ac:dyDescent="0.3">
      <c r="B16" t="s">
        <v>32</v>
      </c>
      <c r="C16" t="s">
        <v>33</v>
      </c>
      <c r="D16" t="s">
        <v>34</v>
      </c>
      <c r="G16" s="4" t="str">
        <f t="shared" si="1"/>
        <v>(3006, 0050)</v>
      </c>
      <c r="H16" s="4" t="str">
        <f t="shared" si="2"/>
        <v>Contour Data</v>
      </c>
      <c r="I16" s="4" t="str">
        <f t="shared" si="3"/>
        <v>DS</v>
      </c>
    </row>
    <row r="17" spans="1:9" x14ac:dyDescent="0.25">
      <c r="G17" t="str">
        <f t="shared" si="1"/>
        <v/>
      </c>
      <c r="H17" t="str">
        <f t="shared" si="2"/>
        <v/>
      </c>
      <c r="I17" t="str">
        <f t="shared" si="3"/>
        <v/>
      </c>
    </row>
    <row r="18" spans="1:9" x14ac:dyDescent="0.25">
      <c r="G18" t="str">
        <f t="shared" si="1"/>
        <v/>
      </c>
      <c r="H18" t="str">
        <f t="shared" si="2"/>
        <v/>
      </c>
      <c r="I18" t="str">
        <f t="shared" si="3"/>
        <v/>
      </c>
    </row>
    <row r="19" spans="1:9" x14ac:dyDescent="0.25">
      <c r="G19" t="str">
        <f t="shared" si="1"/>
        <v/>
      </c>
      <c r="H19" t="str">
        <f t="shared" si="2"/>
        <v/>
      </c>
      <c r="I19" t="str">
        <f t="shared" si="3"/>
        <v/>
      </c>
    </row>
    <row r="20" spans="1:9" x14ac:dyDescent="0.25">
      <c r="G20" t="str">
        <f t="shared" si="1"/>
        <v/>
      </c>
      <c r="H20" t="str">
        <f t="shared" si="2"/>
        <v/>
      </c>
      <c r="I20" t="str">
        <f t="shared" si="3"/>
        <v/>
      </c>
    </row>
    <row r="21" spans="1:9" x14ac:dyDescent="0.25">
      <c r="G21" t="str">
        <f t="shared" si="1"/>
        <v/>
      </c>
      <c r="H21" t="str">
        <f t="shared" si="2"/>
        <v/>
      </c>
      <c r="I21" t="str">
        <f t="shared" si="3"/>
        <v/>
      </c>
    </row>
    <row r="22" spans="1:9" x14ac:dyDescent="0.25">
      <c r="G22" t="str">
        <f t="shared" si="1"/>
        <v/>
      </c>
      <c r="H22" t="str">
        <f t="shared" si="2"/>
        <v/>
      </c>
      <c r="I22" t="str">
        <f t="shared" si="3"/>
        <v/>
      </c>
    </row>
    <row r="23" spans="1:9" ht="15.75" thickBot="1" x14ac:dyDescent="0.3">
      <c r="A23" t="s">
        <v>144</v>
      </c>
      <c r="G23" t="str">
        <f t="shared" si="1"/>
        <v/>
      </c>
      <c r="H23" t="str">
        <f t="shared" si="2"/>
        <v/>
      </c>
      <c r="I23" t="str">
        <f t="shared" si="3"/>
        <v/>
      </c>
    </row>
    <row r="24" spans="1:9" ht="15.75" thickBot="1" x14ac:dyDescent="0.3">
      <c r="B24" t="s">
        <v>0</v>
      </c>
      <c r="C24" t="s">
        <v>1</v>
      </c>
      <c r="D24" t="s">
        <v>2</v>
      </c>
      <c r="G24" s="1" t="str">
        <f t="shared" si="1"/>
        <v>Element</v>
      </c>
      <c r="H24" s="1" t="str">
        <f t="shared" si="2"/>
        <v>Description</v>
      </c>
      <c r="I24" s="1" t="str">
        <f t="shared" si="3"/>
        <v>Data Type</v>
      </c>
    </row>
    <row r="25" spans="1:9" x14ac:dyDescent="0.25">
      <c r="B25" t="s">
        <v>35</v>
      </c>
      <c r="C25" t="s">
        <v>36</v>
      </c>
      <c r="D25" t="s">
        <v>8</v>
      </c>
      <c r="G25" s="2" t="str">
        <f t="shared" si="1"/>
        <v>(3006, 0082)</v>
      </c>
      <c r="H25" s="2" t="str">
        <f t="shared" si="2"/>
        <v>Observation Number</v>
      </c>
      <c r="I25" s="2" t="str">
        <f t="shared" si="3"/>
        <v>IS</v>
      </c>
    </row>
    <row r="26" spans="1:9" x14ac:dyDescent="0.25">
      <c r="B26" t="s">
        <v>16</v>
      </c>
      <c r="C26" t="s">
        <v>17</v>
      </c>
      <c r="D26" t="s">
        <v>8</v>
      </c>
      <c r="G26" s="3" t="str">
        <f t="shared" si="1"/>
        <v>(3006, 0084)</v>
      </c>
      <c r="H26" s="3" t="str">
        <f t="shared" si="2"/>
        <v>Referenced ROI Number</v>
      </c>
      <c r="I26" s="3" t="str">
        <f t="shared" si="3"/>
        <v>IS</v>
      </c>
    </row>
    <row r="27" spans="1:9" x14ac:dyDescent="0.25">
      <c r="B27" t="s">
        <v>37</v>
      </c>
      <c r="C27" t="s">
        <v>38</v>
      </c>
      <c r="D27" t="s">
        <v>7</v>
      </c>
      <c r="G27" s="2" t="str">
        <f t="shared" si="1"/>
        <v>(3006, 0085)</v>
      </c>
      <c r="H27" s="2" t="str">
        <f t="shared" si="2"/>
        <v>ROI Observation Label</v>
      </c>
      <c r="I27" s="2" t="str">
        <f t="shared" si="3"/>
        <v>SH</v>
      </c>
    </row>
    <row r="28" spans="1:9" x14ac:dyDescent="0.25">
      <c r="B28" t="s">
        <v>39</v>
      </c>
      <c r="C28" t="s">
        <v>40</v>
      </c>
      <c r="D28" t="s">
        <v>6</v>
      </c>
      <c r="G28" s="3" t="str">
        <f t="shared" si="1"/>
        <v>(3006, 00a4)</v>
      </c>
      <c r="H28" s="3" t="str">
        <f t="shared" si="2"/>
        <v>RT ROI Interpreted Type</v>
      </c>
      <c r="I28" s="3" t="str">
        <f t="shared" si="3"/>
        <v>CS</v>
      </c>
    </row>
    <row r="29" spans="1:9" ht="15.75" thickBot="1" x14ac:dyDescent="0.3">
      <c r="B29" t="s">
        <v>41</v>
      </c>
      <c r="C29" t="s">
        <v>42</v>
      </c>
      <c r="D29" t="s">
        <v>4</v>
      </c>
      <c r="G29" s="4" t="str">
        <f t="shared" si="1"/>
        <v>(3006, 00a6)</v>
      </c>
      <c r="H29" s="4" t="str">
        <f t="shared" si="2"/>
        <v>ROI Interpreter</v>
      </c>
      <c r="I29" s="4" t="str">
        <f t="shared" si="3"/>
        <v>PN</v>
      </c>
    </row>
    <row r="30" spans="1:9" x14ac:dyDescent="0.25">
      <c r="G30" t="str">
        <f t="shared" si="1"/>
        <v/>
      </c>
      <c r="H30" t="str">
        <f t="shared" si="2"/>
        <v/>
      </c>
      <c r="I30" t="str">
        <f t="shared" si="3"/>
        <v/>
      </c>
    </row>
    <row r="31" spans="1:9" ht="15.75" thickBot="1" x14ac:dyDescent="0.3">
      <c r="A31" t="s">
        <v>143</v>
      </c>
      <c r="G31" t="str">
        <f t="shared" si="1"/>
        <v/>
      </c>
      <c r="H31" t="str">
        <f t="shared" si="2"/>
        <v/>
      </c>
      <c r="I31" t="str">
        <f t="shared" si="3"/>
        <v/>
      </c>
    </row>
    <row r="32" spans="1:9" ht="15.75" thickBot="1" x14ac:dyDescent="0.3">
      <c r="B32" s="1" t="s">
        <v>0</v>
      </c>
      <c r="C32" s="1" t="s">
        <v>1</v>
      </c>
      <c r="D32" s="1" t="s">
        <v>2</v>
      </c>
      <c r="G32" s="1" t="str">
        <f t="shared" si="1"/>
        <v>Element</v>
      </c>
      <c r="H32" s="1" t="str">
        <f t="shared" si="2"/>
        <v>Description</v>
      </c>
      <c r="I32" s="1" t="str">
        <f t="shared" si="3"/>
        <v>Data Type</v>
      </c>
    </row>
    <row r="33" spans="1:9" x14ac:dyDescent="0.25">
      <c r="B33" s="2" t="s">
        <v>43</v>
      </c>
      <c r="C33" s="2" t="s">
        <v>44</v>
      </c>
      <c r="D33" s="2" t="s">
        <v>6</v>
      </c>
      <c r="G33" s="2" t="str">
        <f t="shared" si="1"/>
        <v>(3006, 00b2)</v>
      </c>
      <c r="H33" s="2" t="str">
        <f t="shared" si="2"/>
        <v>ROI Physical Property</v>
      </c>
      <c r="I33" s="2" t="str">
        <f t="shared" si="3"/>
        <v>CS</v>
      </c>
    </row>
    <row r="34" spans="1:9" x14ac:dyDescent="0.25">
      <c r="B34" s="3" t="s">
        <v>45</v>
      </c>
      <c r="C34" s="3" t="s">
        <v>46</v>
      </c>
      <c r="D34" s="3" t="s">
        <v>34</v>
      </c>
      <c r="G34" s="3" t="str">
        <f t="shared" si="1"/>
        <v>(3006, 00b4)</v>
      </c>
      <c r="H34" s="3" t="str">
        <f t="shared" si="2"/>
        <v>ROI Physical Property Value</v>
      </c>
      <c r="I34" s="3" t="str">
        <f t="shared" si="3"/>
        <v>DS</v>
      </c>
    </row>
    <row r="35" spans="1:9" x14ac:dyDescent="0.25">
      <c r="G35" t="str">
        <f t="shared" si="1"/>
        <v/>
      </c>
      <c r="H35" t="str">
        <f t="shared" si="2"/>
        <v/>
      </c>
      <c r="I35" t="str">
        <f t="shared" si="3"/>
        <v/>
      </c>
    </row>
    <row r="36" spans="1:9" x14ac:dyDescent="0.25">
      <c r="G36" t="str">
        <f t="shared" si="1"/>
        <v/>
      </c>
      <c r="H36" t="str">
        <f t="shared" si="2"/>
        <v/>
      </c>
      <c r="I36" t="str">
        <f t="shared" si="3"/>
        <v/>
      </c>
    </row>
    <row r="37" spans="1:9" ht="15.75" thickBot="1" x14ac:dyDescent="0.3">
      <c r="A37" t="s">
        <v>142</v>
      </c>
      <c r="G37" t="str">
        <f t="shared" si="1"/>
        <v/>
      </c>
      <c r="H37" t="str">
        <f t="shared" si="2"/>
        <v/>
      </c>
      <c r="I37" t="str">
        <f t="shared" si="3"/>
        <v/>
      </c>
    </row>
    <row r="38" spans="1:9" ht="15.75" thickBot="1" x14ac:dyDescent="0.3">
      <c r="B38" s="1" t="s">
        <v>0</v>
      </c>
      <c r="C38" s="1" t="s">
        <v>1</v>
      </c>
      <c r="D38" s="1" t="s">
        <v>2</v>
      </c>
      <c r="G38" s="1" t="str">
        <f t="shared" si="1"/>
        <v>Element</v>
      </c>
      <c r="H38" s="1" t="str">
        <f t="shared" si="2"/>
        <v>Description</v>
      </c>
      <c r="I38" s="1" t="str">
        <f t="shared" si="3"/>
        <v>Data Type</v>
      </c>
    </row>
    <row r="39" spans="1:9" x14ac:dyDescent="0.25">
      <c r="B39" s="3" t="s">
        <v>47</v>
      </c>
      <c r="C39" s="3" t="s">
        <v>48</v>
      </c>
      <c r="D39" s="3" t="s">
        <v>7</v>
      </c>
      <c r="G39" s="3" t="str">
        <f t="shared" si="1"/>
        <v>(0008, 0100)</v>
      </c>
      <c r="H39" s="3" t="str">
        <f t="shared" si="2"/>
        <v>Code Value</v>
      </c>
      <c r="I39" s="3" t="str">
        <f t="shared" si="3"/>
        <v>SH</v>
      </c>
    </row>
    <row r="40" spans="1:9" x14ac:dyDescent="0.25">
      <c r="B40" s="2" t="s">
        <v>49</v>
      </c>
      <c r="C40" s="2" t="s">
        <v>50</v>
      </c>
      <c r="D40" s="2" t="s">
        <v>7</v>
      </c>
      <c r="G40" s="2" t="str">
        <f t="shared" si="1"/>
        <v>(0008, 0102)</v>
      </c>
      <c r="H40" s="2" t="str">
        <f t="shared" si="2"/>
        <v>Coding Scheme Designator</v>
      </c>
      <c r="I40" s="2" t="str">
        <f t="shared" si="3"/>
        <v>SH</v>
      </c>
    </row>
    <row r="41" spans="1:9" x14ac:dyDescent="0.25">
      <c r="B41" s="3" t="s">
        <v>51</v>
      </c>
      <c r="C41" s="3" t="s">
        <v>52</v>
      </c>
      <c r="D41" s="3" t="s">
        <v>7</v>
      </c>
      <c r="G41" s="3" t="str">
        <f t="shared" si="1"/>
        <v>(0008, 0103)</v>
      </c>
      <c r="H41" s="3" t="str">
        <f t="shared" si="2"/>
        <v>Coding Scheme Version</v>
      </c>
      <c r="I41" s="3" t="str">
        <f t="shared" si="3"/>
        <v>SH</v>
      </c>
    </row>
    <row r="42" spans="1:9" x14ac:dyDescent="0.25">
      <c r="B42" s="2" t="s">
        <v>53</v>
      </c>
      <c r="C42" s="2" t="s">
        <v>54</v>
      </c>
      <c r="D42" s="2" t="s">
        <v>3</v>
      </c>
      <c r="G42" s="2" t="str">
        <f t="shared" si="1"/>
        <v>(0008, 0104)</v>
      </c>
      <c r="H42" s="2" t="str">
        <f t="shared" si="2"/>
        <v>Code Meaning</v>
      </c>
      <c r="I42" s="2" t="str">
        <f t="shared" si="3"/>
        <v>LO</v>
      </c>
    </row>
    <row r="43" spans="1:9" x14ac:dyDescent="0.25">
      <c r="B43" s="3" t="s">
        <v>55</v>
      </c>
      <c r="C43" s="3" t="s">
        <v>56</v>
      </c>
      <c r="D43" s="3" t="s">
        <v>6</v>
      </c>
      <c r="G43" s="3" t="str">
        <f t="shared" si="1"/>
        <v>(0008, 0105)</v>
      </c>
      <c r="H43" s="3" t="str">
        <f t="shared" si="2"/>
        <v>Mapping Resource</v>
      </c>
      <c r="I43" s="3" t="str">
        <f t="shared" si="3"/>
        <v>CS</v>
      </c>
    </row>
    <row r="44" spans="1:9" x14ac:dyDescent="0.25">
      <c r="B44" s="2" t="s">
        <v>57</v>
      </c>
      <c r="C44" s="2" t="s">
        <v>58</v>
      </c>
      <c r="D44" s="2" t="s">
        <v>59</v>
      </c>
      <c r="G44" s="2" t="str">
        <f t="shared" si="1"/>
        <v>(0008, 0106)</v>
      </c>
      <c r="H44" s="2" t="str">
        <f t="shared" si="2"/>
        <v>Context Group Version</v>
      </c>
      <c r="I44" s="2" t="str">
        <f t="shared" si="3"/>
        <v>DT</v>
      </c>
    </row>
    <row r="45" spans="1:9" x14ac:dyDescent="0.25">
      <c r="B45" s="3" t="s">
        <v>60</v>
      </c>
      <c r="C45" s="3" t="s">
        <v>61</v>
      </c>
      <c r="D45" s="3" t="s">
        <v>6</v>
      </c>
      <c r="G45" s="3" t="str">
        <f t="shared" si="1"/>
        <v>(0008, 010f)</v>
      </c>
      <c r="H45" s="3" t="str">
        <f t="shared" si="2"/>
        <v>Context Identifier</v>
      </c>
      <c r="I45" s="3" t="str">
        <f t="shared" si="3"/>
        <v>CS</v>
      </c>
    </row>
    <row r="46" spans="1:9" x14ac:dyDescent="0.25">
      <c r="B46" s="2" t="s">
        <v>62</v>
      </c>
      <c r="C46" s="2" t="s">
        <v>63</v>
      </c>
      <c r="D46" s="2" t="s">
        <v>12</v>
      </c>
      <c r="G46" s="2" t="str">
        <f t="shared" si="1"/>
        <v>(0008, 0117)</v>
      </c>
      <c r="H46" s="2" t="str">
        <f t="shared" si="2"/>
        <v>Context UID</v>
      </c>
      <c r="I46" s="2" t="str">
        <f t="shared" si="3"/>
        <v>UI</v>
      </c>
    </row>
    <row r="47" spans="1:9" x14ac:dyDescent="0.25">
      <c r="B47" s="3" t="s">
        <v>64</v>
      </c>
      <c r="C47" s="3" t="s">
        <v>65</v>
      </c>
      <c r="D47" s="3" t="s">
        <v>12</v>
      </c>
      <c r="G47" s="3" t="str">
        <f t="shared" si="1"/>
        <v>(0008, 0118)</v>
      </c>
      <c r="H47" s="3" t="str">
        <f t="shared" si="2"/>
        <v>Mapping Resource UID</v>
      </c>
      <c r="I47" s="3" t="str">
        <f t="shared" si="3"/>
        <v>UI</v>
      </c>
    </row>
    <row r="48" spans="1:9" ht="15.75" thickBot="1" x14ac:dyDescent="0.3">
      <c r="B48" s="4" t="s">
        <v>66</v>
      </c>
      <c r="C48" s="4" t="s">
        <v>67</v>
      </c>
      <c r="D48" s="4" t="s">
        <v>3</v>
      </c>
      <c r="G48" s="4" t="str">
        <f t="shared" si="1"/>
        <v>(0008, 0122)</v>
      </c>
      <c r="H48" s="4" t="str">
        <f t="shared" si="2"/>
        <v>Mapping Resource Name</v>
      </c>
      <c r="I48" s="4" t="str">
        <f t="shared" si="3"/>
        <v>LO</v>
      </c>
    </row>
    <row r="49" spans="7:9" x14ac:dyDescent="0.25">
      <c r="G49" t="str">
        <f t="shared" si="1"/>
        <v/>
      </c>
      <c r="H49" t="str">
        <f t="shared" si="2"/>
        <v/>
      </c>
      <c r="I49" t="str">
        <f t="shared" si="3"/>
        <v/>
      </c>
    </row>
  </sheetData>
  <pageMargins left="0.7" right="0.7" top="0.75" bottom="0.75" header="0.3" footer="0.3"/>
  <pageSetup orientation="portrait" horizontalDpi="0" verticalDpi="0" r:id="rId1"/>
  <tableParts count="4"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69A69-DA9B-483E-A636-A6085BA2B47F}">
  <dimension ref="A1:H38"/>
  <sheetViews>
    <sheetView workbookViewId="0">
      <selection activeCell="F1" sqref="F1:H1"/>
    </sheetView>
  </sheetViews>
  <sheetFormatPr defaultRowHeight="15" x14ac:dyDescent="0.25"/>
  <cols>
    <col min="1" max="1" width="11.5703125" bestFit="1" customWidth="1"/>
    <col min="2" max="2" width="32.85546875" bestFit="1" customWidth="1"/>
    <col min="3" max="3" width="9.85546875" bestFit="1" customWidth="1"/>
    <col min="6" max="6" width="11.5703125" bestFit="1" customWidth="1"/>
    <col min="7" max="7" width="32.42578125" bestFit="1" customWidth="1"/>
    <col min="8" max="8" width="9.85546875" bestFit="1" customWidth="1"/>
  </cols>
  <sheetData>
    <row r="1" spans="1:8" ht="15.75" thickBot="1" x14ac:dyDescent="0.3">
      <c r="A1" s="6" t="s">
        <v>0</v>
      </c>
      <c r="B1" s="6" t="s">
        <v>1</v>
      </c>
      <c r="C1" s="6" t="s">
        <v>2</v>
      </c>
      <c r="F1" s="6" t="str">
        <f>TRIM(A1)</f>
        <v>Element</v>
      </c>
      <c r="G1" s="6" t="str">
        <f t="shared" ref="G1" si="0">TRIM(B1)</f>
        <v>Description</v>
      </c>
      <c r="H1" s="6" t="str">
        <f t="shared" ref="H1" si="1">TRIM(C1)</f>
        <v>Data Type</v>
      </c>
    </row>
    <row r="2" spans="1:8" ht="15.75" thickBot="1" x14ac:dyDescent="0.3">
      <c r="A2" s="7" t="s">
        <v>68</v>
      </c>
      <c r="B2" s="7" t="s">
        <v>69</v>
      </c>
      <c r="C2" s="7" t="s">
        <v>3</v>
      </c>
      <c r="F2" s="7" t="str">
        <f>TRIM(A2)</f>
        <v>(0010, 0020)</v>
      </c>
      <c r="G2" s="7" t="str">
        <f t="shared" ref="G2:H17" si="2">TRIM(B2)</f>
        <v>Patient ID</v>
      </c>
      <c r="H2" s="7" t="str">
        <f t="shared" si="2"/>
        <v>LO</v>
      </c>
    </row>
    <row r="3" spans="1:8" ht="15.75" thickBot="1" x14ac:dyDescent="0.3">
      <c r="A3" s="7" t="s">
        <v>70</v>
      </c>
      <c r="B3" s="7" t="s">
        <v>71</v>
      </c>
      <c r="C3" s="7" t="s">
        <v>4</v>
      </c>
      <c r="F3" s="7" t="str">
        <f t="shared" ref="F3:F38" si="3">TRIM(A3)</f>
        <v>(0010, 0010)</v>
      </c>
      <c r="G3" s="7" t="str">
        <f t="shared" si="2"/>
        <v>Patient's Name</v>
      </c>
      <c r="H3" s="7" t="str">
        <f t="shared" si="2"/>
        <v>PN</v>
      </c>
    </row>
    <row r="4" spans="1:8" ht="15.75" thickBot="1" x14ac:dyDescent="0.3">
      <c r="A4" s="7" t="s">
        <v>72</v>
      </c>
      <c r="B4" s="7" t="s">
        <v>73</v>
      </c>
      <c r="C4" s="7" t="s">
        <v>5</v>
      </c>
      <c r="F4" s="7" t="str">
        <f t="shared" si="3"/>
        <v>(0010, 0030)</v>
      </c>
      <c r="G4" s="7" t="str">
        <f t="shared" si="2"/>
        <v>Patient's Birth Date</v>
      </c>
      <c r="H4" s="7" t="str">
        <f t="shared" si="2"/>
        <v>DA</v>
      </c>
    </row>
    <row r="5" spans="1:8" ht="15.75" thickBot="1" x14ac:dyDescent="0.3">
      <c r="A5" s="7" t="s">
        <v>74</v>
      </c>
      <c r="B5" s="7" t="s">
        <v>75</v>
      </c>
      <c r="C5" s="7" t="s">
        <v>6</v>
      </c>
      <c r="F5" s="7" t="str">
        <f t="shared" si="3"/>
        <v>(0010, 0040)</v>
      </c>
      <c r="G5" s="7" t="str">
        <f t="shared" si="2"/>
        <v>Patient's Sex</v>
      </c>
      <c r="H5" s="7" t="str">
        <f t="shared" si="2"/>
        <v>CS</v>
      </c>
    </row>
    <row r="6" spans="1:8" ht="15.75" thickBot="1" x14ac:dyDescent="0.3">
      <c r="A6" s="8" t="s">
        <v>76</v>
      </c>
      <c r="B6" s="8" t="s">
        <v>77</v>
      </c>
      <c r="C6" s="8" t="s">
        <v>6</v>
      </c>
      <c r="F6" s="8" t="str">
        <f t="shared" si="3"/>
        <v>(0008, 0060)</v>
      </c>
      <c r="G6" s="8" t="str">
        <f t="shared" si="2"/>
        <v>Modality</v>
      </c>
      <c r="H6" s="8" t="str">
        <f t="shared" si="2"/>
        <v>CS</v>
      </c>
    </row>
    <row r="7" spans="1:8" ht="15.75" thickBot="1" x14ac:dyDescent="0.3">
      <c r="A7" s="8" t="s">
        <v>78</v>
      </c>
      <c r="B7" s="8" t="s">
        <v>79</v>
      </c>
      <c r="C7" s="8" t="s">
        <v>7</v>
      </c>
      <c r="F7" s="8" t="str">
        <f t="shared" si="3"/>
        <v>(0020, 0010)</v>
      </c>
      <c r="G7" s="8" t="str">
        <f t="shared" si="2"/>
        <v>Study ID</v>
      </c>
      <c r="H7" s="8" t="str">
        <f t="shared" si="2"/>
        <v>SH</v>
      </c>
    </row>
    <row r="8" spans="1:8" ht="15.75" thickBot="1" x14ac:dyDescent="0.3">
      <c r="A8" s="8" t="s">
        <v>80</v>
      </c>
      <c r="B8" s="8" t="s">
        <v>81</v>
      </c>
      <c r="C8" s="8" t="s">
        <v>8</v>
      </c>
      <c r="F8" s="8" t="str">
        <f t="shared" si="3"/>
        <v>(0020, 0011)</v>
      </c>
      <c r="G8" s="8" t="str">
        <f t="shared" si="2"/>
        <v>Series Number</v>
      </c>
      <c r="H8" s="8" t="str">
        <f t="shared" si="2"/>
        <v>IS</v>
      </c>
    </row>
    <row r="9" spans="1:8" ht="15.75" thickBot="1" x14ac:dyDescent="0.3">
      <c r="A9" s="8" t="s">
        <v>82</v>
      </c>
      <c r="B9" s="8" t="s">
        <v>83</v>
      </c>
      <c r="C9" s="8" t="s">
        <v>3</v>
      </c>
      <c r="F9" s="8" t="str">
        <f t="shared" si="3"/>
        <v>(0008, 1030)</v>
      </c>
      <c r="G9" s="8" t="str">
        <f t="shared" si="2"/>
        <v>Study Description</v>
      </c>
      <c r="H9" s="8" t="str">
        <f t="shared" si="2"/>
        <v>LO</v>
      </c>
    </row>
    <row r="10" spans="1:8" ht="15.75" thickBot="1" x14ac:dyDescent="0.3">
      <c r="A10" s="8" t="s">
        <v>84</v>
      </c>
      <c r="B10" s="8" t="s">
        <v>85</v>
      </c>
      <c r="C10" s="8" t="s">
        <v>3</v>
      </c>
      <c r="F10" s="8" t="str">
        <f t="shared" si="3"/>
        <v>(0008, 103e)</v>
      </c>
      <c r="G10" s="8" t="str">
        <f t="shared" si="2"/>
        <v>Series Description</v>
      </c>
      <c r="H10" s="8" t="str">
        <f t="shared" si="2"/>
        <v>LO</v>
      </c>
    </row>
    <row r="11" spans="1:8" ht="15.75" thickBot="1" x14ac:dyDescent="0.3">
      <c r="A11" s="8" t="s">
        <v>86</v>
      </c>
      <c r="B11" s="8" t="s">
        <v>87</v>
      </c>
      <c r="C11" s="8" t="s">
        <v>7</v>
      </c>
      <c r="F11" s="8" t="str">
        <f t="shared" si="3"/>
        <v>(3006, 0002)</v>
      </c>
      <c r="G11" s="8" t="str">
        <f t="shared" si="2"/>
        <v>Structure Set Label</v>
      </c>
      <c r="H11" s="8" t="str">
        <f t="shared" si="2"/>
        <v>SH</v>
      </c>
    </row>
    <row r="12" spans="1:8" ht="15.75" thickBot="1" x14ac:dyDescent="0.3">
      <c r="A12" s="8" t="s">
        <v>88</v>
      </c>
      <c r="B12" s="8" t="s">
        <v>89</v>
      </c>
      <c r="C12" s="8" t="s">
        <v>6</v>
      </c>
      <c r="F12" s="8" t="str">
        <f t="shared" si="3"/>
        <v>(300e, 0002)</v>
      </c>
      <c r="G12" s="8" t="str">
        <f t="shared" si="2"/>
        <v>Approval Status</v>
      </c>
      <c r="H12" s="8" t="str">
        <f t="shared" si="2"/>
        <v>CS</v>
      </c>
    </row>
    <row r="13" spans="1:8" ht="15.75" thickBot="1" x14ac:dyDescent="0.3">
      <c r="A13" s="7" t="s">
        <v>90</v>
      </c>
      <c r="B13" s="7" t="s">
        <v>91</v>
      </c>
      <c r="C13" s="7" t="s">
        <v>5</v>
      </c>
      <c r="F13" s="7" t="str">
        <f t="shared" si="3"/>
        <v>(0008, 0020)</v>
      </c>
      <c r="G13" s="7" t="str">
        <f t="shared" si="2"/>
        <v>Study Date</v>
      </c>
      <c r="H13" s="7" t="str">
        <f t="shared" si="2"/>
        <v>DA</v>
      </c>
    </row>
    <row r="14" spans="1:8" ht="15.75" thickBot="1" x14ac:dyDescent="0.3">
      <c r="A14" s="7" t="s">
        <v>92</v>
      </c>
      <c r="B14" s="7" t="s">
        <v>93</v>
      </c>
      <c r="C14" s="7" t="s">
        <v>9</v>
      </c>
      <c r="F14" s="7" t="str">
        <f t="shared" si="3"/>
        <v>(0008, 0030)</v>
      </c>
      <c r="G14" s="7" t="str">
        <f t="shared" si="2"/>
        <v>Study Time</v>
      </c>
      <c r="H14" s="7" t="str">
        <f t="shared" si="2"/>
        <v>TM</v>
      </c>
    </row>
    <row r="15" spans="1:8" ht="15.75" thickBot="1" x14ac:dyDescent="0.3">
      <c r="A15" s="7" t="s">
        <v>94</v>
      </c>
      <c r="B15" s="7" t="s">
        <v>95</v>
      </c>
      <c r="C15" s="7" t="s">
        <v>5</v>
      </c>
      <c r="F15" s="7" t="str">
        <f t="shared" si="3"/>
        <v>(3006, 0008)</v>
      </c>
      <c r="G15" s="7" t="str">
        <f t="shared" si="2"/>
        <v>Structure Set Date</v>
      </c>
      <c r="H15" s="7" t="str">
        <f t="shared" si="2"/>
        <v>DA</v>
      </c>
    </row>
    <row r="16" spans="1:8" ht="15.75" thickBot="1" x14ac:dyDescent="0.3">
      <c r="A16" s="7" t="s">
        <v>96</v>
      </c>
      <c r="B16" s="7" t="s">
        <v>97</v>
      </c>
      <c r="C16" s="7" t="s">
        <v>9</v>
      </c>
      <c r="F16" s="7" t="str">
        <f t="shared" si="3"/>
        <v>(3006, 0009)</v>
      </c>
      <c r="G16" s="7" t="str">
        <f t="shared" si="2"/>
        <v>Structure Set Time</v>
      </c>
      <c r="H16" s="7" t="str">
        <f t="shared" si="2"/>
        <v>TM</v>
      </c>
    </row>
    <row r="17" spans="1:8" ht="15.75" thickBot="1" x14ac:dyDescent="0.3">
      <c r="A17" s="7" t="s">
        <v>98</v>
      </c>
      <c r="B17" s="7" t="s">
        <v>99</v>
      </c>
      <c r="C17" s="7" t="s">
        <v>5</v>
      </c>
      <c r="F17" s="7" t="str">
        <f t="shared" si="3"/>
        <v>(0008, 0012)</v>
      </c>
      <c r="G17" s="7" t="str">
        <f t="shared" si="2"/>
        <v>Instance Creation Date</v>
      </c>
      <c r="H17" s="7" t="str">
        <f t="shared" si="2"/>
        <v>DA</v>
      </c>
    </row>
    <row r="18" spans="1:8" ht="15.75" thickBot="1" x14ac:dyDescent="0.3">
      <c r="A18" s="7" t="s">
        <v>100</v>
      </c>
      <c r="B18" s="7" t="s">
        <v>101</v>
      </c>
      <c r="C18" s="7" t="s">
        <v>9</v>
      </c>
      <c r="F18" s="7" t="str">
        <f t="shared" si="3"/>
        <v>(0008, 0013)</v>
      </c>
      <c r="G18" s="7" t="str">
        <f t="shared" ref="G18:G38" si="4">TRIM(B18)</f>
        <v>Instance Creation Time</v>
      </c>
      <c r="H18" s="7" t="str">
        <f t="shared" ref="H18:H38" si="5">TRIM(C18)</f>
        <v>TM</v>
      </c>
    </row>
    <row r="19" spans="1:8" ht="15.75" thickBot="1" x14ac:dyDescent="0.3">
      <c r="A19" s="8" t="s">
        <v>102</v>
      </c>
      <c r="B19" s="8" t="s">
        <v>103</v>
      </c>
      <c r="C19" s="8" t="s">
        <v>3</v>
      </c>
      <c r="F19" s="8" t="str">
        <f t="shared" si="3"/>
        <v>(0008, 0070)</v>
      </c>
      <c r="G19" s="8" t="str">
        <f t="shared" si="4"/>
        <v>Manufacturer</v>
      </c>
      <c r="H19" s="8" t="str">
        <f t="shared" si="5"/>
        <v>LO</v>
      </c>
    </row>
    <row r="20" spans="1:8" ht="15.75" thickBot="1" x14ac:dyDescent="0.3">
      <c r="A20" s="8" t="s">
        <v>104</v>
      </c>
      <c r="B20" s="8" t="s">
        <v>105</v>
      </c>
      <c r="C20" s="8" t="s">
        <v>3</v>
      </c>
      <c r="F20" s="8" t="str">
        <f t="shared" si="3"/>
        <v>(0008, 1090)</v>
      </c>
      <c r="G20" s="8" t="str">
        <f t="shared" si="4"/>
        <v>Manufacturer's Model Name</v>
      </c>
      <c r="H20" s="8" t="str">
        <f t="shared" si="5"/>
        <v>LO</v>
      </c>
    </row>
    <row r="21" spans="1:8" ht="15.75" thickBot="1" x14ac:dyDescent="0.3">
      <c r="A21" s="8" t="s">
        <v>106</v>
      </c>
      <c r="B21" s="8" t="s">
        <v>107</v>
      </c>
      <c r="C21" s="8" t="s">
        <v>3</v>
      </c>
      <c r="F21" s="8" t="str">
        <f t="shared" si="3"/>
        <v>(0018, 1000)</v>
      </c>
      <c r="G21" s="8" t="str">
        <f t="shared" si="4"/>
        <v>Device Serial Number</v>
      </c>
      <c r="H21" s="8" t="str">
        <f t="shared" si="5"/>
        <v>LO</v>
      </c>
    </row>
    <row r="22" spans="1:8" ht="15.75" thickBot="1" x14ac:dyDescent="0.3">
      <c r="A22" s="8" t="s">
        <v>108</v>
      </c>
      <c r="B22" s="8" t="s">
        <v>109</v>
      </c>
      <c r="C22" s="8" t="s">
        <v>3</v>
      </c>
      <c r="F22" s="8" t="str">
        <f t="shared" si="3"/>
        <v>(0018, 1020)</v>
      </c>
      <c r="G22" s="8" t="str">
        <f t="shared" si="4"/>
        <v>Software Versions</v>
      </c>
      <c r="H22" s="8" t="str">
        <f t="shared" si="5"/>
        <v>LO</v>
      </c>
    </row>
    <row r="23" spans="1:8" ht="15.75" thickBot="1" x14ac:dyDescent="0.3">
      <c r="A23" s="8" t="s">
        <v>110</v>
      </c>
      <c r="B23" s="8" t="s">
        <v>111</v>
      </c>
      <c r="C23" s="8" t="s">
        <v>4</v>
      </c>
      <c r="F23" s="8" t="str">
        <f t="shared" si="3"/>
        <v>(0008, 0090)</v>
      </c>
      <c r="G23" s="8" t="str">
        <f t="shared" si="4"/>
        <v>Referring Physician's Name</v>
      </c>
      <c r="H23" s="8" t="str">
        <f t="shared" si="5"/>
        <v>PN</v>
      </c>
    </row>
    <row r="24" spans="1:8" ht="15.75" thickBot="1" x14ac:dyDescent="0.3">
      <c r="A24" s="8" t="s">
        <v>112</v>
      </c>
      <c r="B24" s="8" t="s">
        <v>113</v>
      </c>
      <c r="C24" s="8" t="s">
        <v>4</v>
      </c>
      <c r="F24" s="8" t="str">
        <f t="shared" si="3"/>
        <v>(0008, 1070)</v>
      </c>
      <c r="G24" s="8" t="str">
        <f t="shared" si="4"/>
        <v>Operators' Name</v>
      </c>
      <c r="H24" s="8" t="str">
        <f t="shared" si="5"/>
        <v>PN</v>
      </c>
    </row>
    <row r="25" spans="1:8" ht="15.75" thickBot="1" x14ac:dyDescent="0.3">
      <c r="A25" s="8" t="s">
        <v>114</v>
      </c>
      <c r="B25" s="8" t="s">
        <v>115</v>
      </c>
      <c r="C25" s="8" t="s">
        <v>7</v>
      </c>
      <c r="F25" s="8" t="str">
        <f t="shared" si="3"/>
        <v>(0008, 1010)</v>
      </c>
      <c r="G25" s="8" t="str">
        <f t="shared" si="4"/>
        <v>Station Name</v>
      </c>
      <c r="H25" s="8" t="str">
        <f t="shared" si="5"/>
        <v>SH</v>
      </c>
    </row>
    <row r="26" spans="1:8" ht="15.75" thickBot="1" x14ac:dyDescent="0.3">
      <c r="A26" s="8" t="s">
        <v>116</v>
      </c>
      <c r="B26" s="8" t="s">
        <v>117</v>
      </c>
      <c r="C26" s="8" t="s">
        <v>7</v>
      </c>
      <c r="F26" s="8" t="str">
        <f t="shared" si="3"/>
        <v>(0008, 0050)</v>
      </c>
      <c r="G26" s="8" t="str">
        <f t="shared" si="4"/>
        <v>Accession Number</v>
      </c>
      <c r="H26" s="8" t="str">
        <f t="shared" si="5"/>
        <v>SH</v>
      </c>
    </row>
    <row r="27" spans="1:8" ht="15.75" thickBot="1" x14ac:dyDescent="0.3">
      <c r="A27" s="7" t="s">
        <v>118</v>
      </c>
      <c r="B27" s="7" t="s">
        <v>119</v>
      </c>
      <c r="C27" s="7" t="s">
        <v>6</v>
      </c>
      <c r="F27" s="7" t="str">
        <f t="shared" si="3"/>
        <v>(0008, 0005)</v>
      </c>
      <c r="G27" s="7" t="str">
        <f t="shared" si="4"/>
        <v>Specific Character Set</v>
      </c>
      <c r="H27" s="7" t="str">
        <f t="shared" si="5"/>
        <v>CS</v>
      </c>
    </row>
    <row r="28" spans="1:8" ht="15.75" thickBot="1" x14ac:dyDescent="0.3">
      <c r="A28" s="7" t="s">
        <v>120</v>
      </c>
      <c r="B28" s="7" t="s">
        <v>121</v>
      </c>
      <c r="C28" s="7" t="s">
        <v>7</v>
      </c>
      <c r="F28" s="7" t="str">
        <f t="shared" si="3"/>
        <v>(0002, 0013)</v>
      </c>
      <c r="G28" s="7" t="str">
        <f t="shared" si="4"/>
        <v>Implementation Version Name</v>
      </c>
      <c r="H28" s="7" t="str">
        <f t="shared" si="5"/>
        <v>SH</v>
      </c>
    </row>
    <row r="29" spans="1:8" ht="15.75" thickBot="1" x14ac:dyDescent="0.3">
      <c r="A29" s="7" t="s">
        <v>122</v>
      </c>
      <c r="B29" s="7" t="s">
        <v>123</v>
      </c>
      <c r="C29" s="7" t="s">
        <v>10</v>
      </c>
      <c r="F29" s="7" t="str">
        <f t="shared" si="3"/>
        <v>(0002, 0000)</v>
      </c>
      <c r="G29" s="7" t="str">
        <f t="shared" si="4"/>
        <v>File Meta Information Group Length</v>
      </c>
      <c r="H29" s="7" t="str">
        <f t="shared" si="5"/>
        <v>UL</v>
      </c>
    </row>
    <row r="30" spans="1:8" ht="15.75" thickBot="1" x14ac:dyDescent="0.3">
      <c r="A30" s="7" t="s">
        <v>124</v>
      </c>
      <c r="B30" s="7" t="s">
        <v>125</v>
      </c>
      <c r="C30" s="7" t="s">
        <v>11</v>
      </c>
      <c r="F30" s="7" t="str">
        <f t="shared" si="3"/>
        <v>(0002, 0001)</v>
      </c>
      <c r="G30" s="7" t="str">
        <f t="shared" si="4"/>
        <v>File Meta Information Version</v>
      </c>
      <c r="H30" s="7" t="str">
        <f t="shared" si="5"/>
        <v>OB</v>
      </c>
    </row>
    <row r="31" spans="1:8" ht="15.75" thickBot="1" x14ac:dyDescent="0.3">
      <c r="A31" s="8" t="s">
        <v>126</v>
      </c>
      <c r="B31" s="8" t="s">
        <v>127</v>
      </c>
      <c r="C31" s="8" t="s">
        <v>12</v>
      </c>
      <c r="F31" s="8" t="str">
        <f t="shared" si="3"/>
        <v>(0002, 0002)</v>
      </c>
      <c r="G31" s="8" t="str">
        <f t="shared" si="4"/>
        <v>Media Storage SOP Class UID</v>
      </c>
      <c r="H31" s="8" t="str">
        <f t="shared" si="5"/>
        <v>UI</v>
      </c>
    </row>
    <row r="32" spans="1:8" ht="15.75" thickBot="1" x14ac:dyDescent="0.3">
      <c r="A32" s="8" t="s">
        <v>128</v>
      </c>
      <c r="B32" s="8" t="s">
        <v>129</v>
      </c>
      <c r="C32" s="8" t="s">
        <v>12</v>
      </c>
      <c r="F32" s="8" t="str">
        <f t="shared" si="3"/>
        <v>(0002, 0003)</v>
      </c>
      <c r="G32" s="8" t="str">
        <f t="shared" si="4"/>
        <v>Media Storage SOP Instance UID</v>
      </c>
      <c r="H32" s="8" t="str">
        <f t="shared" si="5"/>
        <v>UI</v>
      </c>
    </row>
    <row r="33" spans="1:8" ht="15.75" thickBot="1" x14ac:dyDescent="0.3">
      <c r="A33" s="8" t="s">
        <v>130</v>
      </c>
      <c r="B33" s="8" t="s">
        <v>131</v>
      </c>
      <c r="C33" s="8" t="s">
        <v>12</v>
      </c>
      <c r="F33" s="8" t="str">
        <f t="shared" si="3"/>
        <v>(0002, 0010)</v>
      </c>
      <c r="G33" s="8" t="str">
        <f t="shared" si="4"/>
        <v>Transfer Syntax UID</v>
      </c>
      <c r="H33" s="8" t="str">
        <f t="shared" si="5"/>
        <v>UI</v>
      </c>
    </row>
    <row r="34" spans="1:8" ht="15.75" thickBot="1" x14ac:dyDescent="0.3">
      <c r="A34" s="8" t="s">
        <v>132</v>
      </c>
      <c r="B34" s="8" t="s">
        <v>133</v>
      </c>
      <c r="C34" s="8" t="s">
        <v>12</v>
      </c>
      <c r="F34" s="8" t="str">
        <f t="shared" si="3"/>
        <v>(0002, 0012)</v>
      </c>
      <c r="G34" s="8" t="str">
        <f t="shared" si="4"/>
        <v>Implementation Class UID</v>
      </c>
      <c r="H34" s="8" t="str">
        <f t="shared" si="5"/>
        <v>UI</v>
      </c>
    </row>
    <row r="35" spans="1:8" ht="15.75" thickBot="1" x14ac:dyDescent="0.3">
      <c r="A35" s="8" t="s">
        <v>134</v>
      </c>
      <c r="B35" s="8" t="s">
        <v>135</v>
      </c>
      <c r="C35" s="8" t="s">
        <v>12</v>
      </c>
      <c r="F35" s="8" t="str">
        <f t="shared" si="3"/>
        <v>(0008, 0016)</v>
      </c>
      <c r="G35" s="8" t="str">
        <f t="shared" si="4"/>
        <v>SOP Class UID</v>
      </c>
      <c r="H35" s="8" t="str">
        <f t="shared" si="5"/>
        <v>UI</v>
      </c>
    </row>
    <row r="36" spans="1:8" ht="15.75" thickBot="1" x14ac:dyDescent="0.3">
      <c r="A36" s="8" t="s">
        <v>136</v>
      </c>
      <c r="B36" s="8" t="s">
        <v>137</v>
      </c>
      <c r="C36" s="8" t="s">
        <v>12</v>
      </c>
      <c r="F36" s="8" t="str">
        <f t="shared" si="3"/>
        <v>(0008, 0018)</v>
      </c>
      <c r="G36" s="8" t="str">
        <f t="shared" si="4"/>
        <v>SOP Instance UID</v>
      </c>
      <c r="H36" s="8" t="str">
        <f t="shared" si="5"/>
        <v>UI</v>
      </c>
    </row>
    <row r="37" spans="1:8" ht="15.75" thickBot="1" x14ac:dyDescent="0.3">
      <c r="A37" s="8" t="s">
        <v>138</v>
      </c>
      <c r="B37" s="8" t="s">
        <v>139</v>
      </c>
      <c r="C37" s="8" t="s">
        <v>12</v>
      </c>
      <c r="F37" s="8" t="str">
        <f t="shared" si="3"/>
        <v>(0020, 000d)</v>
      </c>
      <c r="G37" s="8" t="str">
        <f t="shared" si="4"/>
        <v>Study Instance UID</v>
      </c>
      <c r="H37" s="8" t="str">
        <f t="shared" si="5"/>
        <v>UI</v>
      </c>
    </row>
    <row r="38" spans="1:8" ht="15.75" thickBot="1" x14ac:dyDescent="0.3">
      <c r="A38" s="8" t="s">
        <v>140</v>
      </c>
      <c r="B38" s="8" t="s">
        <v>141</v>
      </c>
      <c r="C38" s="8" t="s">
        <v>12</v>
      </c>
      <c r="F38" s="8" t="str">
        <f t="shared" si="3"/>
        <v>(0020, 000e)</v>
      </c>
      <c r="G38" s="8" t="str">
        <f t="shared" si="4"/>
        <v>Series Instance UID</v>
      </c>
      <c r="H38" s="8" t="str">
        <f t="shared" si="5"/>
        <v>UI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Structure</vt:lpstr>
      <vt:lpstr>Structure 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 Salomons</dc:creator>
  <cp:lastModifiedBy>Greg Salomons</cp:lastModifiedBy>
  <dcterms:created xsi:type="dcterms:W3CDTF">2024-05-25T19:46:46Z</dcterms:created>
  <dcterms:modified xsi:type="dcterms:W3CDTF">2024-05-26T01:05:40Z</dcterms:modified>
</cp:coreProperties>
</file>