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tables/table3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alomon\Python Scripts\PlanChecking\Work In Progress\Contours\"/>
    </mc:Choice>
  </mc:AlternateContent>
  <bookViews>
    <workbookView xWindow="0" yWindow="0" windowWidth="10095" windowHeight="9120" activeTab="3"/>
  </bookViews>
  <sheets>
    <sheet name="Target Match" sheetId="1" r:id="rId1"/>
    <sheet name="OAR Match" sheetId="4" r:id="rId2"/>
    <sheet name="Other Structures" sheetId="5" r:id="rId3"/>
    <sheet name="Target Sorting" sheetId="6" r:id="rId4"/>
    <sheet name="Sheet1" sheetId="8" r:id="rId5"/>
    <sheet name="Target Match Errors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6" l="1"/>
  <c r="C17" i="6"/>
  <c r="C18" i="6"/>
  <c r="C19" i="6"/>
  <c r="C20" i="6"/>
  <c r="C21" i="6"/>
  <c r="C22" i="6"/>
  <c r="C23" i="6"/>
  <c r="C24" i="6"/>
  <c r="C25" i="6"/>
  <c r="C38" i="6"/>
  <c r="C39" i="6"/>
  <c r="C40" i="6"/>
  <c r="C41" i="6"/>
  <c r="C42" i="6"/>
  <c r="C43" i="6"/>
  <c r="C44" i="6"/>
  <c r="C45" i="6"/>
  <c r="C46" i="6"/>
  <c r="C52" i="6"/>
  <c r="C53" i="6"/>
  <c r="C54" i="6"/>
  <c r="C136" i="6"/>
  <c r="C137" i="6"/>
  <c r="C138" i="6"/>
  <c r="C139" i="6"/>
  <c r="C140" i="6"/>
  <c r="C141" i="6"/>
  <c r="C142" i="6"/>
  <c r="C396" i="6"/>
  <c r="C946" i="6"/>
  <c r="C947" i="6"/>
  <c r="C948" i="6"/>
  <c r="C1137" i="6"/>
  <c r="C1138" i="6"/>
  <c r="C1139" i="6"/>
  <c r="C1140" i="6"/>
  <c r="E2" i="6"/>
  <c r="C2" i="6" s="1"/>
  <c r="E3" i="6"/>
  <c r="C3" i="6" s="1"/>
  <c r="E4" i="6"/>
  <c r="C4" i="6" s="1"/>
  <c r="E5" i="6"/>
  <c r="C5" i="6" s="1"/>
  <c r="E6" i="6"/>
  <c r="C6" i="6" s="1"/>
  <c r="E7" i="6"/>
  <c r="C7" i="6" s="1"/>
  <c r="E8" i="6"/>
  <c r="C8" i="6" s="1"/>
  <c r="E9" i="6"/>
  <c r="C9" i="6" s="1"/>
  <c r="E10" i="6"/>
  <c r="C10" i="6" s="1"/>
  <c r="E11" i="6"/>
  <c r="C11" i="6" s="1"/>
  <c r="E12" i="6"/>
  <c r="C12" i="6" s="1"/>
  <c r="E13" i="6"/>
  <c r="C13" i="6" s="1"/>
  <c r="E14" i="6"/>
  <c r="C14" i="6" s="1"/>
  <c r="E15" i="6"/>
  <c r="C15" i="6" s="1"/>
  <c r="E16" i="6"/>
  <c r="E17" i="6"/>
  <c r="E18" i="6"/>
  <c r="E19" i="6"/>
  <c r="E20" i="6"/>
  <c r="E21" i="6"/>
  <c r="E22" i="6"/>
  <c r="E23" i="6"/>
  <c r="E24" i="6"/>
  <c r="E25" i="6"/>
  <c r="E26" i="6"/>
  <c r="C26" i="6" s="1"/>
  <c r="E27" i="6"/>
  <c r="C27" i="6" s="1"/>
  <c r="E28" i="6"/>
  <c r="C28" i="6" s="1"/>
  <c r="E29" i="6"/>
  <c r="C29" i="6" s="1"/>
  <c r="E30" i="6"/>
  <c r="C30" i="6" s="1"/>
  <c r="E31" i="6"/>
  <c r="C31" i="6" s="1"/>
  <c r="E32" i="6"/>
  <c r="C32" i="6" s="1"/>
  <c r="E33" i="6"/>
  <c r="C33" i="6" s="1"/>
  <c r="E34" i="6"/>
  <c r="C34" i="6" s="1"/>
  <c r="E35" i="6"/>
  <c r="C35" i="6" s="1"/>
  <c r="E36" i="6"/>
  <c r="C36" i="6" s="1"/>
  <c r="E37" i="6"/>
  <c r="C37" i="6" s="1"/>
  <c r="E38" i="6"/>
  <c r="E39" i="6"/>
  <c r="E40" i="6"/>
  <c r="E41" i="6"/>
  <c r="E42" i="6"/>
  <c r="E43" i="6"/>
  <c r="E44" i="6"/>
  <c r="E45" i="6"/>
  <c r="E46" i="6"/>
  <c r="E47" i="6"/>
  <c r="C47" i="6" s="1"/>
  <c r="E48" i="6"/>
  <c r="C48" i="6" s="1"/>
  <c r="E49" i="6"/>
  <c r="C49" i="6" s="1"/>
  <c r="E50" i="6"/>
  <c r="C50" i="6" s="1"/>
  <c r="E51" i="6"/>
  <c r="C51" i="6" s="1"/>
  <c r="E52" i="6"/>
  <c r="E53" i="6"/>
  <c r="E54" i="6"/>
  <c r="E55" i="6"/>
  <c r="C55" i="6" s="1"/>
  <c r="E56" i="6"/>
  <c r="C56" i="6" s="1"/>
  <c r="E57" i="6"/>
  <c r="C57" i="6" s="1"/>
  <c r="E58" i="6"/>
  <c r="C58" i="6" s="1"/>
  <c r="E59" i="6"/>
  <c r="C59" i="6" s="1"/>
  <c r="E60" i="6"/>
  <c r="C60" i="6" s="1"/>
  <c r="E61" i="6"/>
  <c r="C61" i="6" s="1"/>
  <c r="E62" i="6"/>
  <c r="C62" i="6" s="1"/>
  <c r="E63" i="6"/>
  <c r="C63" i="6" s="1"/>
  <c r="E64" i="6"/>
  <c r="C64" i="6" s="1"/>
  <c r="E65" i="6"/>
  <c r="C65" i="6" s="1"/>
  <c r="E66" i="6"/>
  <c r="C66" i="6" s="1"/>
  <c r="E67" i="6"/>
  <c r="C67" i="6" s="1"/>
  <c r="E68" i="6"/>
  <c r="C68" i="6" s="1"/>
  <c r="E69" i="6"/>
  <c r="C69" i="6" s="1"/>
  <c r="E70" i="6"/>
  <c r="C70" i="6" s="1"/>
  <c r="E71" i="6"/>
  <c r="C71" i="6" s="1"/>
  <c r="E72" i="6"/>
  <c r="C72" i="6" s="1"/>
  <c r="E73" i="6"/>
  <c r="C73" i="6" s="1"/>
  <c r="E74" i="6"/>
  <c r="C74" i="6" s="1"/>
  <c r="E75" i="6"/>
  <c r="C75" i="6" s="1"/>
  <c r="E76" i="6"/>
  <c r="C76" i="6" s="1"/>
  <c r="E77" i="6"/>
  <c r="C77" i="6" s="1"/>
  <c r="E78" i="6"/>
  <c r="C78" i="6" s="1"/>
  <c r="E79" i="6"/>
  <c r="C79" i="6" s="1"/>
  <c r="E80" i="6"/>
  <c r="C80" i="6" s="1"/>
  <c r="E81" i="6"/>
  <c r="C81" i="6" s="1"/>
  <c r="E82" i="6"/>
  <c r="C82" i="6" s="1"/>
  <c r="E83" i="6"/>
  <c r="C83" i="6" s="1"/>
  <c r="E84" i="6"/>
  <c r="C84" i="6" s="1"/>
  <c r="E85" i="6"/>
  <c r="C85" i="6" s="1"/>
  <c r="E86" i="6"/>
  <c r="C86" i="6" s="1"/>
  <c r="E87" i="6"/>
  <c r="C87" i="6" s="1"/>
  <c r="E88" i="6"/>
  <c r="C88" i="6" s="1"/>
  <c r="E89" i="6"/>
  <c r="C89" i="6" s="1"/>
  <c r="E90" i="6"/>
  <c r="C90" i="6" s="1"/>
  <c r="E91" i="6"/>
  <c r="C91" i="6" s="1"/>
  <c r="E92" i="6"/>
  <c r="C92" i="6" s="1"/>
  <c r="E93" i="6"/>
  <c r="C93" i="6" s="1"/>
  <c r="E94" i="6"/>
  <c r="C94" i="6" s="1"/>
  <c r="E95" i="6"/>
  <c r="C95" i="6" s="1"/>
  <c r="E96" i="6"/>
  <c r="C96" i="6" s="1"/>
  <c r="E97" i="6"/>
  <c r="C97" i="6" s="1"/>
  <c r="E98" i="6"/>
  <c r="C98" i="6" s="1"/>
  <c r="E99" i="6"/>
  <c r="C99" i="6" s="1"/>
  <c r="E100" i="6"/>
  <c r="C100" i="6" s="1"/>
  <c r="E101" i="6"/>
  <c r="C101" i="6" s="1"/>
  <c r="E102" i="6"/>
  <c r="C102" i="6" s="1"/>
  <c r="E103" i="6"/>
  <c r="C103" i="6" s="1"/>
  <c r="E104" i="6"/>
  <c r="C104" i="6" s="1"/>
  <c r="E105" i="6"/>
  <c r="C105" i="6" s="1"/>
  <c r="E106" i="6"/>
  <c r="C106" i="6" s="1"/>
  <c r="E107" i="6"/>
  <c r="C107" i="6" s="1"/>
  <c r="E108" i="6"/>
  <c r="C108" i="6" s="1"/>
  <c r="E109" i="6"/>
  <c r="C109" i="6" s="1"/>
  <c r="E110" i="6"/>
  <c r="C110" i="6" s="1"/>
  <c r="E111" i="6"/>
  <c r="C111" i="6" s="1"/>
  <c r="E112" i="6"/>
  <c r="C112" i="6" s="1"/>
  <c r="E113" i="6"/>
  <c r="C113" i="6" s="1"/>
  <c r="E114" i="6"/>
  <c r="C114" i="6" s="1"/>
  <c r="E115" i="6"/>
  <c r="C115" i="6" s="1"/>
  <c r="E116" i="6"/>
  <c r="C116" i="6" s="1"/>
  <c r="E117" i="6"/>
  <c r="C117" i="6" s="1"/>
  <c r="E118" i="6"/>
  <c r="C118" i="6" s="1"/>
  <c r="E119" i="6"/>
  <c r="C119" i="6" s="1"/>
  <c r="E120" i="6"/>
  <c r="C120" i="6" s="1"/>
  <c r="E121" i="6"/>
  <c r="C121" i="6" s="1"/>
  <c r="E122" i="6"/>
  <c r="C122" i="6" s="1"/>
  <c r="E123" i="6"/>
  <c r="C123" i="6" s="1"/>
  <c r="E124" i="6"/>
  <c r="C124" i="6" s="1"/>
  <c r="E125" i="6"/>
  <c r="C125" i="6" s="1"/>
  <c r="E126" i="6"/>
  <c r="C126" i="6" s="1"/>
  <c r="E127" i="6"/>
  <c r="C127" i="6" s="1"/>
  <c r="E128" i="6"/>
  <c r="C128" i="6" s="1"/>
  <c r="E129" i="6"/>
  <c r="C129" i="6" s="1"/>
  <c r="E130" i="6"/>
  <c r="C130" i="6" s="1"/>
  <c r="E131" i="6"/>
  <c r="C131" i="6" s="1"/>
  <c r="E132" i="6"/>
  <c r="C132" i="6" s="1"/>
  <c r="E133" i="6"/>
  <c r="C133" i="6" s="1"/>
  <c r="E134" i="6"/>
  <c r="C134" i="6" s="1"/>
  <c r="E135" i="6"/>
  <c r="C135" i="6" s="1"/>
  <c r="E136" i="6"/>
  <c r="E137" i="6"/>
  <c r="E138" i="6"/>
  <c r="E139" i="6"/>
  <c r="E140" i="6"/>
  <c r="E141" i="6"/>
  <c r="E142" i="6"/>
  <c r="E143" i="6"/>
  <c r="C143" i="6" s="1"/>
  <c r="E144" i="6"/>
  <c r="C144" i="6" s="1"/>
  <c r="E145" i="6"/>
  <c r="C145" i="6" s="1"/>
  <c r="E146" i="6"/>
  <c r="C146" i="6" s="1"/>
  <c r="E147" i="6"/>
  <c r="C147" i="6" s="1"/>
  <c r="E148" i="6"/>
  <c r="C148" i="6" s="1"/>
  <c r="E149" i="6"/>
  <c r="C149" i="6" s="1"/>
  <c r="E150" i="6"/>
  <c r="C150" i="6" s="1"/>
  <c r="E151" i="6"/>
  <c r="C151" i="6" s="1"/>
  <c r="E152" i="6"/>
  <c r="C152" i="6" s="1"/>
  <c r="E153" i="6"/>
  <c r="C153" i="6" s="1"/>
  <c r="E154" i="6"/>
  <c r="C154" i="6" s="1"/>
  <c r="E155" i="6"/>
  <c r="C155" i="6" s="1"/>
  <c r="E156" i="6"/>
  <c r="C156" i="6" s="1"/>
  <c r="E157" i="6"/>
  <c r="C157" i="6" s="1"/>
  <c r="E158" i="6"/>
  <c r="C158" i="6" s="1"/>
  <c r="E159" i="6"/>
  <c r="C159" i="6" s="1"/>
  <c r="E160" i="6"/>
  <c r="C160" i="6" s="1"/>
  <c r="E161" i="6"/>
  <c r="C161" i="6" s="1"/>
  <c r="E162" i="6"/>
  <c r="C162" i="6" s="1"/>
  <c r="E163" i="6"/>
  <c r="C163" i="6" s="1"/>
  <c r="E164" i="6"/>
  <c r="C164" i="6" s="1"/>
  <c r="E165" i="6"/>
  <c r="C165" i="6" s="1"/>
  <c r="E166" i="6"/>
  <c r="C166" i="6" s="1"/>
  <c r="E167" i="6"/>
  <c r="C167" i="6" s="1"/>
  <c r="E168" i="6"/>
  <c r="C168" i="6" s="1"/>
  <c r="E169" i="6"/>
  <c r="C169" i="6" s="1"/>
  <c r="E170" i="6"/>
  <c r="C170" i="6" s="1"/>
  <c r="E171" i="6"/>
  <c r="C171" i="6" s="1"/>
  <c r="E172" i="6"/>
  <c r="C172" i="6" s="1"/>
  <c r="E173" i="6"/>
  <c r="C173" i="6" s="1"/>
  <c r="E174" i="6"/>
  <c r="C174" i="6" s="1"/>
  <c r="E175" i="6"/>
  <c r="C175" i="6" s="1"/>
  <c r="E176" i="6"/>
  <c r="C176" i="6" s="1"/>
  <c r="E177" i="6"/>
  <c r="C177" i="6" s="1"/>
  <c r="E178" i="6"/>
  <c r="C178" i="6" s="1"/>
  <c r="E179" i="6"/>
  <c r="C179" i="6" s="1"/>
  <c r="E180" i="6"/>
  <c r="C180" i="6" s="1"/>
  <c r="E181" i="6"/>
  <c r="C181" i="6" s="1"/>
  <c r="E182" i="6"/>
  <c r="C182" i="6" s="1"/>
  <c r="E183" i="6"/>
  <c r="C183" i="6" s="1"/>
  <c r="E184" i="6"/>
  <c r="C184" i="6" s="1"/>
  <c r="E185" i="6"/>
  <c r="C185" i="6" s="1"/>
  <c r="E186" i="6"/>
  <c r="C186" i="6" s="1"/>
  <c r="E187" i="6"/>
  <c r="C187" i="6" s="1"/>
  <c r="E188" i="6"/>
  <c r="C188" i="6" s="1"/>
  <c r="E189" i="6"/>
  <c r="C189" i="6" s="1"/>
  <c r="E190" i="6"/>
  <c r="C190" i="6" s="1"/>
  <c r="E191" i="6"/>
  <c r="C191" i="6" s="1"/>
  <c r="E192" i="6"/>
  <c r="C192" i="6" s="1"/>
  <c r="E193" i="6"/>
  <c r="C193" i="6" s="1"/>
  <c r="E194" i="6"/>
  <c r="C194" i="6" s="1"/>
  <c r="E195" i="6"/>
  <c r="C195" i="6" s="1"/>
  <c r="E196" i="6"/>
  <c r="C196" i="6" s="1"/>
  <c r="E197" i="6"/>
  <c r="C197" i="6" s="1"/>
  <c r="E198" i="6"/>
  <c r="C198" i="6" s="1"/>
  <c r="E199" i="6"/>
  <c r="C199" i="6" s="1"/>
  <c r="E200" i="6"/>
  <c r="C200" i="6" s="1"/>
  <c r="E201" i="6"/>
  <c r="C201" i="6" s="1"/>
  <c r="E202" i="6"/>
  <c r="C202" i="6" s="1"/>
  <c r="E203" i="6"/>
  <c r="C203" i="6" s="1"/>
  <c r="E204" i="6"/>
  <c r="C204" i="6" s="1"/>
  <c r="E205" i="6"/>
  <c r="C205" i="6" s="1"/>
  <c r="E206" i="6"/>
  <c r="C206" i="6" s="1"/>
  <c r="E207" i="6"/>
  <c r="C207" i="6" s="1"/>
  <c r="E208" i="6"/>
  <c r="C208" i="6" s="1"/>
  <c r="E209" i="6"/>
  <c r="C209" i="6" s="1"/>
  <c r="E210" i="6"/>
  <c r="C210" i="6" s="1"/>
  <c r="E211" i="6"/>
  <c r="C211" i="6" s="1"/>
  <c r="E212" i="6"/>
  <c r="C212" i="6" s="1"/>
  <c r="E213" i="6"/>
  <c r="C213" i="6" s="1"/>
  <c r="E214" i="6"/>
  <c r="C214" i="6" s="1"/>
  <c r="E215" i="6"/>
  <c r="C215" i="6" s="1"/>
  <c r="E216" i="6"/>
  <c r="C216" i="6" s="1"/>
  <c r="E217" i="6"/>
  <c r="C217" i="6" s="1"/>
  <c r="E218" i="6"/>
  <c r="C218" i="6" s="1"/>
  <c r="E219" i="6"/>
  <c r="C219" i="6" s="1"/>
  <c r="E220" i="6"/>
  <c r="C220" i="6" s="1"/>
  <c r="E221" i="6"/>
  <c r="C221" i="6" s="1"/>
  <c r="E222" i="6"/>
  <c r="C222" i="6" s="1"/>
  <c r="E223" i="6"/>
  <c r="C223" i="6" s="1"/>
  <c r="E224" i="6"/>
  <c r="C224" i="6" s="1"/>
  <c r="E225" i="6"/>
  <c r="C225" i="6" s="1"/>
  <c r="E226" i="6"/>
  <c r="C226" i="6" s="1"/>
  <c r="E227" i="6"/>
  <c r="C227" i="6" s="1"/>
  <c r="E228" i="6"/>
  <c r="C228" i="6" s="1"/>
  <c r="E229" i="6"/>
  <c r="C229" i="6" s="1"/>
  <c r="E230" i="6"/>
  <c r="C230" i="6" s="1"/>
  <c r="E231" i="6"/>
  <c r="C231" i="6" s="1"/>
  <c r="E232" i="6"/>
  <c r="C232" i="6" s="1"/>
  <c r="E233" i="6"/>
  <c r="C233" i="6" s="1"/>
  <c r="E234" i="6"/>
  <c r="C234" i="6" s="1"/>
  <c r="E235" i="6"/>
  <c r="C235" i="6" s="1"/>
  <c r="E236" i="6"/>
  <c r="C236" i="6" s="1"/>
  <c r="E237" i="6"/>
  <c r="C237" i="6" s="1"/>
  <c r="E238" i="6"/>
  <c r="C238" i="6" s="1"/>
  <c r="E239" i="6"/>
  <c r="C239" i="6" s="1"/>
  <c r="E240" i="6"/>
  <c r="C240" i="6" s="1"/>
  <c r="E241" i="6"/>
  <c r="C241" i="6" s="1"/>
  <c r="E242" i="6"/>
  <c r="C242" i="6" s="1"/>
  <c r="E243" i="6"/>
  <c r="C243" i="6" s="1"/>
  <c r="E244" i="6"/>
  <c r="C244" i="6" s="1"/>
  <c r="E245" i="6"/>
  <c r="C245" i="6" s="1"/>
  <c r="E246" i="6"/>
  <c r="C246" i="6" s="1"/>
  <c r="E247" i="6"/>
  <c r="C247" i="6" s="1"/>
  <c r="E248" i="6"/>
  <c r="C248" i="6" s="1"/>
  <c r="E249" i="6"/>
  <c r="C249" i="6" s="1"/>
  <c r="E250" i="6"/>
  <c r="C250" i="6" s="1"/>
  <c r="E251" i="6"/>
  <c r="C251" i="6" s="1"/>
  <c r="E252" i="6"/>
  <c r="C252" i="6" s="1"/>
  <c r="E253" i="6"/>
  <c r="C253" i="6" s="1"/>
  <c r="E254" i="6"/>
  <c r="C254" i="6" s="1"/>
  <c r="E255" i="6"/>
  <c r="C255" i="6" s="1"/>
  <c r="E256" i="6"/>
  <c r="C256" i="6" s="1"/>
  <c r="E257" i="6"/>
  <c r="C257" i="6" s="1"/>
  <c r="E258" i="6"/>
  <c r="C258" i="6" s="1"/>
  <c r="E259" i="6"/>
  <c r="C259" i="6" s="1"/>
  <c r="E260" i="6"/>
  <c r="C260" i="6" s="1"/>
  <c r="E261" i="6"/>
  <c r="C261" i="6" s="1"/>
  <c r="E262" i="6"/>
  <c r="C262" i="6" s="1"/>
  <c r="E263" i="6"/>
  <c r="C263" i="6" s="1"/>
  <c r="E264" i="6"/>
  <c r="C264" i="6" s="1"/>
  <c r="E265" i="6"/>
  <c r="C265" i="6" s="1"/>
  <c r="E266" i="6"/>
  <c r="C266" i="6" s="1"/>
  <c r="E267" i="6"/>
  <c r="C267" i="6" s="1"/>
  <c r="E268" i="6"/>
  <c r="C268" i="6" s="1"/>
  <c r="E269" i="6"/>
  <c r="C269" i="6" s="1"/>
  <c r="E270" i="6"/>
  <c r="C270" i="6" s="1"/>
  <c r="E271" i="6"/>
  <c r="C271" i="6" s="1"/>
  <c r="E272" i="6"/>
  <c r="C272" i="6" s="1"/>
  <c r="E273" i="6"/>
  <c r="C273" i="6" s="1"/>
  <c r="E274" i="6"/>
  <c r="C274" i="6" s="1"/>
  <c r="E275" i="6"/>
  <c r="C275" i="6" s="1"/>
  <c r="E276" i="6"/>
  <c r="C276" i="6" s="1"/>
  <c r="E277" i="6"/>
  <c r="C277" i="6" s="1"/>
  <c r="E278" i="6"/>
  <c r="C278" i="6" s="1"/>
  <c r="E279" i="6"/>
  <c r="C279" i="6" s="1"/>
  <c r="E280" i="6"/>
  <c r="C280" i="6" s="1"/>
  <c r="E281" i="6"/>
  <c r="C281" i="6" s="1"/>
  <c r="E282" i="6"/>
  <c r="C282" i="6" s="1"/>
  <c r="E283" i="6"/>
  <c r="C283" i="6" s="1"/>
  <c r="E284" i="6"/>
  <c r="C284" i="6" s="1"/>
  <c r="E285" i="6"/>
  <c r="C285" i="6" s="1"/>
  <c r="E286" i="6"/>
  <c r="C286" i="6" s="1"/>
  <c r="E287" i="6"/>
  <c r="C287" i="6" s="1"/>
  <c r="E288" i="6"/>
  <c r="C288" i="6" s="1"/>
  <c r="E289" i="6"/>
  <c r="C289" i="6" s="1"/>
  <c r="E290" i="6"/>
  <c r="C290" i="6" s="1"/>
  <c r="E291" i="6"/>
  <c r="C291" i="6" s="1"/>
  <c r="E292" i="6"/>
  <c r="C292" i="6" s="1"/>
  <c r="E293" i="6"/>
  <c r="C293" i="6" s="1"/>
  <c r="E294" i="6"/>
  <c r="C294" i="6" s="1"/>
  <c r="E295" i="6"/>
  <c r="C295" i="6" s="1"/>
  <c r="E296" i="6"/>
  <c r="C296" i="6" s="1"/>
  <c r="E297" i="6"/>
  <c r="C297" i="6" s="1"/>
  <c r="E298" i="6"/>
  <c r="C298" i="6" s="1"/>
  <c r="E299" i="6"/>
  <c r="C299" i="6" s="1"/>
  <c r="E300" i="6"/>
  <c r="C300" i="6" s="1"/>
  <c r="E301" i="6"/>
  <c r="C301" i="6" s="1"/>
  <c r="E302" i="6"/>
  <c r="C302" i="6" s="1"/>
  <c r="E303" i="6"/>
  <c r="C303" i="6" s="1"/>
  <c r="E304" i="6"/>
  <c r="C304" i="6" s="1"/>
  <c r="E305" i="6"/>
  <c r="C305" i="6" s="1"/>
  <c r="E306" i="6"/>
  <c r="C306" i="6" s="1"/>
  <c r="E307" i="6"/>
  <c r="C307" i="6" s="1"/>
  <c r="E308" i="6"/>
  <c r="C308" i="6" s="1"/>
  <c r="E309" i="6"/>
  <c r="C309" i="6" s="1"/>
  <c r="E310" i="6"/>
  <c r="C310" i="6" s="1"/>
  <c r="E311" i="6"/>
  <c r="C311" i="6" s="1"/>
  <c r="E312" i="6"/>
  <c r="C312" i="6" s="1"/>
  <c r="E313" i="6"/>
  <c r="C313" i="6" s="1"/>
  <c r="E314" i="6"/>
  <c r="C314" i="6" s="1"/>
  <c r="E315" i="6"/>
  <c r="C315" i="6" s="1"/>
  <c r="E316" i="6"/>
  <c r="C316" i="6" s="1"/>
  <c r="E317" i="6"/>
  <c r="C317" i="6" s="1"/>
  <c r="E318" i="6"/>
  <c r="C318" i="6" s="1"/>
  <c r="E319" i="6"/>
  <c r="C319" i="6" s="1"/>
  <c r="E320" i="6"/>
  <c r="C320" i="6" s="1"/>
  <c r="E321" i="6"/>
  <c r="C321" i="6" s="1"/>
  <c r="E322" i="6"/>
  <c r="C322" i="6" s="1"/>
  <c r="E323" i="6"/>
  <c r="C323" i="6" s="1"/>
  <c r="E324" i="6"/>
  <c r="C324" i="6" s="1"/>
  <c r="E325" i="6"/>
  <c r="C325" i="6" s="1"/>
  <c r="E326" i="6"/>
  <c r="C326" i="6" s="1"/>
  <c r="E327" i="6"/>
  <c r="C327" i="6" s="1"/>
  <c r="E328" i="6"/>
  <c r="C328" i="6" s="1"/>
  <c r="E329" i="6"/>
  <c r="C329" i="6" s="1"/>
  <c r="E330" i="6"/>
  <c r="C330" i="6" s="1"/>
  <c r="E331" i="6"/>
  <c r="C331" i="6" s="1"/>
  <c r="E332" i="6"/>
  <c r="C332" i="6" s="1"/>
  <c r="E333" i="6"/>
  <c r="C333" i="6" s="1"/>
  <c r="E334" i="6"/>
  <c r="C334" i="6" s="1"/>
  <c r="E335" i="6"/>
  <c r="C335" i="6" s="1"/>
  <c r="E336" i="6"/>
  <c r="C336" i="6" s="1"/>
  <c r="E337" i="6"/>
  <c r="C337" i="6" s="1"/>
  <c r="E338" i="6"/>
  <c r="C338" i="6" s="1"/>
  <c r="E339" i="6"/>
  <c r="C339" i="6" s="1"/>
  <c r="E340" i="6"/>
  <c r="C340" i="6" s="1"/>
  <c r="E341" i="6"/>
  <c r="C341" i="6" s="1"/>
  <c r="E342" i="6"/>
  <c r="C342" i="6" s="1"/>
  <c r="E343" i="6"/>
  <c r="C343" i="6" s="1"/>
  <c r="E344" i="6"/>
  <c r="C344" i="6" s="1"/>
  <c r="E345" i="6"/>
  <c r="C345" i="6" s="1"/>
  <c r="E346" i="6"/>
  <c r="C346" i="6" s="1"/>
  <c r="E347" i="6"/>
  <c r="C347" i="6" s="1"/>
  <c r="E348" i="6"/>
  <c r="C348" i="6" s="1"/>
  <c r="E349" i="6"/>
  <c r="C349" i="6" s="1"/>
  <c r="E350" i="6"/>
  <c r="C350" i="6" s="1"/>
  <c r="E351" i="6"/>
  <c r="C351" i="6" s="1"/>
  <c r="E352" i="6"/>
  <c r="C352" i="6" s="1"/>
  <c r="E353" i="6"/>
  <c r="C353" i="6" s="1"/>
  <c r="E354" i="6"/>
  <c r="C354" i="6" s="1"/>
  <c r="E355" i="6"/>
  <c r="C355" i="6" s="1"/>
  <c r="E356" i="6"/>
  <c r="C356" i="6" s="1"/>
  <c r="E357" i="6"/>
  <c r="C357" i="6" s="1"/>
  <c r="E358" i="6"/>
  <c r="C358" i="6" s="1"/>
  <c r="E359" i="6"/>
  <c r="C359" i="6" s="1"/>
  <c r="E360" i="6"/>
  <c r="C360" i="6" s="1"/>
  <c r="E361" i="6"/>
  <c r="C361" i="6" s="1"/>
  <c r="E362" i="6"/>
  <c r="C362" i="6" s="1"/>
  <c r="E363" i="6"/>
  <c r="C363" i="6" s="1"/>
  <c r="E364" i="6"/>
  <c r="C364" i="6" s="1"/>
  <c r="E365" i="6"/>
  <c r="C365" i="6" s="1"/>
  <c r="E366" i="6"/>
  <c r="C366" i="6" s="1"/>
  <c r="E367" i="6"/>
  <c r="C367" i="6" s="1"/>
  <c r="E368" i="6"/>
  <c r="C368" i="6" s="1"/>
  <c r="E369" i="6"/>
  <c r="C369" i="6" s="1"/>
  <c r="E370" i="6"/>
  <c r="C370" i="6" s="1"/>
  <c r="E371" i="6"/>
  <c r="C371" i="6" s="1"/>
  <c r="E372" i="6"/>
  <c r="C372" i="6" s="1"/>
  <c r="E373" i="6"/>
  <c r="C373" i="6" s="1"/>
  <c r="E374" i="6"/>
  <c r="C374" i="6" s="1"/>
  <c r="E375" i="6"/>
  <c r="C375" i="6" s="1"/>
  <c r="E376" i="6"/>
  <c r="C376" i="6" s="1"/>
  <c r="E377" i="6"/>
  <c r="C377" i="6" s="1"/>
  <c r="E378" i="6"/>
  <c r="C378" i="6" s="1"/>
  <c r="E379" i="6"/>
  <c r="C379" i="6" s="1"/>
  <c r="E380" i="6"/>
  <c r="C380" i="6" s="1"/>
  <c r="E381" i="6"/>
  <c r="C381" i="6" s="1"/>
  <c r="E382" i="6"/>
  <c r="C382" i="6" s="1"/>
  <c r="E383" i="6"/>
  <c r="C383" i="6" s="1"/>
  <c r="E384" i="6"/>
  <c r="C384" i="6" s="1"/>
  <c r="E385" i="6"/>
  <c r="C385" i="6" s="1"/>
  <c r="E386" i="6"/>
  <c r="C386" i="6" s="1"/>
  <c r="E387" i="6"/>
  <c r="C387" i="6" s="1"/>
  <c r="E388" i="6"/>
  <c r="C388" i="6" s="1"/>
  <c r="E389" i="6"/>
  <c r="C389" i="6" s="1"/>
  <c r="E390" i="6"/>
  <c r="C390" i="6" s="1"/>
  <c r="E391" i="6"/>
  <c r="C391" i="6" s="1"/>
  <c r="E392" i="6"/>
  <c r="C392" i="6" s="1"/>
  <c r="E393" i="6"/>
  <c r="C393" i="6" s="1"/>
  <c r="E394" i="6"/>
  <c r="C394" i="6" s="1"/>
  <c r="E395" i="6"/>
  <c r="C395" i="6" s="1"/>
  <c r="E396" i="6"/>
  <c r="E397" i="6"/>
  <c r="C397" i="6" s="1"/>
  <c r="E398" i="6"/>
  <c r="C398" i="6" s="1"/>
  <c r="E399" i="6"/>
  <c r="C399" i="6" s="1"/>
  <c r="E400" i="6"/>
  <c r="C400" i="6" s="1"/>
  <c r="E401" i="6"/>
  <c r="C401" i="6" s="1"/>
  <c r="E402" i="6"/>
  <c r="C402" i="6" s="1"/>
  <c r="E403" i="6"/>
  <c r="C403" i="6" s="1"/>
  <c r="E404" i="6"/>
  <c r="C404" i="6" s="1"/>
  <c r="E405" i="6"/>
  <c r="C405" i="6" s="1"/>
  <c r="E406" i="6"/>
  <c r="C406" i="6" s="1"/>
  <c r="E407" i="6"/>
  <c r="C407" i="6" s="1"/>
  <c r="E408" i="6"/>
  <c r="C408" i="6" s="1"/>
  <c r="E409" i="6"/>
  <c r="C409" i="6" s="1"/>
  <c r="E410" i="6"/>
  <c r="C410" i="6" s="1"/>
  <c r="E411" i="6"/>
  <c r="C411" i="6" s="1"/>
  <c r="E412" i="6"/>
  <c r="C412" i="6" s="1"/>
  <c r="E413" i="6"/>
  <c r="C413" i="6" s="1"/>
  <c r="E414" i="6"/>
  <c r="C414" i="6" s="1"/>
  <c r="E415" i="6"/>
  <c r="C415" i="6" s="1"/>
  <c r="E416" i="6"/>
  <c r="C416" i="6" s="1"/>
  <c r="E417" i="6"/>
  <c r="C417" i="6" s="1"/>
  <c r="E418" i="6"/>
  <c r="C418" i="6" s="1"/>
  <c r="E419" i="6"/>
  <c r="C419" i="6" s="1"/>
  <c r="E420" i="6"/>
  <c r="C420" i="6" s="1"/>
  <c r="E421" i="6"/>
  <c r="C421" i="6" s="1"/>
  <c r="E422" i="6"/>
  <c r="C422" i="6" s="1"/>
  <c r="E423" i="6"/>
  <c r="C423" i="6" s="1"/>
  <c r="E424" i="6"/>
  <c r="C424" i="6" s="1"/>
  <c r="E425" i="6"/>
  <c r="C425" i="6" s="1"/>
  <c r="E426" i="6"/>
  <c r="C426" i="6" s="1"/>
  <c r="E427" i="6"/>
  <c r="C427" i="6" s="1"/>
  <c r="E428" i="6"/>
  <c r="C428" i="6" s="1"/>
  <c r="E429" i="6"/>
  <c r="C429" i="6" s="1"/>
  <c r="E430" i="6"/>
  <c r="C430" i="6" s="1"/>
  <c r="E431" i="6"/>
  <c r="C431" i="6" s="1"/>
  <c r="E432" i="6"/>
  <c r="C432" i="6" s="1"/>
  <c r="E433" i="6"/>
  <c r="C433" i="6" s="1"/>
  <c r="E434" i="6"/>
  <c r="C434" i="6" s="1"/>
  <c r="E435" i="6"/>
  <c r="C435" i="6" s="1"/>
  <c r="E436" i="6"/>
  <c r="C436" i="6" s="1"/>
  <c r="E437" i="6"/>
  <c r="C437" i="6" s="1"/>
  <c r="E438" i="6"/>
  <c r="C438" i="6" s="1"/>
  <c r="E439" i="6"/>
  <c r="C439" i="6" s="1"/>
  <c r="E440" i="6"/>
  <c r="C440" i="6" s="1"/>
  <c r="E441" i="6"/>
  <c r="C441" i="6" s="1"/>
  <c r="E442" i="6"/>
  <c r="C442" i="6" s="1"/>
  <c r="E443" i="6"/>
  <c r="C443" i="6" s="1"/>
  <c r="E444" i="6"/>
  <c r="C444" i="6" s="1"/>
  <c r="E445" i="6"/>
  <c r="C445" i="6" s="1"/>
  <c r="E446" i="6"/>
  <c r="C446" i="6" s="1"/>
  <c r="E447" i="6"/>
  <c r="C447" i="6" s="1"/>
  <c r="E448" i="6"/>
  <c r="C448" i="6" s="1"/>
  <c r="E449" i="6"/>
  <c r="C449" i="6" s="1"/>
  <c r="E450" i="6"/>
  <c r="C450" i="6" s="1"/>
  <c r="E451" i="6"/>
  <c r="C451" i="6" s="1"/>
  <c r="E452" i="6"/>
  <c r="C452" i="6" s="1"/>
  <c r="E453" i="6"/>
  <c r="C453" i="6" s="1"/>
  <c r="E454" i="6"/>
  <c r="C454" i="6" s="1"/>
  <c r="E455" i="6"/>
  <c r="C455" i="6" s="1"/>
  <c r="E456" i="6"/>
  <c r="C456" i="6" s="1"/>
  <c r="E457" i="6"/>
  <c r="C457" i="6" s="1"/>
  <c r="E458" i="6"/>
  <c r="C458" i="6" s="1"/>
  <c r="E459" i="6"/>
  <c r="C459" i="6" s="1"/>
  <c r="E460" i="6"/>
  <c r="C460" i="6" s="1"/>
  <c r="E461" i="6"/>
  <c r="C461" i="6" s="1"/>
  <c r="E462" i="6"/>
  <c r="C462" i="6" s="1"/>
  <c r="E463" i="6"/>
  <c r="C463" i="6" s="1"/>
  <c r="E464" i="6"/>
  <c r="C464" i="6" s="1"/>
  <c r="E465" i="6"/>
  <c r="C465" i="6" s="1"/>
  <c r="E466" i="6"/>
  <c r="C466" i="6" s="1"/>
  <c r="E467" i="6"/>
  <c r="C467" i="6" s="1"/>
  <c r="E468" i="6"/>
  <c r="C468" i="6" s="1"/>
  <c r="E469" i="6"/>
  <c r="C469" i="6" s="1"/>
  <c r="E470" i="6"/>
  <c r="C470" i="6" s="1"/>
  <c r="E471" i="6"/>
  <c r="C471" i="6" s="1"/>
  <c r="E472" i="6"/>
  <c r="C472" i="6" s="1"/>
  <c r="E473" i="6"/>
  <c r="C473" i="6" s="1"/>
  <c r="E474" i="6"/>
  <c r="C474" i="6" s="1"/>
  <c r="E475" i="6"/>
  <c r="C475" i="6" s="1"/>
  <c r="E476" i="6"/>
  <c r="C476" i="6" s="1"/>
  <c r="E477" i="6"/>
  <c r="C477" i="6" s="1"/>
  <c r="E478" i="6"/>
  <c r="C478" i="6" s="1"/>
  <c r="E479" i="6"/>
  <c r="C479" i="6" s="1"/>
  <c r="E480" i="6"/>
  <c r="C480" i="6" s="1"/>
  <c r="E481" i="6"/>
  <c r="C481" i="6" s="1"/>
  <c r="E482" i="6"/>
  <c r="C482" i="6" s="1"/>
  <c r="E483" i="6"/>
  <c r="C483" i="6" s="1"/>
  <c r="E484" i="6"/>
  <c r="C484" i="6" s="1"/>
  <c r="E485" i="6"/>
  <c r="C485" i="6" s="1"/>
  <c r="E486" i="6"/>
  <c r="C486" i="6" s="1"/>
  <c r="E487" i="6"/>
  <c r="C487" i="6" s="1"/>
  <c r="E488" i="6"/>
  <c r="C488" i="6" s="1"/>
  <c r="E489" i="6"/>
  <c r="C489" i="6" s="1"/>
  <c r="E490" i="6"/>
  <c r="C490" i="6" s="1"/>
  <c r="E491" i="6"/>
  <c r="C491" i="6" s="1"/>
  <c r="E492" i="6"/>
  <c r="C492" i="6" s="1"/>
  <c r="E493" i="6"/>
  <c r="C493" i="6" s="1"/>
  <c r="E494" i="6"/>
  <c r="C494" i="6" s="1"/>
  <c r="E495" i="6"/>
  <c r="C495" i="6" s="1"/>
  <c r="E496" i="6"/>
  <c r="C496" i="6" s="1"/>
  <c r="E497" i="6"/>
  <c r="C497" i="6" s="1"/>
  <c r="E498" i="6"/>
  <c r="C498" i="6" s="1"/>
  <c r="E499" i="6"/>
  <c r="C499" i="6" s="1"/>
  <c r="E500" i="6"/>
  <c r="C500" i="6" s="1"/>
  <c r="E501" i="6"/>
  <c r="C501" i="6" s="1"/>
  <c r="E502" i="6"/>
  <c r="C502" i="6" s="1"/>
  <c r="E503" i="6"/>
  <c r="C503" i="6" s="1"/>
  <c r="E504" i="6"/>
  <c r="C504" i="6" s="1"/>
  <c r="E505" i="6"/>
  <c r="C505" i="6" s="1"/>
  <c r="E506" i="6"/>
  <c r="C506" i="6" s="1"/>
  <c r="E507" i="6"/>
  <c r="C507" i="6" s="1"/>
  <c r="E508" i="6"/>
  <c r="C508" i="6" s="1"/>
  <c r="E509" i="6"/>
  <c r="C509" i="6" s="1"/>
  <c r="E510" i="6"/>
  <c r="C510" i="6" s="1"/>
  <c r="E511" i="6"/>
  <c r="C511" i="6" s="1"/>
  <c r="E512" i="6"/>
  <c r="C512" i="6" s="1"/>
  <c r="E513" i="6"/>
  <c r="C513" i="6" s="1"/>
  <c r="E514" i="6"/>
  <c r="C514" i="6" s="1"/>
  <c r="E515" i="6"/>
  <c r="C515" i="6" s="1"/>
  <c r="E516" i="6"/>
  <c r="C516" i="6" s="1"/>
  <c r="E517" i="6"/>
  <c r="C517" i="6" s="1"/>
  <c r="E518" i="6"/>
  <c r="C518" i="6" s="1"/>
  <c r="E519" i="6"/>
  <c r="C519" i="6" s="1"/>
  <c r="E520" i="6"/>
  <c r="C520" i="6" s="1"/>
  <c r="E521" i="6"/>
  <c r="C521" i="6" s="1"/>
  <c r="E522" i="6"/>
  <c r="C522" i="6" s="1"/>
  <c r="E523" i="6"/>
  <c r="C523" i="6" s="1"/>
  <c r="E524" i="6"/>
  <c r="C524" i="6" s="1"/>
  <c r="E525" i="6"/>
  <c r="C525" i="6" s="1"/>
  <c r="E526" i="6"/>
  <c r="C526" i="6" s="1"/>
  <c r="E527" i="6"/>
  <c r="C527" i="6" s="1"/>
  <c r="E528" i="6"/>
  <c r="C528" i="6" s="1"/>
  <c r="E529" i="6"/>
  <c r="C529" i="6" s="1"/>
  <c r="E530" i="6"/>
  <c r="C530" i="6" s="1"/>
  <c r="E531" i="6"/>
  <c r="C531" i="6" s="1"/>
  <c r="E532" i="6"/>
  <c r="C532" i="6" s="1"/>
  <c r="E533" i="6"/>
  <c r="C533" i="6" s="1"/>
  <c r="E534" i="6"/>
  <c r="C534" i="6" s="1"/>
  <c r="E535" i="6"/>
  <c r="C535" i="6" s="1"/>
  <c r="E536" i="6"/>
  <c r="C536" i="6" s="1"/>
  <c r="E537" i="6"/>
  <c r="C537" i="6" s="1"/>
  <c r="E538" i="6"/>
  <c r="C538" i="6" s="1"/>
  <c r="E539" i="6"/>
  <c r="C539" i="6" s="1"/>
  <c r="E540" i="6"/>
  <c r="C540" i="6" s="1"/>
  <c r="E541" i="6"/>
  <c r="C541" i="6" s="1"/>
  <c r="E542" i="6"/>
  <c r="C542" i="6" s="1"/>
  <c r="E543" i="6"/>
  <c r="C543" i="6" s="1"/>
  <c r="E544" i="6"/>
  <c r="C544" i="6" s="1"/>
  <c r="E545" i="6"/>
  <c r="C545" i="6" s="1"/>
  <c r="E546" i="6"/>
  <c r="C546" i="6" s="1"/>
  <c r="E547" i="6"/>
  <c r="C547" i="6" s="1"/>
  <c r="E548" i="6"/>
  <c r="C548" i="6" s="1"/>
  <c r="E549" i="6"/>
  <c r="C549" i="6" s="1"/>
  <c r="E550" i="6"/>
  <c r="C550" i="6" s="1"/>
  <c r="E551" i="6"/>
  <c r="C551" i="6" s="1"/>
  <c r="E552" i="6"/>
  <c r="C552" i="6" s="1"/>
  <c r="E553" i="6"/>
  <c r="C553" i="6" s="1"/>
  <c r="E554" i="6"/>
  <c r="C554" i="6" s="1"/>
  <c r="E555" i="6"/>
  <c r="C555" i="6" s="1"/>
  <c r="E556" i="6"/>
  <c r="C556" i="6" s="1"/>
  <c r="E557" i="6"/>
  <c r="C557" i="6" s="1"/>
  <c r="E558" i="6"/>
  <c r="C558" i="6" s="1"/>
  <c r="E559" i="6"/>
  <c r="C559" i="6" s="1"/>
  <c r="E560" i="6"/>
  <c r="C560" i="6" s="1"/>
  <c r="E561" i="6"/>
  <c r="C561" i="6" s="1"/>
  <c r="E562" i="6"/>
  <c r="C562" i="6" s="1"/>
  <c r="E563" i="6"/>
  <c r="C563" i="6" s="1"/>
  <c r="E564" i="6"/>
  <c r="C564" i="6" s="1"/>
  <c r="E565" i="6"/>
  <c r="C565" i="6" s="1"/>
  <c r="E566" i="6"/>
  <c r="C566" i="6" s="1"/>
  <c r="E567" i="6"/>
  <c r="C567" i="6" s="1"/>
  <c r="E568" i="6"/>
  <c r="C568" i="6" s="1"/>
  <c r="E569" i="6"/>
  <c r="C569" i="6" s="1"/>
  <c r="E570" i="6"/>
  <c r="C570" i="6" s="1"/>
  <c r="E571" i="6"/>
  <c r="C571" i="6" s="1"/>
  <c r="E572" i="6"/>
  <c r="C572" i="6" s="1"/>
  <c r="E573" i="6"/>
  <c r="C573" i="6" s="1"/>
  <c r="E574" i="6"/>
  <c r="C574" i="6" s="1"/>
  <c r="E575" i="6"/>
  <c r="C575" i="6" s="1"/>
  <c r="E576" i="6"/>
  <c r="C576" i="6" s="1"/>
  <c r="E577" i="6"/>
  <c r="C577" i="6" s="1"/>
  <c r="E578" i="6"/>
  <c r="C578" i="6" s="1"/>
  <c r="E579" i="6"/>
  <c r="C579" i="6" s="1"/>
  <c r="E580" i="6"/>
  <c r="C580" i="6" s="1"/>
  <c r="E581" i="6"/>
  <c r="C581" i="6" s="1"/>
  <c r="E582" i="6"/>
  <c r="C582" i="6" s="1"/>
  <c r="E583" i="6"/>
  <c r="C583" i="6" s="1"/>
  <c r="E584" i="6"/>
  <c r="C584" i="6" s="1"/>
  <c r="E585" i="6"/>
  <c r="C585" i="6" s="1"/>
  <c r="E586" i="6"/>
  <c r="C586" i="6" s="1"/>
  <c r="E587" i="6"/>
  <c r="C587" i="6" s="1"/>
  <c r="E588" i="6"/>
  <c r="C588" i="6" s="1"/>
  <c r="E589" i="6"/>
  <c r="C589" i="6" s="1"/>
  <c r="E590" i="6"/>
  <c r="C590" i="6" s="1"/>
  <c r="E591" i="6"/>
  <c r="C591" i="6" s="1"/>
  <c r="E592" i="6"/>
  <c r="C592" i="6" s="1"/>
  <c r="E593" i="6"/>
  <c r="C593" i="6" s="1"/>
  <c r="E594" i="6"/>
  <c r="C594" i="6" s="1"/>
  <c r="E595" i="6"/>
  <c r="C595" i="6" s="1"/>
  <c r="E596" i="6"/>
  <c r="C596" i="6" s="1"/>
  <c r="E597" i="6"/>
  <c r="C597" i="6" s="1"/>
  <c r="E598" i="6"/>
  <c r="C598" i="6" s="1"/>
  <c r="E599" i="6"/>
  <c r="C599" i="6" s="1"/>
  <c r="E600" i="6"/>
  <c r="C600" i="6" s="1"/>
  <c r="E601" i="6"/>
  <c r="C601" i="6" s="1"/>
  <c r="E602" i="6"/>
  <c r="C602" i="6" s="1"/>
  <c r="E603" i="6"/>
  <c r="C603" i="6" s="1"/>
  <c r="E604" i="6"/>
  <c r="C604" i="6" s="1"/>
  <c r="E605" i="6"/>
  <c r="C605" i="6" s="1"/>
  <c r="E606" i="6"/>
  <c r="C606" i="6" s="1"/>
  <c r="E607" i="6"/>
  <c r="C607" i="6" s="1"/>
  <c r="E608" i="6"/>
  <c r="C608" i="6" s="1"/>
  <c r="E609" i="6"/>
  <c r="C609" i="6" s="1"/>
  <c r="E610" i="6"/>
  <c r="C610" i="6" s="1"/>
  <c r="E611" i="6"/>
  <c r="C611" i="6" s="1"/>
  <c r="E612" i="6"/>
  <c r="C612" i="6" s="1"/>
  <c r="E613" i="6"/>
  <c r="C613" i="6" s="1"/>
  <c r="E614" i="6"/>
  <c r="C614" i="6" s="1"/>
  <c r="E615" i="6"/>
  <c r="C615" i="6" s="1"/>
  <c r="E616" i="6"/>
  <c r="C616" i="6" s="1"/>
  <c r="E617" i="6"/>
  <c r="C617" i="6" s="1"/>
  <c r="E618" i="6"/>
  <c r="C618" i="6" s="1"/>
  <c r="E619" i="6"/>
  <c r="C619" i="6" s="1"/>
  <c r="E620" i="6"/>
  <c r="C620" i="6" s="1"/>
  <c r="E621" i="6"/>
  <c r="C621" i="6" s="1"/>
  <c r="E622" i="6"/>
  <c r="C622" i="6" s="1"/>
  <c r="E623" i="6"/>
  <c r="C623" i="6" s="1"/>
  <c r="E624" i="6"/>
  <c r="C624" i="6" s="1"/>
  <c r="E625" i="6"/>
  <c r="C625" i="6" s="1"/>
  <c r="E626" i="6"/>
  <c r="C626" i="6" s="1"/>
  <c r="E627" i="6"/>
  <c r="C627" i="6" s="1"/>
  <c r="E628" i="6"/>
  <c r="C628" i="6" s="1"/>
  <c r="E629" i="6"/>
  <c r="C629" i="6" s="1"/>
  <c r="E630" i="6"/>
  <c r="C630" i="6" s="1"/>
  <c r="E631" i="6"/>
  <c r="C631" i="6" s="1"/>
  <c r="E632" i="6"/>
  <c r="C632" i="6" s="1"/>
  <c r="E633" i="6"/>
  <c r="C633" i="6" s="1"/>
  <c r="E634" i="6"/>
  <c r="C634" i="6" s="1"/>
  <c r="E635" i="6"/>
  <c r="C635" i="6" s="1"/>
  <c r="E636" i="6"/>
  <c r="C636" i="6" s="1"/>
  <c r="E637" i="6"/>
  <c r="C637" i="6" s="1"/>
  <c r="E638" i="6"/>
  <c r="C638" i="6" s="1"/>
  <c r="E639" i="6"/>
  <c r="C639" i="6" s="1"/>
  <c r="E640" i="6"/>
  <c r="C640" i="6" s="1"/>
  <c r="E641" i="6"/>
  <c r="C641" i="6" s="1"/>
  <c r="E642" i="6"/>
  <c r="C642" i="6" s="1"/>
  <c r="E643" i="6"/>
  <c r="C643" i="6" s="1"/>
  <c r="E644" i="6"/>
  <c r="C644" i="6" s="1"/>
  <c r="E645" i="6"/>
  <c r="C645" i="6" s="1"/>
  <c r="E646" i="6"/>
  <c r="C646" i="6" s="1"/>
  <c r="E647" i="6"/>
  <c r="C647" i="6" s="1"/>
  <c r="E648" i="6"/>
  <c r="C648" i="6" s="1"/>
  <c r="E649" i="6"/>
  <c r="C649" i="6" s="1"/>
  <c r="E650" i="6"/>
  <c r="C650" i="6" s="1"/>
  <c r="E651" i="6"/>
  <c r="C651" i="6" s="1"/>
  <c r="E652" i="6"/>
  <c r="C652" i="6" s="1"/>
  <c r="E653" i="6"/>
  <c r="C653" i="6" s="1"/>
  <c r="E654" i="6"/>
  <c r="C654" i="6" s="1"/>
  <c r="E655" i="6"/>
  <c r="C655" i="6" s="1"/>
  <c r="E656" i="6"/>
  <c r="C656" i="6" s="1"/>
  <c r="E657" i="6"/>
  <c r="C657" i="6" s="1"/>
  <c r="E658" i="6"/>
  <c r="C658" i="6" s="1"/>
  <c r="E659" i="6"/>
  <c r="C659" i="6" s="1"/>
  <c r="E660" i="6"/>
  <c r="C660" i="6" s="1"/>
  <c r="E661" i="6"/>
  <c r="C661" i="6" s="1"/>
  <c r="E662" i="6"/>
  <c r="C662" i="6" s="1"/>
  <c r="E663" i="6"/>
  <c r="C663" i="6" s="1"/>
  <c r="E664" i="6"/>
  <c r="C664" i="6" s="1"/>
  <c r="E665" i="6"/>
  <c r="C665" i="6" s="1"/>
  <c r="E666" i="6"/>
  <c r="C666" i="6" s="1"/>
  <c r="E667" i="6"/>
  <c r="C667" i="6" s="1"/>
  <c r="E668" i="6"/>
  <c r="C668" i="6" s="1"/>
  <c r="E669" i="6"/>
  <c r="C669" i="6" s="1"/>
  <c r="E670" i="6"/>
  <c r="C670" i="6" s="1"/>
  <c r="E671" i="6"/>
  <c r="C671" i="6" s="1"/>
  <c r="E672" i="6"/>
  <c r="C672" i="6" s="1"/>
  <c r="E673" i="6"/>
  <c r="C673" i="6" s="1"/>
  <c r="E674" i="6"/>
  <c r="C674" i="6" s="1"/>
  <c r="E675" i="6"/>
  <c r="C675" i="6" s="1"/>
  <c r="E676" i="6"/>
  <c r="C676" i="6" s="1"/>
  <c r="E677" i="6"/>
  <c r="C677" i="6" s="1"/>
  <c r="E678" i="6"/>
  <c r="C678" i="6" s="1"/>
  <c r="E679" i="6"/>
  <c r="C679" i="6" s="1"/>
  <c r="E680" i="6"/>
  <c r="C680" i="6" s="1"/>
  <c r="E681" i="6"/>
  <c r="C681" i="6" s="1"/>
  <c r="E682" i="6"/>
  <c r="C682" i="6" s="1"/>
  <c r="E683" i="6"/>
  <c r="C683" i="6" s="1"/>
  <c r="E684" i="6"/>
  <c r="C684" i="6" s="1"/>
  <c r="E685" i="6"/>
  <c r="C685" i="6" s="1"/>
  <c r="E686" i="6"/>
  <c r="C686" i="6" s="1"/>
  <c r="E687" i="6"/>
  <c r="C687" i="6" s="1"/>
  <c r="E688" i="6"/>
  <c r="C688" i="6" s="1"/>
  <c r="E689" i="6"/>
  <c r="C689" i="6" s="1"/>
  <c r="E690" i="6"/>
  <c r="C690" i="6" s="1"/>
  <c r="E691" i="6"/>
  <c r="C691" i="6" s="1"/>
  <c r="E692" i="6"/>
  <c r="C692" i="6" s="1"/>
  <c r="E693" i="6"/>
  <c r="C693" i="6" s="1"/>
  <c r="E694" i="6"/>
  <c r="C694" i="6" s="1"/>
  <c r="E695" i="6"/>
  <c r="C695" i="6" s="1"/>
  <c r="E696" i="6"/>
  <c r="C696" i="6" s="1"/>
  <c r="E697" i="6"/>
  <c r="C697" i="6" s="1"/>
  <c r="E698" i="6"/>
  <c r="C698" i="6" s="1"/>
  <c r="E699" i="6"/>
  <c r="C699" i="6" s="1"/>
  <c r="E700" i="6"/>
  <c r="C700" i="6" s="1"/>
  <c r="E701" i="6"/>
  <c r="C701" i="6" s="1"/>
  <c r="E702" i="6"/>
  <c r="C702" i="6" s="1"/>
  <c r="E703" i="6"/>
  <c r="C703" i="6" s="1"/>
  <c r="E704" i="6"/>
  <c r="C704" i="6" s="1"/>
  <c r="E705" i="6"/>
  <c r="C705" i="6" s="1"/>
  <c r="E706" i="6"/>
  <c r="C706" i="6" s="1"/>
  <c r="E707" i="6"/>
  <c r="C707" i="6" s="1"/>
  <c r="E708" i="6"/>
  <c r="C708" i="6" s="1"/>
  <c r="E709" i="6"/>
  <c r="C709" i="6" s="1"/>
  <c r="E710" i="6"/>
  <c r="C710" i="6" s="1"/>
  <c r="E711" i="6"/>
  <c r="C711" i="6" s="1"/>
  <c r="E712" i="6"/>
  <c r="C712" i="6" s="1"/>
  <c r="E713" i="6"/>
  <c r="C713" i="6" s="1"/>
  <c r="E714" i="6"/>
  <c r="C714" i="6" s="1"/>
  <c r="E715" i="6"/>
  <c r="C715" i="6" s="1"/>
  <c r="E716" i="6"/>
  <c r="C716" i="6" s="1"/>
  <c r="E717" i="6"/>
  <c r="C717" i="6" s="1"/>
  <c r="E718" i="6"/>
  <c r="C718" i="6" s="1"/>
  <c r="E719" i="6"/>
  <c r="C719" i="6" s="1"/>
  <c r="E720" i="6"/>
  <c r="C720" i="6" s="1"/>
  <c r="E721" i="6"/>
  <c r="C721" i="6" s="1"/>
  <c r="E722" i="6"/>
  <c r="C722" i="6" s="1"/>
  <c r="E723" i="6"/>
  <c r="C723" i="6" s="1"/>
  <c r="E724" i="6"/>
  <c r="C724" i="6" s="1"/>
  <c r="E725" i="6"/>
  <c r="C725" i="6" s="1"/>
  <c r="E726" i="6"/>
  <c r="C726" i="6" s="1"/>
  <c r="E727" i="6"/>
  <c r="C727" i="6" s="1"/>
  <c r="E728" i="6"/>
  <c r="C728" i="6" s="1"/>
  <c r="E729" i="6"/>
  <c r="C729" i="6" s="1"/>
  <c r="E730" i="6"/>
  <c r="C730" i="6" s="1"/>
  <c r="E731" i="6"/>
  <c r="C731" i="6" s="1"/>
  <c r="E732" i="6"/>
  <c r="C732" i="6" s="1"/>
  <c r="E733" i="6"/>
  <c r="C733" i="6" s="1"/>
  <c r="E734" i="6"/>
  <c r="C734" i="6" s="1"/>
  <c r="E735" i="6"/>
  <c r="C735" i="6" s="1"/>
  <c r="E736" i="6"/>
  <c r="C736" i="6" s="1"/>
  <c r="E737" i="6"/>
  <c r="C737" i="6" s="1"/>
  <c r="E738" i="6"/>
  <c r="C738" i="6" s="1"/>
  <c r="E739" i="6"/>
  <c r="C739" i="6" s="1"/>
  <c r="E740" i="6"/>
  <c r="C740" i="6" s="1"/>
  <c r="E741" i="6"/>
  <c r="C741" i="6" s="1"/>
  <c r="E742" i="6"/>
  <c r="C742" i="6" s="1"/>
  <c r="E743" i="6"/>
  <c r="C743" i="6" s="1"/>
  <c r="E744" i="6"/>
  <c r="C744" i="6" s="1"/>
  <c r="E745" i="6"/>
  <c r="C745" i="6" s="1"/>
  <c r="E746" i="6"/>
  <c r="C746" i="6" s="1"/>
  <c r="E747" i="6"/>
  <c r="C747" i="6" s="1"/>
  <c r="E748" i="6"/>
  <c r="C748" i="6" s="1"/>
  <c r="E749" i="6"/>
  <c r="C749" i="6" s="1"/>
  <c r="E750" i="6"/>
  <c r="C750" i="6" s="1"/>
  <c r="E751" i="6"/>
  <c r="C751" i="6" s="1"/>
  <c r="E752" i="6"/>
  <c r="C752" i="6" s="1"/>
  <c r="E753" i="6"/>
  <c r="C753" i="6" s="1"/>
  <c r="E754" i="6"/>
  <c r="C754" i="6" s="1"/>
  <c r="E755" i="6"/>
  <c r="C755" i="6" s="1"/>
  <c r="E756" i="6"/>
  <c r="C756" i="6" s="1"/>
  <c r="E757" i="6"/>
  <c r="C757" i="6" s="1"/>
  <c r="E758" i="6"/>
  <c r="C758" i="6" s="1"/>
  <c r="E759" i="6"/>
  <c r="C759" i="6" s="1"/>
  <c r="E760" i="6"/>
  <c r="C760" i="6" s="1"/>
  <c r="E761" i="6"/>
  <c r="C761" i="6" s="1"/>
  <c r="E762" i="6"/>
  <c r="C762" i="6" s="1"/>
  <c r="E763" i="6"/>
  <c r="C763" i="6" s="1"/>
  <c r="E764" i="6"/>
  <c r="C764" i="6" s="1"/>
  <c r="E765" i="6"/>
  <c r="C765" i="6" s="1"/>
  <c r="E766" i="6"/>
  <c r="C766" i="6" s="1"/>
  <c r="E767" i="6"/>
  <c r="C767" i="6" s="1"/>
  <c r="E768" i="6"/>
  <c r="C768" i="6" s="1"/>
  <c r="E769" i="6"/>
  <c r="C769" i="6" s="1"/>
  <c r="E770" i="6"/>
  <c r="C770" i="6" s="1"/>
  <c r="E771" i="6"/>
  <c r="C771" i="6" s="1"/>
  <c r="E772" i="6"/>
  <c r="C772" i="6" s="1"/>
  <c r="E773" i="6"/>
  <c r="C773" i="6" s="1"/>
  <c r="E774" i="6"/>
  <c r="C774" i="6" s="1"/>
  <c r="E775" i="6"/>
  <c r="C775" i="6" s="1"/>
  <c r="E776" i="6"/>
  <c r="C776" i="6" s="1"/>
  <c r="E777" i="6"/>
  <c r="C777" i="6" s="1"/>
  <c r="E778" i="6"/>
  <c r="C778" i="6" s="1"/>
  <c r="E779" i="6"/>
  <c r="C779" i="6" s="1"/>
  <c r="E780" i="6"/>
  <c r="C780" i="6" s="1"/>
  <c r="E781" i="6"/>
  <c r="C781" i="6" s="1"/>
  <c r="E782" i="6"/>
  <c r="C782" i="6" s="1"/>
  <c r="E783" i="6"/>
  <c r="C783" i="6" s="1"/>
  <c r="E784" i="6"/>
  <c r="C784" i="6" s="1"/>
  <c r="E785" i="6"/>
  <c r="C785" i="6" s="1"/>
  <c r="E786" i="6"/>
  <c r="C786" i="6" s="1"/>
  <c r="E787" i="6"/>
  <c r="C787" i="6" s="1"/>
  <c r="E788" i="6"/>
  <c r="C788" i="6" s="1"/>
  <c r="E789" i="6"/>
  <c r="C789" i="6" s="1"/>
  <c r="E790" i="6"/>
  <c r="C790" i="6" s="1"/>
  <c r="E791" i="6"/>
  <c r="C791" i="6" s="1"/>
  <c r="E792" i="6"/>
  <c r="C792" i="6" s="1"/>
  <c r="E793" i="6"/>
  <c r="C793" i="6" s="1"/>
  <c r="E794" i="6"/>
  <c r="C794" i="6" s="1"/>
  <c r="E795" i="6"/>
  <c r="C795" i="6" s="1"/>
  <c r="E796" i="6"/>
  <c r="C796" i="6" s="1"/>
  <c r="E797" i="6"/>
  <c r="C797" i="6" s="1"/>
  <c r="E798" i="6"/>
  <c r="C798" i="6" s="1"/>
  <c r="E799" i="6"/>
  <c r="C799" i="6" s="1"/>
  <c r="E800" i="6"/>
  <c r="C800" i="6" s="1"/>
  <c r="E801" i="6"/>
  <c r="C801" i="6" s="1"/>
  <c r="E802" i="6"/>
  <c r="C802" i="6" s="1"/>
  <c r="E803" i="6"/>
  <c r="C803" i="6" s="1"/>
  <c r="E804" i="6"/>
  <c r="C804" i="6" s="1"/>
  <c r="E805" i="6"/>
  <c r="C805" i="6" s="1"/>
  <c r="E806" i="6"/>
  <c r="C806" i="6" s="1"/>
  <c r="E807" i="6"/>
  <c r="C807" i="6" s="1"/>
  <c r="E808" i="6"/>
  <c r="C808" i="6" s="1"/>
  <c r="E809" i="6"/>
  <c r="C809" i="6" s="1"/>
  <c r="E810" i="6"/>
  <c r="C810" i="6" s="1"/>
  <c r="E811" i="6"/>
  <c r="C811" i="6" s="1"/>
  <c r="E812" i="6"/>
  <c r="C812" i="6" s="1"/>
  <c r="E813" i="6"/>
  <c r="C813" i="6" s="1"/>
  <c r="E814" i="6"/>
  <c r="C814" i="6" s="1"/>
  <c r="E815" i="6"/>
  <c r="C815" i="6" s="1"/>
  <c r="E816" i="6"/>
  <c r="C816" i="6" s="1"/>
  <c r="E817" i="6"/>
  <c r="C817" i="6" s="1"/>
  <c r="E818" i="6"/>
  <c r="C818" i="6" s="1"/>
  <c r="E819" i="6"/>
  <c r="C819" i="6" s="1"/>
  <c r="E820" i="6"/>
  <c r="C820" i="6" s="1"/>
  <c r="E821" i="6"/>
  <c r="C821" i="6" s="1"/>
  <c r="E822" i="6"/>
  <c r="C822" i="6" s="1"/>
  <c r="E823" i="6"/>
  <c r="C823" i="6" s="1"/>
  <c r="E824" i="6"/>
  <c r="C824" i="6" s="1"/>
  <c r="E825" i="6"/>
  <c r="C825" i="6" s="1"/>
  <c r="E826" i="6"/>
  <c r="C826" i="6" s="1"/>
  <c r="E827" i="6"/>
  <c r="C827" i="6" s="1"/>
  <c r="E828" i="6"/>
  <c r="C828" i="6" s="1"/>
  <c r="E829" i="6"/>
  <c r="C829" i="6" s="1"/>
  <c r="E830" i="6"/>
  <c r="C830" i="6" s="1"/>
  <c r="E831" i="6"/>
  <c r="C831" i="6" s="1"/>
  <c r="E832" i="6"/>
  <c r="C832" i="6" s="1"/>
  <c r="E833" i="6"/>
  <c r="C833" i="6" s="1"/>
  <c r="E834" i="6"/>
  <c r="C834" i="6" s="1"/>
  <c r="E835" i="6"/>
  <c r="C835" i="6" s="1"/>
  <c r="E836" i="6"/>
  <c r="C836" i="6" s="1"/>
  <c r="E837" i="6"/>
  <c r="C837" i="6" s="1"/>
  <c r="E838" i="6"/>
  <c r="C838" i="6" s="1"/>
  <c r="E839" i="6"/>
  <c r="C839" i="6" s="1"/>
  <c r="E840" i="6"/>
  <c r="C840" i="6" s="1"/>
  <c r="E841" i="6"/>
  <c r="C841" i="6" s="1"/>
  <c r="E842" i="6"/>
  <c r="C842" i="6" s="1"/>
  <c r="E843" i="6"/>
  <c r="C843" i="6" s="1"/>
  <c r="E844" i="6"/>
  <c r="C844" i="6" s="1"/>
  <c r="E845" i="6"/>
  <c r="C845" i="6" s="1"/>
  <c r="E846" i="6"/>
  <c r="C846" i="6" s="1"/>
  <c r="E847" i="6"/>
  <c r="C847" i="6" s="1"/>
  <c r="E848" i="6"/>
  <c r="C848" i="6" s="1"/>
  <c r="E849" i="6"/>
  <c r="C849" i="6" s="1"/>
  <c r="E850" i="6"/>
  <c r="C850" i="6" s="1"/>
  <c r="E851" i="6"/>
  <c r="C851" i="6" s="1"/>
  <c r="E852" i="6"/>
  <c r="C852" i="6" s="1"/>
  <c r="E853" i="6"/>
  <c r="C853" i="6" s="1"/>
  <c r="E854" i="6"/>
  <c r="C854" i="6" s="1"/>
  <c r="E855" i="6"/>
  <c r="C855" i="6" s="1"/>
  <c r="E856" i="6"/>
  <c r="C856" i="6" s="1"/>
  <c r="E857" i="6"/>
  <c r="C857" i="6" s="1"/>
  <c r="E858" i="6"/>
  <c r="C858" i="6" s="1"/>
  <c r="E859" i="6"/>
  <c r="C859" i="6" s="1"/>
  <c r="E860" i="6"/>
  <c r="C860" i="6" s="1"/>
  <c r="E861" i="6"/>
  <c r="C861" i="6" s="1"/>
  <c r="E862" i="6"/>
  <c r="C862" i="6" s="1"/>
  <c r="E863" i="6"/>
  <c r="C863" i="6" s="1"/>
  <c r="E864" i="6"/>
  <c r="C864" i="6" s="1"/>
  <c r="E865" i="6"/>
  <c r="C865" i="6" s="1"/>
  <c r="E866" i="6"/>
  <c r="C866" i="6" s="1"/>
  <c r="E867" i="6"/>
  <c r="C867" i="6" s="1"/>
  <c r="E868" i="6"/>
  <c r="C868" i="6" s="1"/>
  <c r="E869" i="6"/>
  <c r="C869" i="6" s="1"/>
  <c r="E870" i="6"/>
  <c r="C870" i="6" s="1"/>
  <c r="E871" i="6"/>
  <c r="C871" i="6" s="1"/>
  <c r="E872" i="6"/>
  <c r="C872" i="6" s="1"/>
  <c r="E873" i="6"/>
  <c r="C873" i="6" s="1"/>
  <c r="E874" i="6"/>
  <c r="C874" i="6" s="1"/>
  <c r="E875" i="6"/>
  <c r="C875" i="6" s="1"/>
  <c r="E876" i="6"/>
  <c r="C876" i="6" s="1"/>
  <c r="E877" i="6"/>
  <c r="C877" i="6" s="1"/>
  <c r="E878" i="6"/>
  <c r="C878" i="6" s="1"/>
  <c r="E879" i="6"/>
  <c r="C879" i="6" s="1"/>
  <c r="E880" i="6"/>
  <c r="C880" i="6" s="1"/>
  <c r="E881" i="6"/>
  <c r="C881" i="6" s="1"/>
  <c r="E882" i="6"/>
  <c r="C882" i="6" s="1"/>
  <c r="E883" i="6"/>
  <c r="C883" i="6" s="1"/>
  <c r="E884" i="6"/>
  <c r="C884" i="6" s="1"/>
  <c r="E885" i="6"/>
  <c r="C885" i="6" s="1"/>
  <c r="E886" i="6"/>
  <c r="C886" i="6" s="1"/>
  <c r="E887" i="6"/>
  <c r="C887" i="6" s="1"/>
  <c r="E888" i="6"/>
  <c r="C888" i="6" s="1"/>
  <c r="E889" i="6"/>
  <c r="C889" i="6" s="1"/>
  <c r="E890" i="6"/>
  <c r="C890" i="6" s="1"/>
  <c r="E891" i="6"/>
  <c r="C891" i="6" s="1"/>
  <c r="E892" i="6"/>
  <c r="C892" i="6" s="1"/>
  <c r="E893" i="6"/>
  <c r="C893" i="6" s="1"/>
  <c r="E894" i="6"/>
  <c r="C894" i="6" s="1"/>
  <c r="E895" i="6"/>
  <c r="C895" i="6" s="1"/>
  <c r="E896" i="6"/>
  <c r="C896" i="6" s="1"/>
  <c r="E897" i="6"/>
  <c r="C897" i="6" s="1"/>
  <c r="E898" i="6"/>
  <c r="C898" i="6" s="1"/>
  <c r="E899" i="6"/>
  <c r="C899" i="6" s="1"/>
  <c r="E900" i="6"/>
  <c r="C900" i="6" s="1"/>
  <c r="E901" i="6"/>
  <c r="C901" i="6" s="1"/>
  <c r="E902" i="6"/>
  <c r="C902" i="6" s="1"/>
  <c r="E903" i="6"/>
  <c r="C903" i="6" s="1"/>
  <c r="E904" i="6"/>
  <c r="C904" i="6" s="1"/>
  <c r="E905" i="6"/>
  <c r="C905" i="6" s="1"/>
  <c r="E906" i="6"/>
  <c r="C906" i="6" s="1"/>
  <c r="E907" i="6"/>
  <c r="C907" i="6" s="1"/>
  <c r="E908" i="6"/>
  <c r="C908" i="6" s="1"/>
  <c r="E909" i="6"/>
  <c r="C909" i="6" s="1"/>
  <c r="E910" i="6"/>
  <c r="C910" i="6" s="1"/>
  <c r="E911" i="6"/>
  <c r="C911" i="6" s="1"/>
  <c r="E912" i="6"/>
  <c r="C912" i="6" s="1"/>
  <c r="E913" i="6"/>
  <c r="C913" i="6" s="1"/>
  <c r="E914" i="6"/>
  <c r="C914" i="6" s="1"/>
  <c r="E915" i="6"/>
  <c r="C915" i="6" s="1"/>
  <c r="E916" i="6"/>
  <c r="C916" i="6" s="1"/>
  <c r="E917" i="6"/>
  <c r="C917" i="6" s="1"/>
  <c r="E918" i="6"/>
  <c r="C918" i="6" s="1"/>
  <c r="E919" i="6"/>
  <c r="C919" i="6" s="1"/>
  <c r="E920" i="6"/>
  <c r="C920" i="6" s="1"/>
  <c r="E921" i="6"/>
  <c r="C921" i="6" s="1"/>
  <c r="E922" i="6"/>
  <c r="C922" i="6" s="1"/>
  <c r="E923" i="6"/>
  <c r="C923" i="6" s="1"/>
  <c r="E924" i="6"/>
  <c r="C924" i="6" s="1"/>
  <c r="E925" i="6"/>
  <c r="C925" i="6" s="1"/>
  <c r="E926" i="6"/>
  <c r="C926" i="6" s="1"/>
  <c r="E927" i="6"/>
  <c r="C927" i="6" s="1"/>
  <c r="E928" i="6"/>
  <c r="C928" i="6" s="1"/>
  <c r="E929" i="6"/>
  <c r="C929" i="6" s="1"/>
  <c r="E930" i="6"/>
  <c r="C930" i="6" s="1"/>
  <c r="E931" i="6"/>
  <c r="C931" i="6" s="1"/>
  <c r="E932" i="6"/>
  <c r="C932" i="6" s="1"/>
  <c r="E933" i="6"/>
  <c r="C933" i="6" s="1"/>
  <c r="E934" i="6"/>
  <c r="C934" i="6" s="1"/>
  <c r="E935" i="6"/>
  <c r="C935" i="6" s="1"/>
  <c r="E936" i="6"/>
  <c r="C936" i="6" s="1"/>
  <c r="E937" i="6"/>
  <c r="C937" i="6" s="1"/>
  <c r="E938" i="6"/>
  <c r="C938" i="6" s="1"/>
  <c r="E939" i="6"/>
  <c r="C939" i="6" s="1"/>
  <c r="E940" i="6"/>
  <c r="C940" i="6" s="1"/>
  <c r="E941" i="6"/>
  <c r="C941" i="6" s="1"/>
  <c r="E942" i="6"/>
  <c r="C942" i="6" s="1"/>
  <c r="E943" i="6"/>
  <c r="C943" i="6" s="1"/>
  <c r="E944" i="6"/>
  <c r="C944" i="6" s="1"/>
  <c r="E945" i="6"/>
  <c r="C945" i="6" s="1"/>
  <c r="E946" i="6"/>
  <c r="E947" i="6"/>
  <c r="E948" i="6"/>
  <c r="E949" i="6"/>
  <c r="C949" i="6" s="1"/>
  <c r="E950" i="6"/>
  <c r="C950" i="6" s="1"/>
  <c r="E951" i="6"/>
  <c r="C951" i="6" s="1"/>
  <c r="E952" i="6"/>
  <c r="C952" i="6" s="1"/>
  <c r="E953" i="6"/>
  <c r="C953" i="6" s="1"/>
  <c r="E954" i="6"/>
  <c r="C954" i="6" s="1"/>
  <c r="E955" i="6"/>
  <c r="C955" i="6" s="1"/>
  <c r="E956" i="6"/>
  <c r="C956" i="6" s="1"/>
  <c r="E957" i="6"/>
  <c r="C957" i="6" s="1"/>
  <c r="E958" i="6"/>
  <c r="C958" i="6" s="1"/>
  <c r="E959" i="6"/>
  <c r="C959" i="6" s="1"/>
  <c r="E960" i="6"/>
  <c r="C960" i="6" s="1"/>
  <c r="E961" i="6"/>
  <c r="C961" i="6" s="1"/>
  <c r="E962" i="6"/>
  <c r="C962" i="6" s="1"/>
  <c r="E963" i="6"/>
  <c r="C963" i="6" s="1"/>
  <c r="E964" i="6"/>
  <c r="C964" i="6" s="1"/>
  <c r="E965" i="6"/>
  <c r="C965" i="6" s="1"/>
  <c r="E966" i="6"/>
  <c r="C966" i="6" s="1"/>
  <c r="E967" i="6"/>
  <c r="C967" i="6" s="1"/>
  <c r="E968" i="6"/>
  <c r="C968" i="6" s="1"/>
  <c r="E969" i="6"/>
  <c r="C969" i="6" s="1"/>
  <c r="E970" i="6"/>
  <c r="C970" i="6" s="1"/>
  <c r="E971" i="6"/>
  <c r="C971" i="6" s="1"/>
  <c r="E972" i="6"/>
  <c r="C972" i="6" s="1"/>
  <c r="E973" i="6"/>
  <c r="C973" i="6" s="1"/>
  <c r="E974" i="6"/>
  <c r="C974" i="6" s="1"/>
  <c r="E975" i="6"/>
  <c r="C975" i="6" s="1"/>
  <c r="E976" i="6"/>
  <c r="C976" i="6" s="1"/>
  <c r="E977" i="6"/>
  <c r="C977" i="6" s="1"/>
  <c r="E978" i="6"/>
  <c r="C978" i="6" s="1"/>
  <c r="E979" i="6"/>
  <c r="C979" i="6" s="1"/>
  <c r="E980" i="6"/>
  <c r="C980" i="6" s="1"/>
  <c r="E981" i="6"/>
  <c r="C981" i="6" s="1"/>
  <c r="E982" i="6"/>
  <c r="C982" i="6" s="1"/>
  <c r="E983" i="6"/>
  <c r="C983" i="6" s="1"/>
  <c r="E984" i="6"/>
  <c r="C984" i="6" s="1"/>
  <c r="E985" i="6"/>
  <c r="C985" i="6" s="1"/>
  <c r="E986" i="6"/>
  <c r="C986" i="6" s="1"/>
  <c r="E987" i="6"/>
  <c r="C987" i="6" s="1"/>
  <c r="E988" i="6"/>
  <c r="C988" i="6" s="1"/>
  <c r="E989" i="6"/>
  <c r="C989" i="6" s="1"/>
  <c r="E990" i="6"/>
  <c r="C990" i="6" s="1"/>
  <c r="E991" i="6"/>
  <c r="C991" i="6" s="1"/>
  <c r="E992" i="6"/>
  <c r="C992" i="6" s="1"/>
  <c r="E993" i="6"/>
  <c r="C993" i="6" s="1"/>
  <c r="E994" i="6"/>
  <c r="C994" i="6" s="1"/>
  <c r="E995" i="6"/>
  <c r="C995" i="6" s="1"/>
  <c r="E996" i="6"/>
  <c r="C996" i="6" s="1"/>
  <c r="E997" i="6"/>
  <c r="C997" i="6" s="1"/>
  <c r="E998" i="6"/>
  <c r="C998" i="6" s="1"/>
  <c r="E999" i="6"/>
  <c r="C999" i="6" s="1"/>
  <c r="E1000" i="6"/>
  <c r="C1000" i="6" s="1"/>
  <c r="E1001" i="6"/>
  <c r="C1001" i="6" s="1"/>
  <c r="E1002" i="6"/>
  <c r="C1002" i="6" s="1"/>
  <c r="E1003" i="6"/>
  <c r="C1003" i="6" s="1"/>
  <c r="E1004" i="6"/>
  <c r="C1004" i="6" s="1"/>
  <c r="E1005" i="6"/>
  <c r="C1005" i="6" s="1"/>
  <c r="E1006" i="6"/>
  <c r="C1006" i="6" s="1"/>
  <c r="E1007" i="6"/>
  <c r="C1007" i="6" s="1"/>
  <c r="E1008" i="6"/>
  <c r="C1008" i="6" s="1"/>
  <c r="E1009" i="6"/>
  <c r="C1009" i="6" s="1"/>
  <c r="E1010" i="6"/>
  <c r="C1010" i="6" s="1"/>
  <c r="E1011" i="6"/>
  <c r="C1011" i="6" s="1"/>
  <c r="E1012" i="6"/>
  <c r="C1012" i="6" s="1"/>
  <c r="E1013" i="6"/>
  <c r="C1013" i="6" s="1"/>
  <c r="E1014" i="6"/>
  <c r="C1014" i="6" s="1"/>
  <c r="E1015" i="6"/>
  <c r="C1015" i="6" s="1"/>
  <c r="E1016" i="6"/>
  <c r="C1016" i="6" s="1"/>
  <c r="E1017" i="6"/>
  <c r="C1017" i="6" s="1"/>
  <c r="E1018" i="6"/>
  <c r="C1018" i="6" s="1"/>
  <c r="E1019" i="6"/>
  <c r="C1019" i="6" s="1"/>
  <c r="E1020" i="6"/>
  <c r="C1020" i="6" s="1"/>
  <c r="E1021" i="6"/>
  <c r="C1021" i="6" s="1"/>
  <c r="E1022" i="6"/>
  <c r="C1022" i="6" s="1"/>
  <c r="E1023" i="6"/>
  <c r="C1023" i="6" s="1"/>
  <c r="E1024" i="6"/>
  <c r="C1024" i="6" s="1"/>
  <c r="E1025" i="6"/>
  <c r="C1025" i="6" s="1"/>
  <c r="E1026" i="6"/>
  <c r="C1026" i="6" s="1"/>
  <c r="E1027" i="6"/>
  <c r="C1027" i="6" s="1"/>
  <c r="E1028" i="6"/>
  <c r="C1028" i="6" s="1"/>
  <c r="E1029" i="6"/>
  <c r="C1029" i="6" s="1"/>
  <c r="E1030" i="6"/>
  <c r="C1030" i="6" s="1"/>
  <c r="E1031" i="6"/>
  <c r="C1031" i="6" s="1"/>
  <c r="E1032" i="6"/>
  <c r="C1032" i="6" s="1"/>
  <c r="E1033" i="6"/>
  <c r="C1033" i="6" s="1"/>
  <c r="E1034" i="6"/>
  <c r="C1034" i="6" s="1"/>
  <c r="E1035" i="6"/>
  <c r="C1035" i="6" s="1"/>
  <c r="E1036" i="6"/>
  <c r="C1036" i="6" s="1"/>
  <c r="E1037" i="6"/>
  <c r="C1037" i="6" s="1"/>
  <c r="E1038" i="6"/>
  <c r="C1038" i="6" s="1"/>
  <c r="E1039" i="6"/>
  <c r="C1039" i="6" s="1"/>
  <c r="E1040" i="6"/>
  <c r="C1040" i="6" s="1"/>
  <c r="E1041" i="6"/>
  <c r="C1041" i="6" s="1"/>
  <c r="E1042" i="6"/>
  <c r="C1042" i="6" s="1"/>
  <c r="E1043" i="6"/>
  <c r="C1043" i="6" s="1"/>
  <c r="E1044" i="6"/>
  <c r="C1044" i="6" s="1"/>
  <c r="E1045" i="6"/>
  <c r="C1045" i="6" s="1"/>
  <c r="E1046" i="6"/>
  <c r="C1046" i="6" s="1"/>
  <c r="E1047" i="6"/>
  <c r="C1047" i="6" s="1"/>
  <c r="E1048" i="6"/>
  <c r="C1048" i="6" s="1"/>
  <c r="E1049" i="6"/>
  <c r="C1049" i="6" s="1"/>
  <c r="E1050" i="6"/>
  <c r="C1050" i="6" s="1"/>
  <c r="E1051" i="6"/>
  <c r="C1051" i="6" s="1"/>
  <c r="E1052" i="6"/>
  <c r="C1052" i="6" s="1"/>
  <c r="E1053" i="6"/>
  <c r="C1053" i="6" s="1"/>
  <c r="E1054" i="6"/>
  <c r="C1054" i="6" s="1"/>
  <c r="E1055" i="6"/>
  <c r="C1055" i="6" s="1"/>
  <c r="E1056" i="6"/>
  <c r="C1056" i="6" s="1"/>
  <c r="E1057" i="6"/>
  <c r="C1057" i="6" s="1"/>
  <c r="E1058" i="6"/>
  <c r="C1058" i="6" s="1"/>
  <c r="E1059" i="6"/>
  <c r="C1059" i="6" s="1"/>
  <c r="E1060" i="6"/>
  <c r="C1060" i="6" s="1"/>
  <c r="E1061" i="6"/>
  <c r="C1061" i="6" s="1"/>
  <c r="E1062" i="6"/>
  <c r="C1062" i="6" s="1"/>
  <c r="E1063" i="6"/>
  <c r="C1063" i="6" s="1"/>
  <c r="E1064" i="6"/>
  <c r="C1064" i="6" s="1"/>
  <c r="E1065" i="6"/>
  <c r="C1065" i="6" s="1"/>
  <c r="E1066" i="6"/>
  <c r="C1066" i="6" s="1"/>
  <c r="E1067" i="6"/>
  <c r="C1067" i="6" s="1"/>
  <c r="E1068" i="6"/>
  <c r="C1068" i="6" s="1"/>
  <c r="E1069" i="6"/>
  <c r="C1069" i="6" s="1"/>
  <c r="E1070" i="6"/>
  <c r="C1070" i="6" s="1"/>
  <c r="E1071" i="6"/>
  <c r="C1071" i="6" s="1"/>
  <c r="E1072" i="6"/>
  <c r="C1072" i="6" s="1"/>
  <c r="E1073" i="6"/>
  <c r="C1073" i="6" s="1"/>
  <c r="E1074" i="6"/>
  <c r="C1074" i="6" s="1"/>
  <c r="E1075" i="6"/>
  <c r="C1075" i="6" s="1"/>
  <c r="E1076" i="6"/>
  <c r="C1076" i="6" s="1"/>
  <c r="E1077" i="6"/>
  <c r="C1077" i="6" s="1"/>
  <c r="E1078" i="6"/>
  <c r="C1078" i="6" s="1"/>
  <c r="E1079" i="6"/>
  <c r="C1079" i="6" s="1"/>
  <c r="E1080" i="6"/>
  <c r="C1080" i="6" s="1"/>
  <c r="E1081" i="6"/>
  <c r="C1081" i="6" s="1"/>
  <c r="E1082" i="6"/>
  <c r="C1082" i="6" s="1"/>
  <c r="E1083" i="6"/>
  <c r="C1083" i="6" s="1"/>
  <c r="E1084" i="6"/>
  <c r="C1084" i="6" s="1"/>
  <c r="E1085" i="6"/>
  <c r="C1085" i="6" s="1"/>
  <c r="E1086" i="6"/>
  <c r="C1086" i="6" s="1"/>
  <c r="E1087" i="6"/>
  <c r="C1087" i="6" s="1"/>
  <c r="E1088" i="6"/>
  <c r="C1088" i="6" s="1"/>
  <c r="E1089" i="6"/>
  <c r="C1089" i="6" s="1"/>
  <c r="E1090" i="6"/>
  <c r="C1090" i="6" s="1"/>
  <c r="E1091" i="6"/>
  <c r="C1091" i="6" s="1"/>
  <c r="E1092" i="6"/>
  <c r="C1092" i="6" s="1"/>
  <c r="E1093" i="6"/>
  <c r="C1093" i="6" s="1"/>
  <c r="E1094" i="6"/>
  <c r="C1094" i="6" s="1"/>
  <c r="E1095" i="6"/>
  <c r="C1095" i="6" s="1"/>
  <c r="E1096" i="6"/>
  <c r="C1096" i="6" s="1"/>
  <c r="E1097" i="6"/>
  <c r="C1097" i="6" s="1"/>
  <c r="E1098" i="6"/>
  <c r="C1098" i="6" s="1"/>
  <c r="E1099" i="6"/>
  <c r="C1099" i="6" s="1"/>
  <c r="E1100" i="6"/>
  <c r="C1100" i="6" s="1"/>
  <c r="E1101" i="6"/>
  <c r="C1101" i="6" s="1"/>
  <c r="E1102" i="6"/>
  <c r="C1102" i="6" s="1"/>
  <c r="E1103" i="6"/>
  <c r="C1103" i="6" s="1"/>
  <c r="E1104" i="6"/>
  <c r="C1104" i="6" s="1"/>
  <c r="E1105" i="6"/>
  <c r="C1105" i="6" s="1"/>
  <c r="E1106" i="6"/>
  <c r="C1106" i="6" s="1"/>
  <c r="E1107" i="6"/>
  <c r="C1107" i="6" s="1"/>
  <c r="E1108" i="6"/>
  <c r="C1108" i="6" s="1"/>
  <c r="E1109" i="6"/>
  <c r="C1109" i="6" s="1"/>
  <c r="E1110" i="6"/>
  <c r="C1110" i="6" s="1"/>
  <c r="E1111" i="6"/>
  <c r="C1111" i="6" s="1"/>
  <c r="E1112" i="6"/>
  <c r="C1112" i="6" s="1"/>
  <c r="E1113" i="6"/>
  <c r="C1113" i="6" s="1"/>
  <c r="E1114" i="6"/>
  <c r="C1114" i="6" s="1"/>
  <c r="E1115" i="6"/>
  <c r="C1115" i="6" s="1"/>
  <c r="E1116" i="6"/>
  <c r="C1116" i="6" s="1"/>
  <c r="E1117" i="6"/>
  <c r="C1117" i="6" s="1"/>
  <c r="E1118" i="6"/>
  <c r="C1118" i="6" s="1"/>
  <c r="E1119" i="6"/>
  <c r="C1119" i="6" s="1"/>
  <c r="E1120" i="6"/>
  <c r="C1120" i="6" s="1"/>
  <c r="E1121" i="6"/>
  <c r="C1121" i="6" s="1"/>
  <c r="E1122" i="6"/>
  <c r="C1122" i="6" s="1"/>
  <c r="E1123" i="6"/>
  <c r="C1123" i="6" s="1"/>
  <c r="E1124" i="6"/>
  <c r="C1124" i="6" s="1"/>
  <c r="E1125" i="6"/>
  <c r="C1125" i="6" s="1"/>
  <c r="E1126" i="6"/>
  <c r="C1126" i="6" s="1"/>
  <c r="E1127" i="6"/>
  <c r="C1127" i="6" s="1"/>
  <c r="E1128" i="6"/>
  <c r="C1128" i="6" s="1"/>
  <c r="E1129" i="6"/>
  <c r="C1129" i="6" s="1"/>
  <c r="E1130" i="6"/>
  <c r="C1130" i="6" s="1"/>
  <c r="E1131" i="6"/>
  <c r="C1131" i="6" s="1"/>
  <c r="E1132" i="6"/>
  <c r="C1132" i="6" s="1"/>
  <c r="E1133" i="6"/>
  <c r="C1133" i="6" s="1"/>
  <c r="E1134" i="6"/>
  <c r="C1134" i="6" s="1"/>
  <c r="E1135" i="6"/>
  <c r="C1135" i="6" s="1"/>
  <c r="E1136" i="6"/>
  <c r="C1136" i="6" s="1"/>
  <c r="E1137" i="6"/>
  <c r="E1138" i="6"/>
  <c r="E1139" i="6"/>
  <c r="E1140" i="6"/>
  <c r="E1141" i="6"/>
  <c r="C1141" i="6" s="1"/>
  <c r="E1142" i="6"/>
  <c r="C1142" i="6" s="1"/>
  <c r="E1143" i="6"/>
  <c r="C1143" i="6" s="1"/>
  <c r="E1144" i="6"/>
  <c r="C1144" i="6" s="1"/>
  <c r="E1145" i="6"/>
  <c r="C1145" i="6" s="1"/>
  <c r="E1146" i="6"/>
  <c r="C1146" i="6" s="1"/>
  <c r="E1147" i="6"/>
  <c r="C1147" i="6" s="1"/>
  <c r="E1148" i="6"/>
  <c r="C1148" i="6" s="1"/>
  <c r="E1149" i="6"/>
  <c r="C1149" i="6" s="1"/>
  <c r="E1150" i="6"/>
  <c r="C1150" i="6" s="1"/>
  <c r="E1151" i="6"/>
  <c r="C1151" i="6" s="1"/>
  <c r="E1152" i="6"/>
  <c r="C1152" i="6" s="1"/>
  <c r="E1153" i="6"/>
  <c r="C1153" i="6" s="1"/>
  <c r="E1154" i="6"/>
  <c r="C1154" i="6" s="1"/>
  <c r="E1155" i="6"/>
  <c r="C1155" i="6" s="1"/>
  <c r="E1156" i="6"/>
  <c r="C1156" i="6" s="1"/>
  <c r="E1157" i="6"/>
  <c r="C1157" i="6" s="1"/>
  <c r="E1158" i="6"/>
  <c r="C1158" i="6" s="1"/>
  <c r="E1159" i="6"/>
  <c r="C1159" i="6" s="1"/>
  <c r="E1160" i="6"/>
  <c r="C1160" i="6" s="1"/>
  <c r="E1161" i="6"/>
  <c r="C1161" i="6" s="1"/>
  <c r="E1162" i="6"/>
  <c r="C1162" i="6" s="1"/>
  <c r="E1163" i="6"/>
  <c r="C1163" i="6" s="1"/>
  <c r="E1164" i="6"/>
  <c r="C1164" i="6" s="1"/>
  <c r="E1165" i="6"/>
  <c r="C1165" i="6" s="1"/>
  <c r="E1166" i="6"/>
  <c r="C1166" i="6" s="1"/>
  <c r="E1167" i="6"/>
  <c r="C1167" i="6" s="1"/>
  <c r="E1168" i="6"/>
  <c r="C1168" i="6" s="1"/>
  <c r="E1169" i="6"/>
  <c r="C1169" i="6" s="1"/>
  <c r="E1170" i="6"/>
  <c r="C1170" i="6" s="1"/>
  <c r="E1171" i="6"/>
  <c r="C1171" i="6" s="1"/>
  <c r="E1172" i="6"/>
  <c r="C1172" i="6" s="1"/>
  <c r="E1173" i="6"/>
  <c r="C1173" i="6" s="1"/>
  <c r="E1174" i="6"/>
  <c r="C1174" i="6" s="1"/>
  <c r="E1175" i="6"/>
  <c r="C1175" i="6" s="1"/>
  <c r="E1176" i="6"/>
  <c r="C1176" i="6" s="1"/>
  <c r="E1177" i="6"/>
  <c r="C1177" i="6" s="1"/>
  <c r="E1178" i="6"/>
  <c r="C1178" i="6" s="1"/>
  <c r="E1179" i="6"/>
  <c r="C1179" i="6" s="1"/>
  <c r="E1180" i="6"/>
  <c r="C1180" i="6" s="1"/>
  <c r="E1181" i="6"/>
  <c r="C1181" i="6" s="1"/>
  <c r="E1182" i="6"/>
  <c r="C1182" i="6" s="1"/>
  <c r="E1183" i="6"/>
  <c r="C1183" i="6" s="1"/>
  <c r="E1184" i="6"/>
  <c r="C1184" i="6" s="1"/>
  <c r="E1185" i="6"/>
  <c r="C1185" i="6" s="1"/>
  <c r="E1186" i="6"/>
  <c r="C1186" i="6" s="1"/>
  <c r="E1187" i="6"/>
  <c r="C1187" i="6" s="1"/>
  <c r="E1188" i="6"/>
  <c r="C1188" i="6" s="1"/>
  <c r="E1189" i="6"/>
  <c r="C1189" i="6" s="1"/>
  <c r="E1190" i="6"/>
  <c r="C1190" i="6" s="1"/>
  <c r="E1191" i="6"/>
  <c r="C1191" i="6" s="1"/>
  <c r="E1192" i="6"/>
  <c r="C1192" i="6" s="1"/>
  <c r="E1193" i="6"/>
  <c r="C1193" i="6" s="1"/>
  <c r="E1194" i="6"/>
  <c r="C1194" i="6" s="1"/>
  <c r="E1195" i="6"/>
  <c r="C1195" i="6" s="1"/>
  <c r="E1196" i="6"/>
  <c r="C1196" i="6" s="1"/>
  <c r="E1197" i="6"/>
  <c r="C1197" i="6" s="1"/>
  <c r="E1198" i="6"/>
  <c r="C1198" i="6" s="1"/>
  <c r="E1199" i="6"/>
  <c r="C1199" i="6" s="1"/>
  <c r="E1200" i="6"/>
  <c r="C1200" i="6" s="1"/>
  <c r="E1201" i="6"/>
  <c r="C1201" i="6" s="1"/>
  <c r="E1202" i="6"/>
  <c r="C1202" i="6" s="1"/>
  <c r="E1203" i="6"/>
  <c r="C1203" i="6" s="1"/>
  <c r="E1204" i="6"/>
  <c r="C1204" i="6" s="1"/>
  <c r="E1205" i="6"/>
  <c r="C1205" i="6" s="1"/>
  <c r="E1206" i="6"/>
  <c r="C1206" i="6" s="1"/>
  <c r="E1207" i="6"/>
  <c r="C1207" i="6" s="1"/>
  <c r="E1208" i="6"/>
  <c r="C1208" i="6" s="1"/>
  <c r="E1209" i="6"/>
  <c r="C1209" i="6" s="1"/>
  <c r="E1210" i="6"/>
  <c r="C1210" i="6" s="1"/>
  <c r="E1211" i="6"/>
  <c r="C1211" i="6" s="1"/>
  <c r="E1212" i="6"/>
  <c r="C1212" i="6" s="1"/>
  <c r="E1213" i="6"/>
  <c r="C1213" i="6" s="1"/>
  <c r="E1214" i="6"/>
  <c r="C1214" i="6" s="1"/>
  <c r="E1215" i="6"/>
  <c r="C1215" i="6" s="1"/>
  <c r="E1216" i="6"/>
  <c r="C1216" i="6" s="1"/>
  <c r="E1217" i="6"/>
  <c r="C1217" i="6" s="1"/>
  <c r="E1218" i="6"/>
  <c r="C1218" i="6" s="1"/>
  <c r="E1219" i="6"/>
  <c r="C1219" i="6" s="1"/>
  <c r="E1220" i="6"/>
  <c r="C1220" i="6" s="1"/>
  <c r="E1221" i="6"/>
  <c r="C1221" i="6" s="1"/>
  <c r="E1222" i="6"/>
  <c r="C1222" i="6" s="1"/>
  <c r="E1223" i="6"/>
  <c r="C1223" i="6" s="1"/>
  <c r="E1224" i="6"/>
  <c r="C1224" i="6" s="1"/>
  <c r="E1225" i="6"/>
  <c r="C1225" i="6" s="1"/>
  <c r="E1226" i="6"/>
  <c r="C1226" i="6" s="1"/>
  <c r="E1227" i="6"/>
  <c r="C1227" i="6" s="1"/>
  <c r="E1228" i="6"/>
  <c r="C1228" i="6" s="1"/>
  <c r="E1229" i="6"/>
  <c r="C1229" i="6" s="1"/>
  <c r="E1230" i="6"/>
  <c r="C1230" i="6" s="1"/>
  <c r="E1231" i="6"/>
  <c r="C1231" i="6" s="1"/>
  <c r="E1232" i="6"/>
  <c r="C1232" i="6" s="1"/>
  <c r="E1233" i="6"/>
  <c r="C1233" i="6" s="1"/>
  <c r="E1234" i="6"/>
  <c r="C1234" i="6" s="1"/>
  <c r="E1235" i="6"/>
  <c r="C1235" i="6" s="1"/>
  <c r="E1236" i="6"/>
  <c r="C1236" i="6" s="1"/>
  <c r="E1237" i="6"/>
  <c r="C1237" i="6" s="1"/>
  <c r="E1238" i="6"/>
  <c r="C1238" i="6" s="1"/>
  <c r="E1239" i="6"/>
  <c r="C1239" i="6" s="1"/>
  <c r="E1240" i="6"/>
  <c r="C1240" i="6" s="1"/>
  <c r="E1241" i="6"/>
  <c r="C1241" i="6" s="1"/>
  <c r="E1242" i="6"/>
  <c r="C1242" i="6" s="1"/>
  <c r="E1243" i="6"/>
  <c r="C1243" i="6" s="1"/>
  <c r="E1244" i="6"/>
  <c r="C1244" i="6" s="1"/>
  <c r="E1245" i="6"/>
  <c r="C1245" i="6" s="1"/>
  <c r="E1246" i="6"/>
  <c r="C1246" i="6" s="1"/>
  <c r="E1247" i="6"/>
  <c r="C1247" i="6" s="1"/>
  <c r="E1248" i="6"/>
  <c r="C1248" i="6" s="1"/>
  <c r="E1249" i="6"/>
  <c r="C1249" i="6" s="1"/>
  <c r="E1250" i="6"/>
  <c r="C1250" i="6" s="1"/>
  <c r="E1251" i="6"/>
  <c r="C1251" i="6" s="1"/>
  <c r="E1252" i="6"/>
  <c r="C1252" i="6" s="1"/>
  <c r="E1253" i="6"/>
  <c r="C1253" i="6" s="1"/>
  <c r="E1254" i="6"/>
  <c r="C1254" i="6" s="1"/>
  <c r="E1255" i="6"/>
  <c r="C1255" i="6" s="1"/>
  <c r="E1256" i="6"/>
  <c r="C1256" i="6" s="1"/>
  <c r="E1257" i="6"/>
  <c r="C1257" i="6" s="1"/>
  <c r="E1258" i="6"/>
  <c r="C1258" i="6" s="1"/>
  <c r="E1259" i="6"/>
  <c r="C1259" i="6" s="1"/>
  <c r="E1260" i="6"/>
  <c r="C1260" i="6" s="1"/>
  <c r="E1261" i="6"/>
  <c r="C1261" i="6" s="1"/>
  <c r="E1262" i="6"/>
  <c r="C1262" i="6" s="1"/>
  <c r="E1263" i="6"/>
  <c r="C1263" i="6" s="1"/>
  <c r="E1264" i="6"/>
  <c r="C1264" i="6" s="1"/>
  <c r="E1265" i="6"/>
  <c r="C1265" i="6" s="1"/>
  <c r="E1266" i="6"/>
  <c r="C1266" i="6" s="1"/>
  <c r="E1267" i="6"/>
  <c r="C1267" i="6" s="1"/>
  <c r="E1268" i="6"/>
  <c r="C1268" i="6" s="1"/>
  <c r="E1269" i="6"/>
  <c r="C1269" i="6" s="1"/>
  <c r="E1270" i="6"/>
  <c r="C1270" i="6" s="1"/>
  <c r="E1271" i="6"/>
  <c r="C1271" i="6" s="1"/>
  <c r="E1272" i="6"/>
  <c r="C1272" i="6" s="1"/>
  <c r="E1273" i="6"/>
  <c r="C1273" i="6" s="1"/>
  <c r="E1274" i="6"/>
  <c r="C1274" i="6" s="1"/>
  <c r="E1275" i="6"/>
  <c r="C1275" i="6" s="1"/>
  <c r="E1276" i="6"/>
  <c r="C1276" i="6" s="1"/>
  <c r="E1277" i="6"/>
  <c r="C1277" i="6" s="1"/>
  <c r="E1278" i="6"/>
  <c r="C1278" i="6" s="1"/>
  <c r="E1279" i="6"/>
  <c r="C1279" i="6" s="1"/>
  <c r="E1280" i="6"/>
  <c r="C1280" i="6" s="1"/>
  <c r="E1281" i="6"/>
  <c r="C1281" i="6" s="1"/>
  <c r="E1282" i="6"/>
  <c r="C1282" i="6" s="1"/>
  <c r="E1283" i="6"/>
  <c r="C1283" i="6" s="1"/>
  <c r="E1284" i="6"/>
  <c r="C1284" i="6" s="1"/>
  <c r="E1285" i="6"/>
  <c r="C1285" i="6" s="1"/>
  <c r="E1286" i="6"/>
  <c r="C1286" i="6" s="1"/>
  <c r="E1287" i="6"/>
  <c r="C1287" i="6" s="1"/>
  <c r="E1288" i="6"/>
  <c r="C1288" i="6" s="1"/>
  <c r="E1289" i="6"/>
  <c r="C1289" i="6" s="1"/>
  <c r="E1290" i="6"/>
  <c r="C1290" i="6" s="1"/>
  <c r="E1291" i="6"/>
  <c r="C1291" i="6" s="1"/>
  <c r="E1292" i="6"/>
  <c r="C1292" i="6" s="1"/>
  <c r="E1293" i="6"/>
  <c r="C1293" i="6" s="1"/>
  <c r="E1294" i="6"/>
  <c r="C1294" i="6" s="1"/>
  <c r="E1295" i="6"/>
  <c r="C1295" i="6" s="1"/>
  <c r="E1296" i="6"/>
  <c r="C1296" i="6" s="1"/>
  <c r="E1297" i="6"/>
  <c r="C1297" i="6" s="1"/>
  <c r="E1298" i="6"/>
  <c r="C1298" i="6" s="1"/>
  <c r="E1299" i="6"/>
  <c r="C1299" i="6" s="1"/>
  <c r="E1300" i="6"/>
  <c r="C1300" i="6" s="1"/>
  <c r="E1301" i="6"/>
  <c r="C1301" i="6" s="1"/>
  <c r="E1302" i="6"/>
  <c r="C1302" i="6" s="1"/>
  <c r="E1303" i="6"/>
  <c r="C1303" i="6" s="1"/>
  <c r="E1304" i="6"/>
  <c r="C1304" i="6" s="1"/>
  <c r="E1305" i="6"/>
  <c r="C1305" i="6" s="1"/>
  <c r="E1306" i="6"/>
  <c r="C1306" i="6" s="1"/>
  <c r="E1307" i="6"/>
  <c r="C1307" i="6" s="1"/>
  <c r="E1308" i="6"/>
  <c r="C1308" i="6" s="1"/>
  <c r="E1309" i="6"/>
  <c r="C1309" i="6" s="1"/>
  <c r="E1310" i="6"/>
  <c r="C1310" i="6" s="1"/>
  <c r="E1311" i="6"/>
  <c r="C1311" i="6" s="1"/>
  <c r="E1312" i="6"/>
  <c r="C1312" i="6" s="1"/>
  <c r="E1313" i="6"/>
  <c r="C1313" i="6" s="1"/>
  <c r="E1314" i="6"/>
  <c r="C1314" i="6" s="1"/>
  <c r="E1315" i="6"/>
  <c r="C1315" i="6" s="1"/>
  <c r="E1316" i="6"/>
  <c r="C1316" i="6" s="1"/>
  <c r="E1317" i="6"/>
  <c r="C1317" i="6" s="1"/>
  <c r="E1318" i="6"/>
  <c r="C1318" i="6" s="1"/>
  <c r="E1319" i="6"/>
  <c r="C1319" i="6" s="1"/>
  <c r="E1320" i="6"/>
  <c r="C1320" i="6" s="1"/>
  <c r="E1321" i="6"/>
  <c r="C1321" i="6" s="1"/>
  <c r="E1322" i="6"/>
  <c r="C1322" i="6" s="1"/>
  <c r="E1323" i="6"/>
  <c r="C1323" i="6" s="1"/>
  <c r="E1324" i="6"/>
  <c r="C1324" i="6" s="1"/>
  <c r="E1325" i="6"/>
  <c r="C1325" i="6" s="1"/>
  <c r="E1326" i="6"/>
  <c r="C1326" i="6" s="1"/>
  <c r="E1327" i="6"/>
  <c r="C1327" i="6" s="1"/>
  <c r="E1328" i="6"/>
  <c r="C1328" i="6" s="1"/>
  <c r="E1329" i="6"/>
  <c r="C1329" i="6" s="1"/>
  <c r="E1330" i="6"/>
  <c r="C1330" i="6" s="1"/>
  <c r="E1331" i="6"/>
  <c r="C1331" i="6" s="1"/>
  <c r="E1332" i="6"/>
  <c r="C1332" i="6" s="1"/>
  <c r="E1333" i="6"/>
  <c r="C1333" i="6" s="1"/>
  <c r="E1334" i="6"/>
  <c r="C1334" i="6" s="1"/>
  <c r="E1335" i="6"/>
  <c r="C1335" i="6" s="1"/>
  <c r="E1336" i="6"/>
  <c r="C1336" i="6" s="1"/>
  <c r="E1337" i="6"/>
  <c r="C1337" i="6" s="1"/>
  <c r="E1338" i="6"/>
  <c r="C1338" i="6" s="1"/>
  <c r="E1339" i="6"/>
  <c r="C1339" i="6" s="1"/>
  <c r="E1340" i="6"/>
  <c r="C1340" i="6" s="1"/>
  <c r="E1341" i="6"/>
  <c r="C1341" i="6" s="1"/>
  <c r="E1342" i="6"/>
  <c r="C1342" i="6" s="1"/>
  <c r="E1343" i="6"/>
  <c r="C1343" i="6" s="1"/>
  <c r="E1344" i="6"/>
  <c r="C1344" i="6" s="1"/>
  <c r="E1345" i="6"/>
  <c r="C1345" i="6" s="1"/>
  <c r="E1346" i="6"/>
  <c r="C1346" i="6" s="1"/>
  <c r="E1347" i="6"/>
  <c r="C1347" i="6" s="1"/>
  <c r="E1348" i="6"/>
  <c r="C1348" i="6" s="1"/>
  <c r="E1349" i="6"/>
  <c r="C1349" i="6" s="1"/>
  <c r="E1350" i="6"/>
  <c r="C1350" i="6" s="1"/>
  <c r="E1351" i="6"/>
  <c r="C1351" i="6" s="1"/>
  <c r="E1352" i="6"/>
  <c r="C1352" i="6" s="1"/>
  <c r="E1353" i="6"/>
  <c r="C1353" i="6" s="1"/>
  <c r="E1354" i="6"/>
  <c r="C1354" i="6" s="1"/>
  <c r="E1355" i="6"/>
  <c r="C1355" i="6" s="1"/>
  <c r="E1356" i="6"/>
  <c r="C1356" i="6" s="1"/>
  <c r="E1357" i="6"/>
  <c r="C1357" i="6" s="1"/>
  <c r="E1358" i="6"/>
  <c r="C1358" i="6" s="1"/>
  <c r="E1359" i="6"/>
  <c r="C1359" i="6" s="1"/>
  <c r="E1360" i="6"/>
  <c r="C1360" i="6" s="1"/>
  <c r="E1361" i="6"/>
  <c r="C1361" i="6" s="1"/>
  <c r="E1362" i="6"/>
  <c r="C1362" i="6" s="1"/>
  <c r="E1363" i="6"/>
  <c r="C1363" i="6" s="1"/>
  <c r="E1364" i="6"/>
  <c r="C1364" i="6" s="1"/>
  <c r="E1365" i="6"/>
  <c r="C1365" i="6" s="1"/>
  <c r="E1366" i="6"/>
  <c r="C1366" i="6" s="1"/>
  <c r="E1367" i="6"/>
  <c r="C1367" i="6" s="1"/>
  <c r="E1368" i="6"/>
  <c r="C1368" i="6" s="1"/>
  <c r="E1369" i="6"/>
  <c r="C1369" i="6" s="1"/>
  <c r="E1370" i="6"/>
  <c r="C1370" i="6" s="1"/>
  <c r="E1371" i="6"/>
  <c r="C1371" i="6" s="1"/>
  <c r="E1372" i="6"/>
  <c r="C1372" i="6" s="1"/>
  <c r="E1373" i="6"/>
  <c r="C1373" i="6" s="1"/>
  <c r="E1374" i="6"/>
  <c r="C1374" i="6" s="1"/>
  <c r="E1375" i="6"/>
  <c r="C1375" i="6" s="1"/>
  <c r="E1376" i="6"/>
  <c r="C1376" i="6" s="1"/>
  <c r="E1377" i="6"/>
  <c r="C1377" i="6" s="1"/>
  <c r="E1378" i="6"/>
  <c r="C1378" i="6" s="1"/>
  <c r="E1379" i="6"/>
  <c r="C1379" i="6" s="1"/>
  <c r="E1380" i="6"/>
  <c r="C1380" i="6" s="1"/>
  <c r="E1381" i="6"/>
  <c r="C1381" i="6" s="1"/>
  <c r="E1382" i="6"/>
  <c r="C1382" i="6" s="1"/>
  <c r="E1383" i="6"/>
  <c r="C1383" i="6" s="1"/>
  <c r="E1384" i="6"/>
  <c r="C1384" i="6" s="1"/>
  <c r="E1385" i="6"/>
  <c r="C1385" i="6" s="1"/>
  <c r="E1386" i="6"/>
  <c r="C1386" i="6" s="1"/>
  <c r="E1387" i="6"/>
  <c r="C1387" i="6" s="1"/>
  <c r="E1388" i="6"/>
  <c r="C1388" i="6" s="1"/>
  <c r="E1389" i="6"/>
  <c r="C1389" i="6" s="1"/>
  <c r="E1390" i="6"/>
  <c r="C1390" i="6" s="1"/>
  <c r="E1391" i="6"/>
  <c r="C1391" i="6" s="1"/>
  <c r="E1392" i="6"/>
  <c r="C1392" i="6" s="1"/>
  <c r="E1393" i="6"/>
  <c r="C1393" i="6" s="1"/>
  <c r="E1394" i="6"/>
  <c r="C1394" i="6" s="1"/>
  <c r="E1395" i="6"/>
  <c r="C1395" i="6" s="1"/>
  <c r="E1396" i="6"/>
  <c r="C1396" i="6" s="1"/>
  <c r="E1397" i="6"/>
  <c r="C1397" i="6" s="1"/>
  <c r="E1398" i="6"/>
  <c r="C1398" i="6" s="1"/>
  <c r="E1399" i="6"/>
  <c r="C1399" i="6" s="1"/>
  <c r="E1400" i="6"/>
  <c r="C1400" i="6" s="1"/>
  <c r="E1401" i="6"/>
  <c r="C1401" i="6" s="1"/>
  <c r="E1402" i="6"/>
  <c r="C1402" i="6" s="1"/>
  <c r="E1403" i="6"/>
  <c r="C1403" i="6" s="1"/>
  <c r="E1404" i="6"/>
  <c r="C1404" i="6" s="1"/>
  <c r="E1405" i="6"/>
  <c r="C1405" i="6" s="1"/>
  <c r="E1406" i="6"/>
  <c r="C1406" i="6" s="1"/>
  <c r="E1407" i="6"/>
  <c r="C1407" i="6" s="1"/>
  <c r="E1408" i="6"/>
  <c r="C1408" i="6" s="1"/>
  <c r="E1409" i="6"/>
  <c r="C1409" i="6" s="1"/>
  <c r="E1410" i="6"/>
  <c r="C1410" i="6" s="1"/>
  <c r="E1411" i="6"/>
  <c r="C1411" i="6" s="1"/>
  <c r="E1412" i="6"/>
  <c r="C1412" i="6" s="1"/>
  <c r="E1413" i="6"/>
  <c r="C1413" i="6" s="1"/>
  <c r="E1414" i="6"/>
  <c r="C1414" i="6" s="1"/>
  <c r="E1415" i="6"/>
  <c r="C1415" i="6" s="1"/>
  <c r="E1416" i="6"/>
  <c r="C1416" i="6" s="1"/>
  <c r="E1417" i="6"/>
  <c r="C1417" i="6" s="1"/>
  <c r="E1418" i="6"/>
  <c r="C1418" i="6" s="1"/>
  <c r="E1419" i="6"/>
  <c r="C1419" i="6" s="1"/>
  <c r="E1420" i="6"/>
  <c r="C1420" i="6" s="1"/>
  <c r="E1421" i="6"/>
  <c r="C1421" i="6" s="1"/>
  <c r="E1422" i="6"/>
  <c r="C1422" i="6" s="1"/>
  <c r="E1423" i="6"/>
  <c r="C1423" i="6" s="1"/>
  <c r="E1424" i="6"/>
  <c r="C1424" i="6" s="1"/>
  <c r="E1425" i="6"/>
  <c r="C1425" i="6" s="1"/>
  <c r="E1426" i="6"/>
  <c r="C1426" i="6" s="1"/>
  <c r="E1427" i="6"/>
  <c r="C1427" i="6" s="1"/>
  <c r="E1428" i="6"/>
  <c r="C1428" i="6" s="1"/>
  <c r="E1429" i="6"/>
  <c r="C1429" i="6" s="1"/>
  <c r="E1430" i="6"/>
  <c r="C1430" i="6" s="1"/>
  <c r="E1431" i="6"/>
  <c r="C1431" i="6" s="1"/>
  <c r="E1432" i="6"/>
  <c r="C1432" i="6" s="1"/>
  <c r="E1433" i="6"/>
  <c r="C1433" i="6" s="1"/>
</calcChain>
</file>

<file path=xl/sharedStrings.xml><?xml version="1.0" encoding="utf-8"?>
<sst xmlns="http://schemas.openxmlformats.org/spreadsheetml/2006/main" count="20906" uniqueCount="3014">
  <si>
    <t>StructureId</t>
  </si>
  <si>
    <t>VolumeType</t>
  </si>
  <si>
    <t>Mod</t>
  </si>
  <si>
    <t>Type</t>
  </si>
  <si>
    <t>TargetNumber</t>
  </si>
  <si>
    <t>Metabolic</t>
  </si>
  <si>
    <t>Motion</t>
  </si>
  <si>
    <t>Region</t>
  </si>
  <si>
    <t>Level</t>
  </si>
  <si>
    <t>FullDose</t>
  </si>
  <si>
    <t>Dose</t>
  </si>
  <si>
    <t>Combined</t>
  </si>
  <si>
    <t>Expansions</t>
  </si>
  <si>
    <t>ExpansionUnit</t>
  </si>
  <si>
    <t>ExpansionSign</t>
  </si>
  <si>
    <t>Subtraction</t>
  </si>
  <si>
    <t>Organ</t>
  </si>
  <si>
    <t>Laterality</t>
  </si>
  <si>
    <t>SubGroup</t>
  </si>
  <si>
    <t>GTV 4D0</t>
  </si>
  <si>
    <t>GTV</t>
  </si>
  <si>
    <t>4D0</t>
  </si>
  <si>
    <t>GTV 4D10</t>
  </si>
  <si>
    <t>4D10</t>
  </si>
  <si>
    <t>GTV 4D20</t>
  </si>
  <si>
    <t>4D20</t>
  </si>
  <si>
    <t>GTV 4D30</t>
  </si>
  <si>
    <t>4D30</t>
  </si>
  <si>
    <t>GTV 4D40</t>
  </si>
  <si>
    <t>4D40</t>
  </si>
  <si>
    <t>GTV 4D50</t>
  </si>
  <si>
    <t>4D50</t>
  </si>
  <si>
    <t>GTV 4D60</t>
  </si>
  <si>
    <t>4D60</t>
  </si>
  <si>
    <t>GTV 4D70</t>
  </si>
  <si>
    <t>4D70</t>
  </si>
  <si>
    <t>GTV 4D80</t>
  </si>
  <si>
    <t>4D80</t>
  </si>
  <si>
    <t>GTV 4D90</t>
  </si>
  <si>
    <t>4D90</t>
  </si>
  <si>
    <t>GTV AVE</t>
  </si>
  <si>
    <t>AVE</t>
  </si>
  <si>
    <t>GTV MIP</t>
  </si>
  <si>
    <t>MIP</t>
  </si>
  <si>
    <t>IGTV</t>
  </si>
  <si>
    <t>ITV</t>
  </si>
  <si>
    <t>CTV</t>
  </si>
  <si>
    <t>Node Subpyloric</t>
  </si>
  <si>
    <t>Nodes</t>
  </si>
  <si>
    <t>Node</t>
  </si>
  <si>
    <t>Subpyloric</t>
  </si>
  <si>
    <t>Node Hepatoduod</t>
  </si>
  <si>
    <t>Hepatoduod</t>
  </si>
  <si>
    <t>Node Hepatogastr</t>
  </si>
  <si>
    <t>Hepatogastr</t>
  </si>
  <si>
    <t>Node Para-Aortic</t>
  </si>
  <si>
    <t>Para-Aortic</t>
  </si>
  <si>
    <t>Node Pancreatic</t>
  </si>
  <si>
    <t>Pancreatic</t>
  </si>
  <si>
    <t>Node Celiac</t>
  </si>
  <si>
    <t>Celiac</t>
  </si>
  <si>
    <t>Node Hepatic</t>
  </si>
  <si>
    <t>Hepatic</t>
  </si>
  <si>
    <t>Node Gastric</t>
  </si>
  <si>
    <t>Gastric</t>
  </si>
  <si>
    <t>Node Pyloric</t>
  </si>
  <si>
    <t>Pyloric</t>
  </si>
  <si>
    <t>Node Splenic</t>
  </si>
  <si>
    <t>Splenic</t>
  </si>
  <si>
    <t>Humorous R</t>
  </si>
  <si>
    <t>Humorous L</t>
  </si>
  <si>
    <t>Radius R</t>
  </si>
  <si>
    <t>Radius L</t>
  </si>
  <si>
    <t>Ulna R</t>
  </si>
  <si>
    <t>Ulna  L</t>
  </si>
  <si>
    <t>Body</t>
  </si>
  <si>
    <t>BODY</t>
  </si>
  <si>
    <t>PTV</t>
  </si>
  <si>
    <t>GTVn</t>
  </si>
  <si>
    <t>n</t>
  </si>
  <si>
    <t>CTV 5250</t>
  </si>
  <si>
    <t>PTV 5250</t>
  </si>
  <si>
    <t>eval PTV 5250</t>
  </si>
  <si>
    <t>eval</t>
  </si>
  <si>
    <t>opt PTV 5250</t>
  </si>
  <si>
    <t>opt</t>
  </si>
  <si>
    <t>Avoid a Rectum</t>
  </si>
  <si>
    <t>Control</t>
  </si>
  <si>
    <t>Avoid b Rectum</t>
  </si>
  <si>
    <t>Bladder</t>
  </si>
  <si>
    <t>BowelBag</t>
  </si>
  <si>
    <t>Small Bowel</t>
  </si>
  <si>
    <t>Large Bowel</t>
  </si>
  <si>
    <t>Rectum</t>
  </si>
  <si>
    <t>opt Rectum</t>
  </si>
  <si>
    <t>Avoidance</t>
  </si>
  <si>
    <t>Femoral Head R</t>
  </si>
  <si>
    <t>Femoral Head L</t>
  </si>
  <si>
    <t>Bladder wall</t>
  </si>
  <si>
    <t>Urethra</t>
  </si>
  <si>
    <t>CTV 66</t>
  </si>
  <si>
    <t>PTV 66</t>
  </si>
  <si>
    <t>eval PTV</t>
  </si>
  <si>
    <t>opt PTV 66</t>
  </si>
  <si>
    <t>Node Int iliac L</t>
  </si>
  <si>
    <t>Int iliac</t>
  </si>
  <si>
    <t>L</t>
  </si>
  <si>
    <t>Node Int iliac R</t>
  </si>
  <si>
    <t>R</t>
  </si>
  <si>
    <t>Node ext iliac L</t>
  </si>
  <si>
    <t>ext iliac</t>
  </si>
  <si>
    <t>Node ext iliac R</t>
  </si>
  <si>
    <t>Presacral space</t>
  </si>
  <si>
    <t>Bowel</t>
  </si>
  <si>
    <t>Duodenum</t>
  </si>
  <si>
    <t>Jejunum</t>
  </si>
  <si>
    <t>Colon</t>
  </si>
  <si>
    <t>MesentericA S</t>
  </si>
  <si>
    <t>BrainStem</t>
  </si>
  <si>
    <t>Brain</t>
  </si>
  <si>
    <t>Pituitary</t>
  </si>
  <si>
    <t>Temporal Lobes</t>
  </si>
  <si>
    <t>Hippocampi</t>
  </si>
  <si>
    <t>Hippo_R</t>
  </si>
  <si>
    <t>Hippo_L</t>
  </si>
  <si>
    <t>Breast L</t>
  </si>
  <si>
    <t>Breast R</t>
  </si>
  <si>
    <t>Nodes Axilla 1</t>
  </si>
  <si>
    <t>Axilla 1</t>
  </si>
  <si>
    <t>Nodes Axilla 2</t>
  </si>
  <si>
    <t>Axilla 2</t>
  </si>
  <si>
    <t>Nodes Axilla 3</t>
  </si>
  <si>
    <t>Axilla 3</t>
  </si>
  <si>
    <t>Nodes IMC</t>
  </si>
  <si>
    <t>IMC</t>
  </si>
  <si>
    <t>Nodes SC</t>
  </si>
  <si>
    <t>SC</t>
  </si>
  <si>
    <t>Cavity</t>
  </si>
  <si>
    <t>CTV Cavity</t>
  </si>
  <si>
    <t>CTVn</t>
  </si>
  <si>
    <t>PTV Cavity</t>
  </si>
  <si>
    <t>PTVn</t>
  </si>
  <si>
    <t>Lung L</t>
  </si>
  <si>
    <t>Lung R</t>
  </si>
  <si>
    <t>Lung B</t>
  </si>
  <si>
    <t>SpinalCanal</t>
  </si>
  <si>
    <t>Heart</t>
  </si>
  <si>
    <t>Chest Wall</t>
  </si>
  <si>
    <t>Pectoralis minor</t>
  </si>
  <si>
    <t>Axillary vessels</t>
  </si>
  <si>
    <t>Nodes Axilla I</t>
  </si>
  <si>
    <t>Axilla I</t>
  </si>
  <si>
    <t>Nodes Axilla II</t>
  </si>
  <si>
    <t>Axilla II</t>
  </si>
  <si>
    <t>Nodes Axilla III</t>
  </si>
  <si>
    <t>Axilla III</t>
  </si>
  <si>
    <t>Liver</t>
  </si>
  <si>
    <t>Stomach</t>
  </si>
  <si>
    <t>Pancreas</t>
  </si>
  <si>
    <t>Celiac Artery</t>
  </si>
  <si>
    <t>Portal Vein</t>
  </si>
  <si>
    <t>Splenic Hilum</t>
  </si>
  <si>
    <t>PeritonealCavity</t>
  </si>
  <si>
    <t>BrachialPlex L</t>
  </si>
  <si>
    <t>BrachialPlex R</t>
  </si>
  <si>
    <t>Esophagus</t>
  </si>
  <si>
    <t>Ribs</t>
  </si>
  <si>
    <t>Brain-CTV</t>
  </si>
  <si>
    <t>opt Brain</t>
  </si>
  <si>
    <t>PRV5 BrainStem</t>
  </si>
  <si>
    <t>Cochlea L</t>
  </si>
  <si>
    <t>Cochlea R</t>
  </si>
  <si>
    <t>Edema</t>
  </si>
  <si>
    <t>None</t>
  </si>
  <si>
    <t>GTV T1</t>
  </si>
  <si>
    <t>T1</t>
  </si>
  <si>
    <t>Lens L</t>
  </si>
  <si>
    <t>Lens R</t>
  </si>
  <si>
    <t>OpticChiasm</t>
  </si>
  <si>
    <t>OpticNerve L</t>
  </si>
  <si>
    <t>OpticNerve R</t>
  </si>
  <si>
    <t>PRV5 OpticNerve</t>
  </si>
  <si>
    <t>Globe L</t>
  </si>
  <si>
    <t>Globe R</t>
  </si>
  <si>
    <t>opt PTV</t>
  </si>
  <si>
    <t>PRV5 SpinalCanal</t>
  </si>
  <si>
    <t>CTV int L</t>
  </si>
  <si>
    <t>int</t>
  </si>
  <si>
    <t>CTV int R</t>
  </si>
  <si>
    <t>CTV low L</t>
  </si>
  <si>
    <t>low</t>
  </si>
  <si>
    <t>CTV low R</t>
  </si>
  <si>
    <t>Operative Bed</t>
  </si>
  <si>
    <t>Ear L</t>
  </si>
  <si>
    <t>Ear R</t>
  </si>
  <si>
    <t>Ear Middle L</t>
  </si>
  <si>
    <t>Ear Middle R</t>
  </si>
  <si>
    <t>Ear Inner L</t>
  </si>
  <si>
    <t>Ear Inner R</t>
  </si>
  <si>
    <t>Celiac trunk</t>
  </si>
  <si>
    <t>Kidney L</t>
  </si>
  <si>
    <t>Kidney R</t>
  </si>
  <si>
    <t>Kidney B</t>
  </si>
  <si>
    <t>GTV PET</t>
  </si>
  <si>
    <t>PET</t>
  </si>
  <si>
    <t>Contrast</t>
  </si>
  <si>
    <t>Contrast Agent</t>
  </si>
  <si>
    <t>Lacrimal B</t>
  </si>
  <si>
    <t>Lacrimal L</t>
  </si>
  <si>
    <t>Lacrimal R</t>
  </si>
  <si>
    <t>GTV Total</t>
  </si>
  <si>
    <t>Total</t>
  </si>
  <si>
    <t>PTV Total</t>
  </si>
  <si>
    <t>PTV+15</t>
  </si>
  <si>
    <t>Treated Volume</t>
  </si>
  <si>
    <t>+</t>
  </si>
  <si>
    <t>Skin</t>
  </si>
  <si>
    <t>PRV5 Optics</t>
  </si>
  <si>
    <t>Avoid INNER</t>
  </si>
  <si>
    <t>Avoid MID</t>
  </si>
  <si>
    <t>Avoid OUTER</t>
  </si>
  <si>
    <t>GTV 1</t>
  </si>
  <si>
    <t>GTV 2</t>
  </si>
  <si>
    <t>GTV 3</t>
  </si>
  <si>
    <t>GTV 4</t>
  </si>
  <si>
    <t>GTV 5</t>
  </si>
  <si>
    <t>HTV</t>
  </si>
  <si>
    <t>GTV PREOP</t>
  </si>
  <si>
    <t>PREOP</t>
  </si>
  <si>
    <t>GTV MRI</t>
  </si>
  <si>
    <t>MRI</t>
  </si>
  <si>
    <t>Bone Marrow</t>
  </si>
  <si>
    <t>Bowel Space</t>
  </si>
  <si>
    <t>CTV 45</t>
  </si>
  <si>
    <t>CTVp</t>
  </si>
  <si>
    <t>p</t>
  </si>
  <si>
    <t>FemoralHead L</t>
  </si>
  <si>
    <t>FemoralHead R</t>
  </si>
  <si>
    <t>ITV Vagina</t>
  </si>
  <si>
    <t>Vagina</t>
  </si>
  <si>
    <t>opt Bladder</t>
  </si>
  <si>
    <t>opt Bone Marrow</t>
  </si>
  <si>
    <t>opt Bowel Space</t>
  </si>
  <si>
    <t>PTV 45</t>
  </si>
  <si>
    <t>PTVp</t>
  </si>
  <si>
    <t>Vagina Empty</t>
  </si>
  <si>
    <t>Vagina Full</t>
  </si>
  <si>
    <t>opt PTV 45</t>
  </si>
  <si>
    <t>PTV 10mm</t>
  </si>
  <si>
    <t>m</t>
  </si>
  <si>
    <t>eval PTV 10mm</t>
  </si>
  <si>
    <t>PTV 15mm</t>
  </si>
  <si>
    <t>eval PTV 15mm</t>
  </si>
  <si>
    <t>HRV_CT</t>
  </si>
  <si>
    <t>HRV</t>
  </si>
  <si>
    <t>CT</t>
  </si>
  <si>
    <t>Sigmoid</t>
  </si>
  <si>
    <t>Lips</t>
  </si>
  <si>
    <t>GTV_RES</t>
  </si>
  <si>
    <t>RES</t>
  </si>
  <si>
    <t>CTV_HR</t>
  </si>
  <si>
    <t>HR</t>
  </si>
  <si>
    <t>CTV_IR</t>
  </si>
  <si>
    <t>IR</t>
  </si>
  <si>
    <t>Mandible</t>
  </si>
  <si>
    <t>Parotid L</t>
  </si>
  <si>
    <t>Parotid R</t>
  </si>
  <si>
    <t>Parotid B</t>
  </si>
  <si>
    <t>Submandibular B</t>
  </si>
  <si>
    <t>Submandibular L</t>
  </si>
  <si>
    <t>Submandibular R</t>
  </si>
  <si>
    <t>OAR1</t>
  </si>
  <si>
    <t>OAR2</t>
  </si>
  <si>
    <t>OAR3</t>
  </si>
  <si>
    <t>OAR4</t>
  </si>
  <si>
    <t>Avoid Post</t>
  </si>
  <si>
    <t>Avoid Shoulder</t>
  </si>
  <si>
    <t>PRV BR + op</t>
  </si>
  <si>
    <t>CTV 54 L</t>
  </si>
  <si>
    <t>CTV 54 R</t>
  </si>
  <si>
    <t>CTV 60 L</t>
  </si>
  <si>
    <t>CTV 60 R</t>
  </si>
  <si>
    <t>Larynx</t>
  </si>
  <si>
    <t>opt Larynx</t>
  </si>
  <si>
    <t>opt Parotid L</t>
  </si>
  <si>
    <t>opt Parotid R</t>
  </si>
  <si>
    <t>PTV 54</t>
  </si>
  <si>
    <t>eval PTV 54</t>
  </si>
  <si>
    <t>PTV 54 L</t>
  </si>
  <si>
    <t>opt PTV 54 L a</t>
  </si>
  <si>
    <t>a</t>
  </si>
  <si>
    <t>opt PTV 54 L b</t>
  </si>
  <si>
    <t>b</t>
  </si>
  <si>
    <t>opt PTV 54 L c</t>
  </si>
  <si>
    <t>c</t>
  </si>
  <si>
    <t>PTV 54 R</t>
  </si>
  <si>
    <t>opt PTV 54 R a</t>
  </si>
  <si>
    <t>opt PTV 54 R b</t>
  </si>
  <si>
    <t>opt PTV 54 R c</t>
  </si>
  <si>
    <t>PTV 60</t>
  </si>
  <si>
    <t>opt PTV 60 a</t>
  </si>
  <si>
    <t>opt PTV 60 b</t>
  </si>
  <si>
    <t>eval PTV 60</t>
  </si>
  <si>
    <t>eval PTV 66</t>
  </si>
  <si>
    <t>PRV8 SpinalCanal</t>
  </si>
  <si>
    <t>CTV 56 L</t>
  </si>
  <si>
    <t>CTV 56 R</t>
  </si>
  <si>
    <t>CTV 63 L</t>
  </si>
  <si>
    <t>CTV 63 R</t>
  </si>
  <si>
    <t>CTV 70</t>
  </si>
  <si>
    <t>PTV 56</t>
  </si>
  <si>
    <t>eval PTV 56</t>
  </si>
  <si>
    <t>PTV 56 L</t>
  </si>
  <si>
    <t>opt PTV 56 L a</t>
  </si>
  <si>
    <t>opt PTV 56 L b</t>
  </si>
  <si>
    <t>opt PTV 56 L c</t>
  </si>
  <si>
    <t>PTV 56 R</t>
  </si>
  <si>
    <t>opt PTV 56 R a</t>
  </si>
  <si>
    <t>opt PTV 56 R b</t>
  </si>
  <si>
    <t>opt PTV 56 R c</t>
  </si>
  <si>
    <t>PTV 63</t>
  </si>
  <si>
    <t>opt PTV 63 a</t>
  </si>
  <si>
    <t>opt PTV 63 b</t>
  </si>
  <si>
    <t>eval PTV 63</t>
  </si>
  <si>
    <t>PTV 70</t>
  </si>
  <si>
    <t>eval PTV 70</t>
  </si>
  <si>
    <t>opt PTV 70</t>
  </si>
  <si>
    <t>Femur R</t>
  </si>
  <si>
    <t>Femur L</t>
  </si>
  <si>
    <t>Tibia R</t>
  </si>
  <si>
    <t>Tibia L</t>
  </si>
  <si>
    <t>Fibula R</t>
  </si>
  <si>
    <t>Fibula L</t>
  </si>
  <si>
    <t>Trachea</t>
  </si>
  <si>
    <t>BronchialTree</t>
  </si>
  <si>
    <t>Aorta</t>
  </si>
  <si>
    <t>PulmonaryA</t>
  </si>
  <si>
    <t>Prox Bronch Zone</t>
  </si>
  <si>
    <t>PTV+20</t>
  </si>
  <si>
    <t>Body-PTV+20</t>
  </si>
  <si>
    <t>Dose105[%]-PTV</t>
  </si>
  <si>
    <t>Dose Region</t>
  </si>
  <si>
    <t>Oral Cavity</t>
  </si>
  <si>
    <t>Tongue</t>
  </si>
  <si>
    <t>Pharynx</t>
  </si>
  <si>
    <t>CTV Brain</t>
  </si>
  <si>
    <t>PTV 1</t>
  </si>
  <si>
    <t>PTV 2</t>
  </si>
  <si>
    <t>PTV 3</t>
  </si>
  <si>
    <t>PTV All</t>
  </si>
  <si>
    <t>All</t>
  </si>
  <si>
    <t>Cervix</t>
  </si>
  <si>
    <t>Uterus</t>
  </si>
  <si>
    <t>Ovary L</t>
  </si>
  <si>
    <t>Ovary R</t>
  </si>
  <si>
    <t>iliac crest L</t>
  </si>
  <si>
    <t>iliac crest R</t>
  </si>
  <si>
    <t>Hip L</t>
  </si>
  <si>
    <t>Hip R</t>
  </si>
  <si>
    <t>Pubic Symphysis</t>
  </si>
  <si>
    <t>Sacrum</t>
  </si>
  <si>
    <t>Genitalia</t>
  </si>
  <si>
    <t>Seminal Ves L</t>
  </si>
  <si>
    <t>Seminal Ves R</t>
  </si>
  <si>
    <t>Prostate</t>
  </si>
  <si>
    <t>Penile  bulb</t>
  </si>
  <si>
    <t>Node Sacral</t>
  </si>
  <si>
    <t>Sacral</t>
  </si>
  <si>
    <t>Node Obturator</t>
  </si>
  <si>
    <t>Obturator</t>
  </si>
  <si>
    <t>Node Int iliac</t>
  </si>
  <si>
    <t>Node com iliac</t>
  </si>
  <si>
    <t>com iliac</t>
  </si>
  <si>
    <t>Node com iliac L</t>
  </si>
  <si>
    <t>Node com iliac R</t>
  </si>
  <si>
    <t>Node ext iliac</t>
  </si>
  <si>
    <t>Iliac Vessels L</t>
  </si>
  <si>
    <t>Iliac Vessels</t>
  </si>
  <si>
    <t>Iliac Vessels R</t>
  </si>
  <si>
    <t>CTV 76</t>
  </si>
  <si>
    <t>CTV 46</t>
  </si>
  <si>
    <t>PTV 76</t>
  </si>
  <si>
    <t>PTV 46</t>
  </si>
  <si>
    <t>opt PTV 76</t>
  </si>
  <si>
    <t>opt PTV 46</t>
  </si>
  <si>
    <t>eval PTV 76</t>
  </si>
  <si>
    <t>eval PTV 46</t>
  </si>
  <si>
    <t>CTV 68</t>
  </si>
  <si>
    <t>CTV 56</t>
  </si>
  <si>
    <t>CTV 48</t>
  </si>
  <si>
    <t>PTV 68</t>
  </si>
  <si>
    <t>PTV 48</t>
  </si>
  <si>
    <t>opt PTV 56</t>
  </si>
  <si>
    <t>opt PTV 48</t>
  </si>
  <si>
    <t>opt PTV 48a</t>
  </si>
  <si>
    <t>opt PTV 48b</t>
  </si>
  <si>
    <t>Normal Tissue</t>
  </si>
  <si>
    <t>eval PTV 68</t>
  </si>
  <si>
    <t>eval PTV 48</t>
  </si>
  <si>
    <t>PTV70</t>
  </si>
  <si>
    <t>PTV48</t>
  </si>
  <si>
    <t>PRV4 Rectum</t>
  </si>
  <si>
    <t>PTV+4</t>
  </si>
  <si>
    <t>PTV 4</t>
  </si>
  <si>
    <t>PTV 5</t>
  </si>
  <si>
    <t>PTV int</t>
  </si>
  <si>
    <t>PTV int L</t>
  </si>
  <si>
    <t>PTV int R</t>
  </si>
  <si>
    <t>PTV low</t>
  </si>
  <si>
    <t>PTV low L</t>
  </si>
  <si>
    <t>opt PTV low L a</t>
  </si>
  <si>
    <t>opt PTV low L b</t>
  </si>
  <si>
    <t>opt PTV low L c</t>
  </si>
  <si>
    <t>PTV low R</t>
  </si>
  <si>
    <t>opt PTV low R a</t>
  </si>
  <si>
    <t>opt PTV low R b</t>
  </si>
  <si>
    <t>opt PTV low R c</t>
  </si>
  <si>
    <t>MesoRectum</t>
  </si>
  <si>
    <t>Renal hilum</t>
  </si>
  <si>
    <t>CTV 55</t>
  </si>
  <si>
    <t>CTV 60</t>
  </si>
  <si>
    <t>CTV 64</t>
  </si>
  <si>
    <t>PTV 55</t>
  </si>
  <si>
    <t>PTV 64</t>
  </si>
  <si>
    <t>Cauda Equina</t>
  </si>
  <si>
    <t>Sacral plexus</t>
  </si>
  <si>
    <t>SpinalCord</t>
  </si>
  <si>
    <t>PRV2 SpinalCord</t>
  </si>
  <si>
    <t>Liver-GTV</t>
  </si>
  <si>
    <t>PharynxConst</t>
  </si>
  <si>
    <t>ThecalSac</t>
  </si>
  <si>
    <t>PRV2 BrainStem</t>
  </si>
  <si>
    <t>Ureter</t>
  </si>
  <si>
    <t>CTV 36</t>
  </si>
  <si>
    <t>CTV 54</t>
  </si>
  <si>
    <t>PTV 36</t>
  </si>
  <si>
    <t>opt PTV 36</t>
  </si>
  <si>
    <t>opt PTV 54</t>
  </si>
  <si>
    <t>Body-PTV 36</t>
  </si>
  <si>
    <t>Body-Board</t>
  </si>
  <si>
    <t>PTV-Bladder</t>
  </si>
  <si>
    <t>opt PTV 59.4</t>
  </si>
  <si>
    <t>CTV 59.4</t>
  </si>
  <si>
    <t>PTV 59.4</t>
  </si>
  <si>
    <t>Anorectosigmoid</t>
  </si>
  <si>
    <t>Spinal Canal</t>
  </si>
  <si>
    <t>FieldGuide</t>
  </si>
  <si>
    <t>GTV 1  27Gy</t>
  </si>
  <si>
    <t>27Gy</t>
  </si>
  <si>
    <t>EVAL50</t>
  </si>
  <si>
    <t>PTV 1  27Gy</t>
  </si>
  <si>
    <t>PREV 50% BRAI</t>
  </si>
  <si>
    <t>PREV 90% BRAI</t>
  </si>
  <si>
    <t>Optic Nerve R</t>
  </si>
  <si>
    <t>Optic Nerve L</t>
  </si>
  <si>
    <t>Optic Chiasm</t>
  </si>
  <si>
    <t>GTV 1 32.5Gy</t>
  </si>
  <si>
    <t>32.5Gy</t>
  </si>
  <si>
    <t>PTV 1 32.5Gy</t>
  </si>
  <si>
    <t>BrachialPlexus R</t>
  </si>
  <si>
    <t>BrachialPlexus L</t>
  </si>
  <si>
    <t>PTV 48 Gy</t>
  </si>
  <si>
    <t>48 Gy</t>
  </si>
  <si>
    <t>PulmonaryArtery</t>
  </si>
  <si>
    <t>Dose 50[%] LUNR</t>
  </si>
  <si>
    <t>Dose 50[%] LUNL</t>
  </si>
  <si>
    <t>CouchSurface</t>
  </si>
  <si>
    <t>Support</t>
  </si>
  <si>
    <t>CouchInterior</t>
  </si>
  <si>
    <t>Dose 50[%]</t>
  </si>
  <si>
    <t>Dose 100[%]</t>
  </si>
  <si>
    <t>Dose 105[%]</t>
  </si>
  <si>
    <t>D50[%]-1350-C1</t>
  </si>
  <si>
    <t>D95[%]-2565-C1</t>
  </si>
  <si>
    <t>D95[%] BRAI2</t>
  </si>
  <si>
    <t>D50[%] BRAI2</t>
  </si>
  <si>
    <t>GTV1 27Gy</t>
  </si>
  <si>
    <t>GTV2 27Gy</t>
  </si>
  <si>
    <t>GTV3 27Gy</t>
  </si>
  <si>
    <t>GTV4 27Gy</t>
  </si>
  <si>
    <t>opt BrainStem</t>
  </si>
  <si>
    <t>PTV1 27Gy</t>
  </si>
  <si>
    <t>PTV2 27Gy</t>
  </si>
  <si>
    <t>PTV3 27Gy</t>
  </si>
  <si>
    <t>PTV4 27Gy</t>
  </si>
  <si>
    <t>GTV 1 27Gy</t>
  </si>
  <si>
    <t>GTV 2 27Gy</t>
  </si>
  <si>
    <t>GTV 3 27Gy</t>
  </si>
  <si>
    <t>GTV 4 27Gy</t>
  </si>
  <si>
    <t>GTV 5 24Gy</t>
  </si>
  <si>
    <t>24Gy</t>
  </si>
  <si>
    <t>PTV 1 27Gy</t>
  </si>
  <si>
    <t>PTV 2 27Gy</t>
  </si>
  <si>
    <t>PTV 3 27Gy</t>
  </si>
  <si>
    <t>PTV 4 27Gy</t>
  </si>
  <si>
    <t>PTV 5 24Gy</t>
  </si>
  <si>
    <t>GTV 6 27Gy</t>
  </si>
  <si>
    <t>PTV 6 27Gy</t>
  </si>
  <si>
    <t>PTV 5 25Gy</t>
  </si>
  <si>
    <t>25Gy</t>
  </si>
  <si>
    <t>PTV 4 25Gy</t>
  </si>
  <si>
    <t>PTV 3 25Gy</t>
  </si>
  <si>
    <t>PTV 2 25Gy</t>
  </si>
  <si>
    <t>PTV 1 25Gy</t>
  </si>
  <si>
    <t>GTV 5 25Gy</t>
  </si>
  <si>
    <t>GTV 4 25Gy</t>
  </si>
  <si>
    <t>GTV 3 25Gy</t>
  </si>
  <si>
    <t>GTV 2 25Gy</t>
  </si>
  <si>
    <t>GTV 1 25Gy</t>
  </si>
  <si>
    <t>Dose bob</t>
  </si>
  <si>
    <t>PTV 1 30Gy</t>
  </si>
  <si>
    <t>30Gy</t>
  </si>
  <si>
    <t>Cochlea LT</t>
  </si>
  <si>
    <t>Cochlea RT</t>
  </si>
  <si>
    <t>Dose 107[%]</t>
  </si>
  <si>
    <t>Dose 106[%]</t>
  </si>
  <si>
    <t>Dose 106[%]2</t>
  </si>
  <si>
    <t>Dose 106[%]3</t>
  </si>
  <si>
    <t>Dose 105[%]2</t>
  </si>
  <si>
    <t>Dose 105[%]3</t>
  </si>
  <si>
    <t>Brain Stem</t>
  </si>
  <si>
    <t>Dose 13.5GyBRAI</t>
  </si>
  <si>
    <t>Dose 18GyBRAI</t>
  </si>
  <si>
    <t>Dose 27GyBRAI</t>
  </si>
  <si>
    <t>GTV 1 27Gy/3#</t>
  </si>
  <si>
    <t>27Gy/3#</t>
  </si>
  <si>
    <t>GTV 2 27Gy/3#</t>
  </si>
  <si>
    <t>PTV 1 27Gy/3#</t>
  </si>
  <si>
    <t>PTV 2 27Gy/3#</t>
  </si>
  <si>
    <t>GTV 2 24Gy/3</t>
  </si>
  <si>
    <t>24Gy/3</t>
  </si>
  <si>
    <t>GTV 1 24Gy/3</t>
  </si>
  <si>
    <t>PTV 1 24Gy/3</t>
  </si>
  <si>
    <t>PTV 2 24Gy/3</t>
  </si>
  <si>
    <t>Dose 50[%] BRAI</t>
  </si>
  <si>
    <t>Dose 90[%] BRAI</t>
  </si>
  <si>
    <t>GTV 1 27Gy/3</t>
  </si>
  <si>
    <t>27Gy/3</t>
  </si>
  <si>
    <t>GTV 2 27Gy/3</t>
  </si>
  <si>
    <t>PTV 1 27Gy/3</t>
  </si>
  <si>
    <t>PTV 2 27Gy/3</t>
  </si>
  <si>
    <t>Dose 50[%]BRAI</t>
  </si>
  <si>
    <t>PREV MEDI D50</t>
  </si>
  <si>
    <t>PREV MEDI2 D50</t>
  </si>
  <si>
    <t>D105 BOB</t>
  </si>
  <si>
    <t>GTV All</t>
  </si>
  <si>
    <t>D106</t>
  </si>
  <si>
    <t>D50[%]- prev. C1</t>
  </si>
  <si>
    <t>D95[%]-prev. C1</t>
  </si>
  <si>
    <t>Conduit</t>
  </si>
  <si>
    <t>D108[%]-bob</t>
  </si>
  <si>
    <t>opt PTV all</t>
  </si>
  <si>
    <t>all</t>
  </si>
  <si>
    <t>opt PTV2</t>
  </si>
  <si>
    <t>opt PTV1</t>
  </si>
  <si>
    <t>Spinal Canal3</t>
  </si>
  <si>
    <t>GTV 8 27Gy</t>
  </si>
  <si>
    <t>GTV 7 27Gy</t>
  </si>
  <si>
    <t>PTV 5 27Gy</t>
  </si>
  <si>
    <t>PTV 3 18Gy</t>
  </si>
  <si>
    <t>18Gy</t>
  </si>
  <si>
    <t>GTV 5 27Gy</t>
  </si>
  <si>
    <t>GTV 3 18Gy</t>
  </si>
  <si>
    <t>PTV 7 27Gy</t>
  </si>
  <si>
    <t>PTV 8 27Gy</t>
  </si>
  <si>
    <t>GTV 9 27Gy</t>
  </si>
  <si>
    <t>PTV 9 27 Gy</t>
  </si>
  <si>
    <t>27 Gy</t>
  </si>
  <si>
    <t>PRV 5BrainStem</t>
  </si>
  <si>
    <t>Dose 105[%]4</t>
  </si>
  <si>
    <t>opt PTV 20</t>
  </si>
  <si>
    <t>Dose 90[%]BRAI</t>
  </si>
  <si>
    <t>Dose 100[%] LUNR</t>
  </si>
  <si>
    <t>Dose 105[%] LUNR</t>
  </si>
  <si>
    <t>PTV 3 30Gy</t>
  </si>
  <si>
    <t>PTV 2 30Gy</t>
  </si>
  <si>
    <t>GTV  3xxGy</t>
  </si>
  <si>
    <t>xxGy</t>
  </si>
  <si>
    <t>CTV 2</t>
  </si>
  <si>
    <t>CTV 3</t>
  </si>
  <si>
    <t>OPT PTV TOTAL</t>
  </si>
  <si>
    <t>OPT</t>
  </si>
  <si>
    <t>TOTAL</t>
  </si>
  <si>
    <t>opt PTV3</t>
  </si>
  <si>
    <t>PTV 1 27 Gy</t>
  </si>
  <si>
    <t>PTV 2 27 Gy</t>
  </si>
  <si>
    <t>CTV SPIT</t>
  </si>
  <si>
    <t>SPIT</t>
  </si>
  <si>
    <t>PTV SPIT</t>
  </si>
  <si>
    <t>GTV SPIT</t>
  </si>
  <si>
    <t>CTV ESOM</t>
  </si>
  <si>
    <t>ESOM</t>
  </si>
  <si>
    <t>GTV ESOM</t>
  </si>
  <si>
    <t>PTV ESOM</t>
  </si>
  <si>
    <t>opt PRV Cord</t>
  </si>
  <si>
    <t>BOB 105[%]</t>
  </si>
  <si>
    <t>bob 105[%]2</t>
  </si>
  <si>
    <t>opt Spinal Canal</t>
  </si>
  <si>
    <t>GTV 2 20Gy</t>
  </si>
  <si>
    <t>20Gy</t>
  </si>
  <si>
    <t>PTV 1 20Gy</t>
  </si>
  <si>
    <t>PTV 2 20Gy</t>
  </si>
  <si>
    <t>Dose 53.2GyTONS</t>
  </si>
  <si>
    <t>Dose 35GyTONS</t>
  </si>
  <si>
    <t>GTV ALL</t>
  </si>
  <si>
    <t>ALL</t>
  </si>
  <si>
    <t>Avoid a</t>
  </si>
  <si>
    <t>Dose 90[%]RIBL</t>
  </si>
  <si>
    <t>Dose 50[%]RIBL</t>
  </si>
  <si>
    <t>1.0cm Bolus40x40</t>
  </si>
  <si>
    <t>Body - Bolus</t>
  </si>
  <si>
    <t>PTV 2 21Gy</t>
  </si>
  <si>
    <t>21Gy</t>
  </si>
  <si>
    <t>PTV 3 21Gy</t>
  </si>
  <si>
    <t>PTV 4 21Gy</t>
  </si>
  <si>
    <t>1.0CM bolus</t>
  </si>
  <si>
    <t>OralCavity</t>
  </si>
  <si>
    <t>PREV 50% FACR</t>
  </si>
  <si>
    <t>opt CTV</t>
  </si>
  <si>
    <t>Dose 107% bob</t>
  </si>
  <si>
    <t>Dose 105% BOB</t>
  </si>
  <si>
    <t>PRV5 Brain Stem</t>
  </si>
  <si>
    <t>PTV40/15</t>
  </si>
  <si>
    <t>40/15</t>
  </si>
  <si>
    <t>GTVpreop</t>
  </si>
  <si>
    <t>preop</t>
  </si>
  <si>
    <t>Parotid_L preop</t>
  </si>
  <si>
    <t>Dose 50[%]CHKL</t>
  </si>
  <si>
    <t>Dose 90[%]CHKL</t>
  </si>
  <si>
    <t>Dose 50[%]CHKR</t>
  </si>
  <si>
    <t>Dose 90[%]CHKR</t>
  </si>
  <si>
    <t>Dose 95[%]</t>
  </si>
  <si>
    <t>Dose 5525[cGy]</t>
  </si>
  <si>
    <t>chkl/r 6500</t>
  </si>
  <si>
    <t>CTV40/15</t>
  </si>
  <si>
    <t>CTV60/30</t>
  </si>
  <si>
    <t>60/30</t>
  </si>
  <si>
    <t>PTV60/30</t>
  </si>
  <si>
    <t>CTV54/30</t>
  </si>
  <si>
    <t>54/30</t>
  </si>
  <si>
    <t>PTV54/30</t>
  </si>
  <si>
    <t>Dose 105[%]1</t>
  </si>
  <si>
    <t>Dose 2000[cGy]</t>
  </si>
  <si>
    <t>PharynxConstrict</t>
  </si>
  <si>
    <t>Thyroid</t>
  </si>
  <si>
    <t>CTV 64 R</t>
  </si>
  <si>
    <t>ALL PTV</t>
  </si>
  <si>
    <t>MucosalAvoidance</t>
  </si>
  <si>
    <t>GTV+1cm</t>
  </si>
  <si>
    <t>PTV 48 R</t>
  </si>
  <si>
    <t>PTV 64 R</t>
  </si>
  <si>
    <t>CTV 48 R</t>
  </si>
  <si>
    <t>Wire</t>
  </si>
  <si>
    <t>opt PTV 64 R</t>
  </si>
  <si>
    <t>opt PTV 48 R b</t>
  </si>
  <si>
    <t>opt PTV 48 R a</t>
  </si>
  <si>
    <t>1.0cm Bolus</t>
  </si>
  <si>
    <t>Dose 4900[cGy]</t>
  </si>
  <si>
    <t>Dose 106.5[%]</t>
  </si>
  <si>
    <t>Dose 5100[cGy]</t>
  </si>
  <si>
    <t>IVC</t>
  </si>
  <si>
    <t>Body-PTV+.8</t>
  </si>
  <si>
    <t>PTV30.8/28</t>
  </si>
  <si>
    <t>30.8/28</t>
  </si>
  <si>
    <t>Eyes</t>
  </si>
  <si>
    <t>Lenses</t>
  </si>
  <si>
    <t>PREV LUNB 10Gy</t>
  </si>
  <si>
    <t>D105</t>
  </si>
  <si>
    <t>D95</t>
  </si>
  <si>
    <t>PREV FEML 10Gy</t>
  </si>
  <si>
    <t>D95[%]-LUNR</t>
  </si>
  <si>
    <t>D50[%]-LUNR</t>
  </si>
  <si>
    <t>opt PTVb</t>
  </si>
  <si>
    <t>opt PTVa</t>
  </si>
  <si>
    <t>Esoph+margin 1.5</t>
  </si>
  <si>
    <t>opt PTVc</t>
  </si>
  <si>
    <t>Esoph+margin3.0</t>
  </si>
  <si>
    <t>opt PTVa2</t>
  </si>
  <si>
    <t>opt PTVb2</t>
  </si>
  <si>
    <t>Dose2700[cGyBRAI</t>
  </si>
  <si>
    <t>Dose1350[cGyBRAI</t>
  </si>
  <si>
    <t>Dose 30[Gy]BRAI2</t>
  </si>
  <si>
    <t>Dose 50[%]BRAI2</t>
  </si>
  <si>
    <t>GTV 1 24Gy/3#</t>
  </si>
  <si>
    <t>24Gy/3#</t>
  </si>
  <si>
    <t>GTV 2 21Gy/3#</t>
  </si>
  <si>
    <t>21Gy/3#</t>
  </si>
  <si>
    <t>GTV 3 24Gy/3#</t>
  </si>
  <si>
    <t>GTV 4 24Gy/3#</t>
  </si>
  <si>
    <t>GTV 5 24Gy/3#</t>
  </si>
  <si>
    <t>PTV 1 24Gy/3#</t>
  </si>
  <si>
    <t>PTV 2 21Gy/3#</t>
  </si>
  <si>
    <t>PTV 3 24Gy/3#</t>
  </si>
  <si>
    <t>PTV 4 24Gy/3#</t>
  </si>
  <si>
    <t>PTV 5 24Gy/3#</t>
  </si>
  <si>
    <t>PREV ABDL 18Gy</t>
  </si>
  <si>
    <t>Air</t>
  </si>
  <si>
    <t>CTV48</t>
  </si>
  <si>
    <t>CTV68</t>
  </si>
  <si>
    <t>opt PTV48</t>
  </si>
  <si>
    <t>opt PTV48a</t>
  </si>
  <si>
    <t>opt PTV48b</t>
  </si>
  <si>
    <t>PTV56</t>
  </si>
  <si>
    <t>PTV68</t>
  </si>
  <si>
    <t>opt PTV56</t>
  </si>
  <si>
    <t>Dose 105% bob</t>
  </si>
  <si>
    <t>Dose 80[%]</t>
  </si>
  <si>
    <t>Dose 4560[cGy]</t>
  </si>
  <si>
    <t>Dose 5040[cGy]</t>
  </si>
  <si>
    <t>opt PTV48c</t>
  </si>
  <si>
    <t>GTV 1 24Gy</t>
  </si>
  <si>
    <t>GTV 2 24Gy</t>
  </si>
  <si>
    <t>PTV 1 24Gy</t>
  </si>
  <si>
    <t>PTV 2 24Gy</t>
  </si>
  <si>
    <t>50% BRAI</t>
  </si>
  <si>
    <t>90% BRAI</t>
  </si>
  <si>
    <t>50% BRAI2</t>
  </si>
  <si>
    <t>90% BRAI2</t>
  </si>
  <si>
    <t>50[%]BRAI3</t>
  </si>
  <si>
    <t>90[%]BRAI3</t>
  </si>
  <si>
    <t>Dose 110[%]</t>
  </si>
  <si>
    <t>Body-PTV 1</t>
  </si>
  <si>
    <t>PTVTL20/5</t>
  </si>
  <si>
    <t>Dose800[cGy]C1+2</t>
  </si>
  <si>
    <t>Dose 20[Gy]C1+C2</t>
  </si>
  <si>
    <t>Dose 28[Gy]C1+C2</t>
  </si>
  <si>
    <t>PTV20/5</t>
  </si>
  <si>
    <t>20/5</t>
  </si>
  <si>
    <t>PTV12/5</t>
  </si>
  <si>
    <t>AvoidCord b 12Gy</t>
  </si>
  <si>
    <t>AvoidCord a 20Gy</t>
  </si>
  <si>
    <t>PRV Cord b+3mm</t>
  </si>
  <si>
    <t>Dose 105[%] bob</t>
  </si>
  <si>
    <t>PTV 1 18Gy</t>
  </si>
  <si>
    <t>PTV 2 18Gy</t>
  </si>
  <si>
    <t>PTV 4 18Gy</t>
  </si>
  <si>
    <t>PTV 5 21Gy</t>
  </si>
  <si>
    <t>PTV 6 21Gy</t>
  </si>
  <si>
    <t>GTV 7 21 Gy</t>
  </si>
  <si>
    <t>21 Gy</t>
  </si>
  <si>
    <t>GTV 8</t>
  </si>
  <si>
    <t>GTV 9</t>
  </si>
  <si>
    <t>GTV 10</t>
  </si>
  <si>
    <t>GTV 11</t>
  </si>
  <si>
    <t>PTV 7 21Gy</t>
  </si>
  <si>
    <t>PTV 8 21Gy</t>
  </si>
  <si>
    <t>PTV 9 21Gy</t>
  </si>
  <si>
    <t>PTV 10 21Gy</t>
  </si>
  <si>
    <t>PTV 11 21Gy</t>
  </si>
  <si>
    <t>GTV 12</t>
  </si>
  <si>
    <t>PTV 12 21Gy</t>
  </si>
  <si>
    <t>Dose 50[%] bob</t>
  </si>
  <si>
    <t>Dose 50[%]LUNL</t>
  </si>
  <si>
    <t>Dose 100[%]LUNL</t>
  </si>
  <si>
    <t>Dose 50[%]SCNB</t>
  </si>
  <si>
    <t>Dose 95[%]SCNB</t>
  </si>
  <si>
    <t>Great Vessels</t>
  </si>
  <si>
    <t>Field Margin</t>
  </si>
  <si>
    <t>PTV 4 24Gy</t>
  </si>
  <si>
    <t>PTV mod</t>
  </si>
  <si>
    <t>PRV2 SpinalCanal</t>
  </si>
  <si>
    <t>Spinal Cord</t>
  </si>
  <si>
    <t>Dose 90[%] BRAI2</t>
  </si>
  <si>
    <t>Kidney L1</t>
  </si>
  <si>
    <t>Kidney R1</t>
  </si>
  <si>
    <t>AIR</t>
  </si>
  <si>
    <t>GTV 2 24Gy/3#</t>
  </si>
  <si>
    <t>Implant</t>
  </si>
  <si>
    <t>SVC</t>
  </si>
  <si>
    <t>Dose 90[%]LUNR</t>
  </si>
  <si>
    <t>Dose 50[%]LUNR</t>
  </si>
  <si>
    <t>PTV 16Gy</t>
  </si>
  <si>
    <t>16Gy</t>
  </si>
  <si>
    <t>1.0CM Bolus</t>
  </si>
  <si>
    <t>Dose 90[%]BRAI3</t>
  </si>
  <si>
    <t>Dose 50[%]BRAI3</t>
  </si>
  <si>
    <t>GTV  3 27Gy</t>
  </si>
  <si>
    <t>GTV  2  27Gy</t>
  </si>
  <si>
    <t>GTV  1  27Gy</t>
  </si>
  <si>
    <t>PTV  1  27Gy</t>
  </si>
  <si>
    <t>PTV  2  27Gy</t>
  </si>
  <si>
    <t>Dose 90[%]BRAI2</t>
  </si>
  <si>
    <t>GTV 1   27Gy</t>
  </si>
  <si>
    <t>PTV 1   27Gy</t>
  </si>
  <si>
    <t>GTV 2  27Gy</t>
  </si>
  <si>
    <t>PTV 2  27Gy</t>
  </si>
  <si>
    <t>PTV 2 24Gy/3#</t>
  </si>
  <si>
    <t>GTV 1 35Gy</t>
  </si>
  <si>
    <t>35Gy</t>
  </si>
  <si>
    <t>PTV 1 35Gy</t>
  </si>
  <si>
    <t>PREV 50 BRAI2</t>
  </si>
  <si>
    <t>PREV 90 BRAI4</t>
  </si>
  <si>
    <t>PREV 50 BRAI4</t>
  </si>
  <si>
    <t>PREV 90 BRAI3</t>
  </si>
  <si>
    <t>PREV 50 BRAI3</t>
  </si>
  <si>
    <t>PREV 90 BRAI2</t>
  </si>
  <si>
    <t>PREV 50 BRAI5</t>
  </si>
  <si>
    <t>PREV 90 BRAI5</t>
  </si>
  <si>
    <t>Dose 15Gy SUM</t>
  </si>
  <si>
    <t>Dose 20Gy SUM</t>
  </si>
  <si>
    <t>Dose 25Gy SUM</t>
  </si>
  <si>
    <t>Dose 30Gy SUM</t>
  </si>
  <si>
    <t>opt PTV 60</t>
  </si>
  <si>
    <t>Normal Tissus</t>
  </si>
  <si>
    <t>Dose 50[%]SCPB</t>
  </si>
  <si>
    <t>CTV 54 R2</t>
  </si>
  <si>
    <t>PTV 54 R2</t>
  </si>
  <si>
    <t>Dose 4500[cGy]</t>
  </si>
  <si>
    <t>CIED</t>
  </si>
  <si>
    <t>PTV1+20</t>
  </si>
  <si>
    <t>ITV1</t>
  </si>
  <si>
    <t>GTV1 MIP</t>
  </si>
  <si>
    <t>GTV1 AVE</t>
  </si>
  <si>
    <t>GTV1 4D50</t>
  </si>
  <si>
    <t>GTV1 4D0</t>
  </si>
  <si>
    <t>Dose105[%]-PTV1</t>
  </si>
  <si>
    <t>Body-PTV1+20</t>
  </si>
  <si>
    <t>GTV2 AVE</t>
  </si>
  <si>
    <t>GTV2 MIP</t>
  </si>
  <si>
    <t>GTV2 4D0</t>
  </si>
  <si>
    <t>GTV2 4D50</t>
  </si>
  <si>
    <t>IGTV2</t>
  </si>
  <si>
    <t>ITV2</t>
  </si>
  <si>
    <t>PTV2</t>
  </si>
  <si>
    <t>PTV2+20</t>
  </si>
  <si>
    <t>Body-PTV2+20</t>
  </si>
  <si>
    <t>Dose 50[%]LUNR2</t>
  </si>
  <si>
    <t>Dose 100[%]LUNR2</t>
  </si>
  <si>
    <t>Dose 105[%]LUNR2</t>
  </si>
  <si>
    <t>Dose 50[%]LUNR1</t>
  </si>
  <si>
    <t>Dose 100[%]LUNR1</t>
  </si>
  <si>
    <t>Dose 105[%]LUNR1</t>
  </si>
  <si>
    <t>Dose105[%]-PTV2</t>
  </si>
  <si>
    <t>Beam Edge Guide</t>
  </si>
  <si>
    <t>Beam Guide-Lt CW</t>
  </si>
  <si>
    <t>Dose 50[%]LARY</t>
  </si>
  <si>
    <t>Dose 90[%]LARY</t>
  </si>
  <si>
    <t>BrachialPlexus_L</t>
  </si>
  <si>
    <t>PTVmod</t>
  </si>
  <si>
    <t>SacralPlexus</t>
  </si>
  <si>
    <t>R SacralPlexus</t>
  </si>
  <si>
    <t>Dose 105[%] BOB</t>
  </si>
  <si>
    <t>PTV eval</t>
  </si>
  <si>
    <t>Dose 107% BOB</t>
  </si>
  <si>
    <t>Dose 50[%]SPIT2</t>
  </si>
  <si>
    <t>Dose 50[%]SPIT</t>
  </si>
  <si>
    <t>Dose 1400[cGy]</t>
  </si>
  <si>
    <t>Dose 2800[cGy]</t>
  </si>
  <si>
    <t>PTV 2 35Gy</t>
  </si>
  <si>
    <t>optPTVcanal</t>
  </si>
  <si>
    <t>canal</t>
  </si>
  <si>
    <t>Dose 90[%]LUNL</t>
  </si>
  <si>
    <t>PTVmod-canal</t>
  </si>
  <si>
    <t>Dose 110[%]2</t>
  </si>
  <si>
    <t>Dose 106[%]BOB</t>
  </si>
  <si>
    <t>Dose 90[%]</t>
  </si>
  <si>
    <t>PREV RIBL D50</t>
  </si>
  <si>
    <t>CTV Nodes</t>
  </si>
  <si>
    <t>N</t>
  </si>
  <si>
    <t>odes</t>
  </si>
  <si>
    <t>PTV Nodes</t>
  </si>
  <si>
    <t>sc ptv</t>
  </si>
  <si>
    <t>0.5cm Bolus</t>
  </si>
  <si>
    <t>CIED PRV</t>
  </si>
  <si>
    <t>D4650[cGy]-bob</t>
  </si>
  <si>
    <t>Dose 107[%]-BOB</t>
  </si>
  <si>
    <t>spill kd</t>
  </si>
  <si>
    <t>PTV 24</t>
  </si>
  <si>
    <t>Dose 50(%)</t>
  </si>
  <si>
    <t>Dose 100(%)</t>
  </si>
  <si>
    <t>Dose 105(%)</t>
  </si>
  <si>
    <t>Ring 5</t>
  </si>
  <si>
    <t>PTV LT</t>
  </si>
  <si>
    <t>LT</t>
  </si>
  <si>
    <t>opt PTV LT</t>
  </si>
  <si>
    <t>ITV LT</t>
  </si>
  <si>
    <t>IGTV LT</t>
  </si>
  <si>
    <t>opt PTV RT</t>
  </si>
  <si>
    <t>RT</t>
  </si>
  <si>
    <t>IGTV RT</t>
  </si>
  <si>
    <t>ITV RT</t>
  </si>
  <si>
    <t>PTV RT</t>
  </si>
  <si>
    <t>Dose 109[%]</t>
  </si>
  <si>
    <t>PREV D50</t>
  </si>
  <si>
    <t>Reference</t>
  </si>
  <si>
    <t>PTV eval cavity</t>
  </si>
  <si>
    <t>0.5cm bolus</t>
  </si>
  <si>
    <t>CTV 63</t>
  </si>
  <si>
    <t>GTVn-copy</t>
  </si>
  <si>
    <t>copy</t>
  </si>
  <si>
    <t>GTVp</t>
  </si>
  <si>
    <t>LN intermediate</t>
  </si>
  <si>
    <t>opt PTV 63 L a</t>
  </si>
  <si>
    <t>opt PTV 63 L b</t>
  </si>
  <si>
    <t>opt PTV 63 R b</t>
  </si>
  <si>
    <t>Dose 5985cGy bob</t>
  </si>
  <si>
    <t>Dose 106% bob</t>
  </si>
  <si>
    <t>D90[%]-AXIR prev</t>
  </si>
  <si>
    <t>D50[%]-AXIR prev</t>
  </si>
  <si>
    <t>D50[%]-C2-RIBL</t>
  </si>
  <si>
    <t>D50[%]-C2-RIBR</t>
  </si>
  <si>
    <t>Humerus R</t>
  </si>
  <si>
    <t>Humerus L</t>
  </si>
  <si>
    <t>opt PTV b</t>
  </si>
  <si>
    <t>opt PTV a</t>
  </si>
  <si>
    <t>Body-PTV 54</t>
  </si>
  <si>
    <t>Contrast/air</t>
  </si>
  <si>
    <t>anal can+sphinct</t>
  </si>
  <si>
    <t>Ischiorectal fos</t>
  </si>
  <si>
    <t>CTV prim</t>
  </si>
  <si>
    <t>rim</t>
  </si>
  <si>
    <t>CTV Iliac</t>
  </si>
  <si>
    <t>Iliac</t>
  </si>
  <si>
    <t>Int iliac ves</t>
  </si>
  <si>
    <t>eval PTV 36</t>
  </si>
  <si>
    <t>Dose 105[%]BOB</t>
  </si>
  <si>
    <t>Dose 105[%].</t>
  </si>
  <si>
    <t>Cricoid</t>
  </si>
  <si>
    <t>Body-PTV54+1</t>
  </si>
  <si>
    <t>CTV59.4</t>
  </si>
  <si>
    <t>CTVN</t>
  </si>
  <si>
    <t>PTV59.4</t>
  </si>
  <si>
    <t>1cm RtGroinBolus</t>
  </si>
  <si>
    <t>1cm LtGroinBolus</t>
  </si>
  <si>
    <t>Body-PTV 36+1</t>
  </si>
  <si>
    <t>PET GT</t>
  </si>
  <si>
    <t>1cm Bolus RGroin</t>
  </si>
  <si>
    <t>1cm Bolus LGroin</t>
  </si>
  <si>
    <t>Lens</t>
  </si>
  <si>
    <t>GTV 1 30Gy/5#</t>
  </si>
  <si>
    <t>30Gy/5#</t>
  </si>
  <si>
    <t>GTV 2 22.5Gy/5#</t>
  </si>
  <si>
    <t>22.5Gy/5#</t>
  </si>
  <si>
    <t>GTV 3 22.5Gy/5#</t>
  </si>
  <si>
    <t>GTV 4 22.5Gy/5#</t>
  </si>
  <si>
    <t>GTV 5 22.5Gy/5#</t>
  </si>
  <si>
    <t>PTV 1 30Gy/5#</t>
  </si>
  <si>
    <t>PTV 2 22.5Gy/5#</t>
  </si>
  <si>
    <t>PTV 3 22.5Gy/5#</t>
  </si>
  <si>
    <t>PTV 4 22.5Gy/5#</t>
  </si>
  <si>
    <t>PTV 5 22.5Gy/5#</t>
  </si>
  <si>
    <t>Dose 98[%]</t>
  </si>
  <si>
    <t>CTV56</t>
  </si>
  <si>
    <t>Vessels</t>
  </si>
  <si>
    <t>D5320 BOB</t>
  </si>
  <si>
    <t>D4560 BOB</t>
  </si>
  <si>
    <t>BrachialPlexus_R</t>
  </si>
  <si>
    <t>CTVn1L</t>
  </si>
  <si>
    <t>CTVn70</t>
  </si>
  <si>
    <t>CTVnL70</t>
  </si>
  <si>
    <t>GTVn1L</t>
  </si>
  <si>
    <t>GTVnL</t>
  </si>
  <si>
    <t>PTVn1L 70</t>
  </si>
  <si>
    <t>PTVn70</t>
  </si>
  <si>
    <t>PTVnL70</t>
  </si>
  <si>
    <t>Beam-edge guide</t>
  </si>
  <si>
    <t>Beam edge guide</t>
  </si>
  <si>
    <t>GTV 20/5</t>
  </si>
  <si>
    <t>PTV 20/5</t>
  </si>
  <si>
    <t>GTV 5 15Gy/3#</t>
  </si>
  <si>
    <t>15Gy/3#</t>
  </si>
  <si>
    <t>PTV 5 15Gy/3#</t>
  </si>
  <si>
    <t>CTV CHWL</t>
  </si>
  <si>
    <t>CHWL</t>
  </si>
  <si>
    <t>CTV INGL</t>
  </si>
  <si>
    <t>INGL</t>
  </si>
  <si>
    <t>GTV CHWL</t>
  </si>
  <si>
    <t>GTV INGL</t>
  </si>
  <si>
    <t>PTV CHWL</t>
  </si>
  <si>
    <t>PTV INGL</t>
  </si>
  <si>
    <t>opt PTV CHWL</t>
  </si>
  <si>
    <t>CTV 48 L</t>
  </si>
  <si>
    <t>CTV 64 L</t>
  </si>
  <si>
    <t>GTV-DiagCT</t>
  </si>
  <si>
    <t>DiagCT</t>
  </si>
  <si>
    <t>opt PTV 48 L a</t>
  </si>
  <si>
    <t>opt PTV 48 L b</t>
  </si>
  <si>
    <t>PTV 60 L eval</t>
  </si>
  <si>
    <t>PTV 48 L</t>
  </si>
  <si>
    <t>PTV 60 L</t>
  </si>
  <si>
    <t>PTV 64 L</t>
  </si>
  <si>
    <t>PREV 50% TEML</t>
  </si>
  <si>
    <t>Carotid L</t>
  </si>
  <si>
    <t>Mucosaavoid</t>
  </si>
  <si>
    <t>opt PTV 64</t>
  </si>
  <si>
    <t>opt PTV 48 L c</t>
  </si>
  <si>
    <t>1.0 Bolus</t>
  </si>
  <si>
    <t>Dose 106[%].</t>
  </si>
  <si>
    <t>0.5Bolus</t>
  </si>
  <si>
    <t>Dose 105.5[%]</t>
  </si>
  <si>
    <t>Dose 5136[cGy]</t>
  </si>
  <si>
    <t>Surgical Bed</t>
  </si>
  <si>
    <t>PREV 25.8Gy</t>
  </si>
  <si>
    <t>Dose 104.5[%]</t>
  </si>
  <si>
    <t>60Gy SUM bob</t>
  </si>
  <si>
    <t>Dose 5900[cGy]</t>
  </si>
  <si>
    <t>Dose 5800[cGy]</t>
  </si>
  <si>
    <t>PREV 23Gy</t>
  </si>
  <si>
    <t>Dose 104[%]</t>
  </si>
  <si>
    <t>Dose 65Gy SUM</t>
  </si>
  <si>
    <t>Dose 6250[cGy]</t>
  </si>
  <si>
    <t>Hernia sac-bowel</t>
  </si>
  <si>
    <t>D5040 BOB</t>
  </si>
  <si>
    <t>PTV66</t>
  </si>
  <si>
    <t>PTV46</t>
  </si>
  <si>
    <t>opt PTV46</t>
  </si>
  <si>
    <t>eval PTV46</t>
  </si>
  <si>
    <t>CTV66</t>
  </si>
  <si>
    <t>CTV46</t>
  </si>
  <si>
    <t>PROS D50</t>
  </si>
  <si>
    <t>GTV comb</t>
  </si>
  <si>
    <t>comb</t>
  </si>
  <si>
    <t>PTV eval (abd)</t>
  </si>
  <si>
    <t>0.5 cm Bolus</t>
  </si>
  <si>
    <t>Wires</t>
  </si>
  <si>
    <t>opt Optic Chiasm</t>
  </si>
  <si>
    <t>PREV 90% IDL</t>
  </si>
  <si>
    <t>PTV 1 24 Gy</t>
  </si>
  <si>
    <t>24 Gy</t>
  </si>
  <si>
    <t>PTV 2 24 Gy</t>
  </si>
  <si>
    <t>Metal Rods</t>
  </si>
  <si>
    <t>CTVn66</t>
  </si>
  <si>
    <t>PTVn66</t>
  </si>
  <si>
    <t>opt PTVn66</t>
  </si>
  <si>
    <t>Avoid X</t>
  </si>
  <si>
    <t>Dose 107[%]3</t>
  </si>
  <si>
    <t>Dose 6000[cGy]3</t>
  </si>
  <si>
    <t>Dose 106.5[%]3</t>
  </si>
  <si>
    <t>BOB 1</t>
  </si>
  <si>
    <t>CTV 5500</t>
  </si>
  <si>
    <t>opt PTV 5500</t>
  </si>
  <si>
    <t>PTV 5500</t>
  </si>
  <si>
    <t>PRVBR + op</t>
  </si>
  <si>
    <t>CTV2</t>
  </si>
  <si>
    <t>optCTV</t>
  </si>
  <si>
    <t>PTV 55/20</t>
  </si>
  <si>
    <t>55/20</t>
  </si>
  <si>
    <t>CTV_Node_14.4/8</t>
  </si>
  <si>
    <t>ode</t>
  </si>
  <si>
    <t>Uterus_Vagina</t>
  </si>
  <si>
    <t>PTV_Node_14.4/8</t>
  </si>
  <si>
    <t>opt PTV+2mm</t>
  </si>
  <si>
    <t>Dose 50[%]SPTL</t>
  </si>
  <si>
    <t>Dose 90[%]SPTL</t>
  </si>
  <si>
    <t>Wire - Top</t>
  </si>
  <si>
    <t>Wire - Mid</t>
  </si>
  <si>
    <t>Wire - Bottom</t>
  </si>
  <si>
    <t>Dose 104.5[%]3</t>
  </si>
  <si>
    <t>D107[%]-BOB</t>
  </si>
  <si>
    <t>PTV 1 21Gy</t>
  </si>
  <si>
    <t>All PTV</t>
  </si>
  <si>
    <t>eval PTV68</t>
  </si>
  <si>
    <t>eval PTV48</t>
  </si>
  <si>
    <t>PTV Nodes Eval</t>
  </si>
  <si>
    <t>Vessels R</t>
  </si>
  <si>
    <t>Vessels L</t>
  </si>
  <si>
    <t>Dose 6300[cGy]</t>
  </si>
  <si>
    <t>Dose 5700[cGy]</t>
  </si>
  <si>
    <t>Dose 6420[cGy]</t>
  </si>
  <si>
    <t>D107.5[%]-BOB</t>
  </si>
  <si>
    <t>PTV 50</t>
  </si>
  <si>
    <t>eval PTV 50</t>
  </si>
  <si>
    <t>CTV70</t>
  </si>
  <si>
    <t>CTV 50</t>
  </si>
  <si>
    <t>BBs</t>
  </si>
  <si>
    <t>HTV+1cm</t>
  </si>
  <si>
    <t>eval PTV 50 NEW</t>
  </si>
  <si>
    <t>NEW</t>
  </si>
  <si>
    <t>Cold spot boost</t>
  </si>
  <si>
    <t>brachiocephalic</t>
  </si>
  <si>
    <t>subclavian Vein</t>
  </si>
  <si>
    <t>PTVn_Ax_R</t>
  </si>
  <si>
    <t>PTV_Lump_EVA_R</t>
  </si>
  <si>
    <t>Lump</t>
  </si>
  <si>
    <t>PTV_Lump_R</t>
  </si>
  <si>
    <t>PTVn_IMN_R</t>
  </si>
  <si>
    <t>CTVn_SCL_R</t>
  </si>
  <si>
    <t>LUNG_R</t>
  </si>
  <si>
    <t>LUNG_L</t>
  </si>
  <si>
    <t>LUNG_B</t>
  </si>
  <si>
    <t>CTVn_Ax_R</t>
  </si>
  <si>
    <t>CTV_Lump_R</t>
  </si>
  <si>
    <t>CTV_WB_R</t>
  </si>
  <si>
    <t>BREAST_L</t>
  </si>
  <si>
    <t>CTVn_IMN_R</t>
  </si>
  <si>
    <t>PTV_WB_R</t>
  </si>
  <si>
    <t>PTV_WB_EVA_R</t>
  </si>
  <si>
    <t>PTVn_SCL_R</t>
  </si>
  <si>
    <t>Node iliac R</t>
  </si>
  <si>
    <t>iliac</t>
  </si>
  <si>
    <t>Node iliac L</t>
  </si>
  <si>
    <t>PTV30</t>
  </si>
  <si>
    <t>CTV30</t>
  </si>
  <si>
    <t>1cm bolus</t>
  </si>
  <si>
    <t>CTV 20</t>
  </si>
  <si>
    <t>PREV 35GY TONG</t>
  </si>
  <si>
    <t>Anastomosis</t>
  </si>
  <si>
    <t>Dose 107[%]2</t>
  </si>
  <si>
    <t>Dose 120[%]</t>
  </si>
  <si>
    <t>Dose 108[%]</t>
  </si>
  <si>
    <t>CTVn 70</t>
  </si>
  <si>
    <t>PTV 63 Gy</t>
  </si>
  <si>
    <t>63 Gy</t>
  </si>
  <si>
    <t>Dose 56Gy</t>
  </si>
  <si>
    <t>opt PTV 63</t>
  </si>
  <si>
    <t>Dose 6000[cGy]</t>
  </si>
  <si>
    <t>LtShoulderProsth</t>
  </si>
  <si>
    <t>Dose 6000[cGy]2</t>
  </si>
  <si>
    <t>Dose X</t>
  </si>
  <si>
    <t>Air/Contrast</t>
  </si>
  <si>
    <t>Screws</t>
  </si>
  <si>
    <t>IGTV 60Gy/8#</t>
  </si>
  <si>
    <t>60Gy/8#</t>
  </si>
  <si>
    <t>PTV 60Gy/8#</t>
  </si>
  <si>
    <t>Bronchial Tree</t>
  </si>
  <si>
    <t>D50[%]-BRER prev</t>
  </si>
  <si>
    <t>D50[%]-BOOS prev</t>
  </si>
  <si>
    <t>IGTV R</t>
  </si>
  <si>
    <t>ITV R</t>
  </si>
  <si>
    <t>IGTV L</t>
  </si>
  <si>
    <t>ITV L</t>
  </si>
  <si>
    <t>PTV L+20</t>
  </si>
  <si>
    <t>Body-PTV L+20</t>
  </si>
  <si>
    <t>Dose105[%]-PTV L</t>
  </si>
  <si>
    <t>eval PTV 39/13</t>
  </si>
  <si>
    <t>39/13</t>
  </si>
  <si>
    <t>opt PTV 39 -2</t>
  </si>
  <si>
    <t>-</t>
  </si>
  <si>
    <t>PREV 50% SPIT</t>
  </si>
  <si>
    <t>PREV 90% SPIT</t>
  </si>
  <si>
    <t>PREV50% SPIT</t>
  </si>
  <si>
    <t>Dose 50[%] SPIT</t>
  </si>
  <si>
    <t>PREV 35Gy NASO</t>
  </si>
  <si>
    <t>PREV 66.5Gy NASO</t>
  </si>
  <si>
    <t>Dose 106% BOB</t>
  </si>
  <si>
    <t>Iliac Vessels B</t>
  </si>
  <si>
    <t>B</t>
  </si>
  <si>
    <t>D4675[cGy]-bob</t>
  </si>
  <si>
    <t>ProxBronchZone</t>
  </si>
  <si>
    <t>D5040</t>
  </si>
  <si>
    <t>Prev Sup Border</t>
  </si>
  <si>
    <t>ApproxDose 50[%]</t>
  </si>
  <si>
    <t>opt PTV 54 L</t>
  </si>
  <si>
    <t>opt PTV 66 a</t>
  </si>
  <si>
    <t>opt PTV 66 b</t>
  </si>
  <si>
    <t>Dose 6270[cGy]</t>
  </si>
  <si>
    <t>Dose 5130[cGy]</t>
  </si>
  <si>
    <t>Dose 5770[cGy]</t>
  </si>
  <si>
    <t>Dose 70[%]</t>
  </si>
  <si>
    <t>1cm Bolus</t>
  </si>
  <si>
    <t>Dose 60Gy bob</t>
  </si>
  <si>
    <t>Dose 5320cGy bob</t>
  </si>
  <si>
    <t>Mesorectum</t>
  </si>
  <si>
    <t>IRF_sphinct_2cm</t>
  </si>
  <si>
    <t>0.5cm Bolus LT</t>
  </si>
  <si>
    <t>0.5cm Bolus RT</t>
  </si>
  <si>
    <t>Body-PTV 59.4</t>
  </si>
  <si>
    <t>eval PTV 59.4</t>
  </si>
  <si>
    <t>EVAL CTV 59.4</t>
  </si>
  <si>
    <t>EVAL</t>
  </si>
  <si>
    <t>GTV LUNL</t>
  </si>
  <si>
    <t>LUNL</t>
  </si>
  <si>
    <t>GTV node</t>
  </si>
  <si>
    <t>opt PTV LUNL</t>
  </si>
  <si>
    <t>Spinal Canal5</t>
  </si>
  <si>
    <t>nan</t>
  </si>
  <si>
    <t>PREV LUNR D50</t>
  </si>
  <si>
    <t>Dose 12GyBRAI</t>
  </si>
  <si>
    <t>Dose 24GyBRAI</t>
  </si>
  <si>
    <t>Bone_Ilium</t>
  </si>
  <si>
    <t>Femur_Heads</t>
  </si>
  <si>
    <t>LN_Pelvis</t>
  </si>
  <si>
    <t>Collection</t>
  </si>
  <si>
    <t>PREV 50IDL BRAI</t>
  </si>
  <si>
    <t>PREV 90IDL BRAI2</t>
  </si>
  <si>
    <t>PREV 50IDL BRAI2</t>
  </si>
  <si>
    <t>PREV 90IDL BRAI</t>
  </si>
  <si>
    <t>Dose 108[%]-bob</t>
  </si>
  <si>
    <t>107 kd</t>
  </si>
  <si>
    <t>CTV52.5</t>
  </si>
  <si>
    <t>Avoid Normal</t>
  </si>
  <si>
    <t>PTV52.5</t>
  </si>
  <si>
    <t>opt PTV 63 R a</t>
  </si>
  <si>
    <t>CTVNode_Ext_Il_L</t>
  </si>
  <si>
    <t>Uterus/Vagina</t>
  </si>
  <si>
    <t>PTVNode_Ext_Il_L</t>
  </si>
  <si>
    <t>Vessel/Presacral</t>
  </si>
  <si>
    <t>Dose 104[%]2</t>
  </si>
  <si>
    <t>Dose 104[%]3</t>
  </si>
  <si>
    <t>Prosthesis R</t>
  </si>
  <si>
    <t>Prosthesis L</t>
  </si>
  <si>
    <t>Dose 102[%]</t>
  </si>
  <si>
    <t>Dose 5080[cGy]</t>
  </si>
  <si>
    <t>Dose 106.5[%]2</t>
  </si>
  <si>
    <t>Dose 7140 AL</t>
  </si>
  <si>
    <t>Dose 5040 AL</t>
  </si>
  <si>
    <t>CTV50</t>
  </si>
  <si>
    <t>PTV50</t>
  </si>
  <si>
    <t>PTV50_eval</t>
  </si>
  <si>
    <t>GTV MRI T1</t>
  </si>
  <si>
    <t>GTV MRI T2</t>
  </si>
  <si>
    <t>PTV_eval</t>
  </si>
  <si>
    <t>GTV + edema</t>
  </si>
  <si>
    <t>Dose 106.5[%]1</t>
  </si>
  <si>
    <t>PTV-ALL</t>
  </si>
  <si>
    <t>Dose 4800[cGy]</t>
  </si>
  <si>
    <t>0.3 cm Bolus</t>
  </si>
  <si>
    <t>opt PTV 40/55 a</t>
  </si>
  <si>
    <t>40/55</t>
  </si>
  <si>
    <t>opt PTV 48 b</t>
  </si>
  <si>
    <t>opt PTV 48 c</t>
  </si>
  <si>
    <t>48 c</t>
  </si>
  <si>
    <t>opt PTV 55 R a</t>
  </si>
  <si>
    <t>opt PTV 55 R b</t>
  </si>
  <si>
    <t>Oral Avoidance</t>
  </si>
  <si>
    <t>V2</t>
  </si>
  <si>
    <t>Macula R</t>
  </si>
  <si>
    <t>PTV 55 crop</t>
  </si>
  <si>
    <t>55 c</t>
  </si>
  <si>
    <t>rop</t>
  </si>
  <si>
    <t>BOOL PTV 55 a/b</t>
  </si>
  <si>
    <t>RT OPTICS 40GY</t>
  </si>
  <si>
    <t>Dose 5225[cGy]</t>
  </si>
  <si>
    <t>Thyroid1</t>
  </si>
  <si>
    <t>PTV_Lump_EVA_L</t>
  </si>
  <si>
    <t>PTV_WB_L</t>
  </si>
  <si>
    <t>PTV_WB_EVA_L</t>
  </si>
  <si>
    <t>PTV_Lump_L</t>
  </si>
  <si>
    <t>Lumpectomy_L</t>
  </si>
  <si>
    <t>CTV_WB_L</t>
  </si>
  <si>
    <t>CTV_Lump_L</t>
  </si>
  <si>
    <t>PTV 20</t>
  </si>
  <si>
    <t>opt PTV46.75</t>
  </si>
  <si>
    <t>PTV 46.75</t>
  </si>
  <si>
    <t>CTV 46.75</t>
  </si>
  <si>
    <t>opt PTV55</t>
  </si>
  <si>
    <t>PTV 4 21Gy/3#</t>
  </si>
  <si>
    <t>PTV 3 18Gy/3#</t>
  </si>
  <si>
    <t>18Gy/3#</t>
  </si>
  <si>
    <t>PTV 1 21Gy/3#</t>
  </si>
  <si>
    <t>GTV 4 21Gy/3#</t>
  </si>
  <si>
    <t>GTV 3 18Gy/3#</t>
  </si>
  <si>
    <t>GTV 1 21Gy/3#</t>
  </si>
  <si>
    <t>Dose 70[%]-bob</t>
  </si>
  <si>
    <t>Clavicle_L</t>
  </si>
  <si>
    <t>optRLUNG</t>
  </si>
  <si>
    <t>Genitals</t>
  </si>
  <si>
    <t>GTV+Edema</t>
  </si>
  <si>
    <t>edema</t>
  </si>
  <si>
    <t>Dose 30GyLUNR2</t>
  </si>
  <si>
    <t>Dose 60GyLUNR2</t>
  </si>
  <si>
    <t>Wet Gauze</t>
  </si>
  <si>
    <t>PTVeval 36</t>
  </si>
  <si>
    <t>Ano-Rectum</t>
  </si>
  <si>
    <t>PTVeval 54</t>
  </si>
  <si>
    <t>1 cm RtGroin Bol</t>
  </si>
  <si>
    <t>1 cm LtGroin Bol</t>
  </si>
  <si>
    <t>PTV ALL</t>
  </si>
  <si>
    <t>Heart1</t>
  </si>
  <si>
    <t>PREV LUNL2 D50</t>
  </si>
  <si>
    <t>GTVntotal</t>
  </si>
  <si>
    <t>total</t>
  </si>
  <si>
    <t>Cavity ORIG</t>
  </si>
  <si>
    <t>ORIG</t>
  </si>
  <si>
    <t>CTV_Cavity</t>
  </si>
  <si>
    <t>PREV 50% 27/3</t>
  </si>
  <si>
    <t>PREV 90% 27/3</t>
  </si>
  <si>
    <t>PTV1 18Gy</t>
  </si>
  <si>
    <t>PTV SHOL</t>
  </si>
  <si>
    <t>SHOL</t>
  </si>
  <si>
    <t>PTV NECL</t>
  </si>
  <si>
    <t>ECL</t>
  </si>
  <si>
    <t>opt PTV NECL</t>
  </si>
  <si>
    <t>GTV SHOL</t>
  </si>
  <si>
    <t>GTV NECL</t>
  </si>
  <si>
    <t>CTV SHOL</t>
  </si>
  <si>
    <t>CTV NECL</t>
  </si>
  <si>
    <t>Iliac vessels</t>
  </si>
  <si>
    <t>Anal canal</t>
  </si>
  <si>
    <t>old IGTV</t>
  </si>
  <si>
    <t>presacral space</t>
  </si>
  <si>
    <t>iliac vessels</t>
  </si>
  <si>
    <t>CTV5</t>
  </si>
  <si>
    <t>CTV3</t>
  </si>
  <si>
    <t>CTV4</t>
  </si>
  <si>
    <t>Margin</t>
  </si>
  <si>
    <t>Dose 95[%] LUNR</t>
  </si>
  <si>
    <t>Dose 115[%]</t>
  </si>
  <si>
    <t>Dose 115[%]2</t>
  </si>
  <si>
    <t>PTV L3</t>
  </si>
  <si>
    <t>CT both</t>
  </si>
  <si>
    <t>PTV both</t>
  </si>
  <si>
    <t>both</t>
  </si>
  <si>
    <t>CTV L3</t>
  </si>
  <si>
    <t>CTV T12</t>
  </si>
  <si>
    <t>PTV T12</t>
  </si>
  <si>
    <t>PTV 1 18Gy/3</t>
  </si>
  <si>
    <t>18Gy/3</t>
  </si>
  <si>
    <t>GTV 1 18Gy/3#</t>
  </si>
  <si>
    <t>BrainStem opt</t>
  </si>
  <si>
    <t>GTV 1 30Gy/5</t>
  </si>
  <si>
    <t>30Gy/5</t>
  </si>
  <si>
    <t>PTV 1 30Gy/5</t>
  </si>
  <si>
    <t>Dose 50[%]BOB</t>
  </si>
  <si>
    <t>PTV SPIC</t>
  </si>
  <si>
    <t>SPIC</t>
  </si>
  <si>
    <t>GTV SPIC</t>
  </si>
  <si>
    <t>CTV SPIC</t>
  </si>
  <si>
    <t>PTV PARR</t>
  </si>
  <si>
    <t>P</t>
  </si>
  <si>
    <t>ARR</t>
  </si>
  <si>
    <t>GTV PARR</t>
  </si>
  <si>
    <t>mod PTV SPIC</t>
  </si>
  <si>
    <t>CTV PARR</t>
  </si>
  <si>
    <t>opt PTV SPICb</t>
  </si>
  <si>
    <t>SPICb</t>
  </si>
  <si>
    <t>opt PTV SPICa</t>
  </si>
  <si>
    <t>SPICa</t>
  </si>
  <si>
    <t>opt PTV PARR</t>
  </si>
  <si>
    <t>Hip prosthesis L</t>
  </si>
  <si>
    <t>Hip prosthesis R</t>
  </si>
  <si>
    <t>D107[%]-bob</t>
  </si>
  <si>
    <t>GTVn2</t>
  </si>
  <si>
    <t>PTVn2</t>
  </si>
  <si>
    <t>GTVn1</t>
  </si>
  <si>
    <t>CTVn1</t>
  </si>
  <si>
    <t>presacral</t>
  </si>
  <si>
    <t>CervParaUt+2</t>
  </si>
  <si>
    <t>CervParaUt</t>
  </si>
  <si>
    <t>IUD</t>
  </si>
  <si>
    <t>CTVn2</t>
  </si>
  <si>
    <t>PTVn1</t>
  </si>
  <si>
    <t>CTV ALL</t>
  </si>
  <si>
    <t>GTV2</t>
  </si>
  <si>
    <t>GTV all</t>
  </si>
  <si>
    <t>CTV all</t>
  </si>
  <si>
    <t>PTV1</t>
  </si>
  <si>
    <t>GTV1</t>
  </si>
  <si>
    <t>CTV1</t>
  </si>
  <si>
    <t>Dose 107[%]BOB</t>
  </si>
  <si>
    <t>Dose 25.65GyBRAI</t>
  </si>
  <si>
    <t>Body-PTV2low+20</t>
  </si>
  <si>
    <t>Dose105%-PTV2low</t>
  </si>
  <si>
    <t>PTV 2 (lower)</t>
  </si>
  <si>
    <t>ITV 2 (lower)</t>
  </si>
  <si>
    <t>IGTV 2 (lower)</t>
  </si>
  <si>
    <t>IGTV 1 (upper)</t>
  </si>
  <si>
    <t>ITV 1 (upper)</t>
  </si>
  <si>
    <t>PTV 1  (upper)</t>
  </si>
  <si>
    <t>PTV2 lower+20</t>
  </si>
  <si>
    <t>lower</t>
  </si>
  <si>
    <t>PTV1 upper+20</t>
  </si>
  <si>
    <t>upper</t>
  </si>
  <si>
    <t>Dose105%-PTV1upp</t>
  </si>
  <si>
    <t>Body-PTV1upp+20</t>
  </si>
  <si>
    <t>Dose 50[%]1 up</t>
  </si>
  <si>
    <t>Dose 100[%]1 up</t>
  </si>
  <si>
    <t>Dose 105[%]1 up</t>
  </si>
  <si>
    <t>Dose 50[%]2 low</t>
  </si>
  <si>
    <t>Dose 100[%]2 low</t>
  </si>
  <si>
    <t>Dose 105[%]2 low</t>
  </si>
  <si>
    <t>CTV PROS</t>
  </si>
  <si>
    <t>ROS</t>
  </si>
  <si>
    <t>PTV PROS</t>
  </si>
  <si>
    <t>CTV PARA</t>
  </si>
  <si>
    <t>ARA</t>
  </si>
  <si>
    <t>GTV PARA</t>
  </si>
  <si>
    <t>PTV PARA</t>
  </si>
  <si>
    <t>GTV PROS</t>
  </si>
  <si>
    <t>PRV CORD</t>
  </si>
  <si>
    <t>Lung L1</t>
  </si>
  <si>
    <t>Lung R1</t>
  </si>
  <si>
    <t>Dose 12Gy bob</t>
  </si>
  <si>
    <t>heart</t>
  </si>
  <si>
    <t>D106[%]-bob</t>
  </si>
  <si>
    <t>opt PTV40 b</t>
  </si>
  <si>
    <t>opt PTV 40 a</t>
  </si>
  <si>
    <t>Neural PRV5mm</t>
  </si>
  <si>
    <t>105[%]</t>
  </si>
  <si>
    <t>PTV 66 orig</t>
  </si>
  <si>
    <t>orig</t>
  </si>
  <si>
    <t>PTV 54 R orig</t>
  </si>
  <si>
    <t>CTV 66 orig</t>
  </si>
  <si>
    <t>CTV 54 R orig</t>
  </si>
  <si>
    <t>Dose 107[%]bob</t>
  </si>
  <si>
    <t>D112[%]-bob</t>
  </si>
  <si>
    <t>Dose 70% bridge</t>
  </si>
  <si>
    <t>Esophagu</t>
  </si>
  <si>
    <t>D105[%]-BOB</t>
  </si>
  <si>
    <t>CTV 4</t>
  </si>
  <si>
    <t>PTV 6 30Gy/5#</t>
  </si>
  <si>
    <t>PTV 5 30Gy/5#</t>
  </si>
  <si>
    <t>PTV 4 30Gy/5#</t>
  </si>
  <si>
    <t>PTV 3 30Gy/5#</t>
  </si>
  <si>
    <t>PTV 2 30Gy/5#</t>
  </si>
  <si>
    <t>GTV 6 30Gy/5#</t>
  </si>
  <si>
    <t>GTV 5 30Gy/5#</t>
  </si>
  <si>
    <t>GTV 4 30Gy/5#</t>
  </si>
  <si>
    <t>GTV 3 30Gy/5#</t>
  </si>
  <si>
    <t>GTV 2 30Gy/5#</t>
  </si>
  <si>
    <t>Surgical Staples</t>
  </si>
  <si>
    <t>GTV 7 30Gy/5#</t>
  </si>
  <si>
    <t>PTV 7 30Gy/5#</t>
  </si>
  <si>
    <t>PTV Total NEW</t>
  </si>
  <si>
    <t>PTV 2 NEW</t>
  </si>
  <si>
    <t>PTV 4 NEW</t>
  </si>
  <si>
    <t>PTV 5 NEW</t>
  </si>
  <si>
    <t>EVAL50 NEW</t>
  </si>
  <si>
    <t>Avoid OUTER NEW</t>
  </si>
  <si>
    <t>Avoid MID NEW</t>
  </si>
  <si>
    <t>Avoid INNER NEW</t>
  </si>
  <si>
    <t>opt BrainNEW</t>
  </si>
  <si>
    <t>Dose 95[%]2</t>
  </si>
  <si>
    <t>Vagina/Uterus</t>
  </si>
  <si>
    <t>Dose 109[%]5</t>
  </si>
  <si>
    <t>Dose 109[%]6</t>
  </si>
  <si>
    <t>CTV 40</t>
  </si>
  <si>
    <t>opt PTV 40</t>
  </si>
  <si>
    <t>PTV 40</t>
  </si>
  <si>
    <t>CTV45</t>
  </si>
  <si>
    <t>CTV50.4</t>
  </si>
  <si>
    <t>PTV_50.4</t>
  </si>
  <si>
    <t>opt PTV 50.4</t>
  </si>
  <si>
    <t>D80 BOB</t>
  </si>
  <si>
    <t>GTV 5 18Gy</t>
  </si>
  <si>
    <t>GTV 6 18 Gy</t>
  </si>
  <si>
    <t>18 Gy</t>
  </si>
  <si>
    <t>PTV 5 18Gy</t>
  </si>
  <si>
    <t>GTV 7 18Gy</t>
  </si>
  <si>
    <t>PTV 6 18 Gy</t>
  </si>
  <si>
    <t>PTV 7 18 Gy</t>
  </si>
  <si>
    <t>PRV5mm Cord</t>
  </si>
  <si>
    <t>PTVINF</t>
  </si>
  <si>
    <t>INF</t>
  </si>
  <si>
    <t>ITVINF</t>
  </si>
  <si>
    <t>IGTVSUP</t>
  </si>
  <si>
    <t>SUP</t>
  </si>
  <si>
    <t>PTV INF+20</t>
  </si>
  <si>
    <t>PTVSUP</t>
  </si>
  <si>
    <t>ITVSUP</t>
  </si>
  <si>
    <t>IGTVINF</t>
  </si>
  <si>
    <t>GTV MIPSUP</t>
  </si>
  <si>
    <t>Dose105%-PTV INF</t>
  </si>
  <si>
    <t>Body-PTV INF+20</t>
  </si>
  <si>
    <t>GTV MIPINF</t>
  </si>
  <si>
    <t>Body-PTV SUP+20</t>
  </si>
  <si>
    <t>Dose105%-PTV SUP</t>
  </si>
  <si>
    <t>PTV SUP+20</t>
  </si>
  <si>
    <t>PTV BOTH</t>
  </si>
  <si>
    <t>BOTH</t>
  </si>
  <si>
    <t>PTV BOTH+20</t>
  </si>
  <si>
    <t>Body-PTV BOTH+20</t>
  </si>
  <si>
    <t>Dose 50[%] INF</t>
  </si>
  <si>
    <t>Dose 100[%] INF</t>
  </si>
  <si>
    <t>Dose 105[%] INF</t>
  </si>
  <si>
    <t>Dose 50[%] SUP</t>
  </si>
  <si>
    <t>Dose 100[%] SUP</t>
  </si>
  <si>
    <t>Dose 105[%] SUP</t>
  </si>
  <si>
    <t>PREV LUNR 30Gy</t>
  </si>
  <si>
    <t>D108.2</t>
  </si>
  <si>
    <t>IGTV suggest</t>
  </si>
  <si>
    <t>suggest</t>
  </si>
  <si>
    <t>Dose 112[%]</t>
  </si>
  <si>
    <t>CouchSurface1</t>
  </si>
  <si>
    <t>CouchInterior1</t>
  </si>
  <si>
    <t>Dose 107[%]-bob</t>
  </si>
  <si>
    <t>Dose 95[%]-bob</t>
  </si>
  <si>
    <t>D95[%]-prev C1</t>
  </si>
  <si>
    <t>D50[%]-prev C1</t>
  </si>
  <si>
    <t>PREV 50% BREL</t>
  </si>
  <si>
    <t>CTV 56 L new</t>
  </si>
  <si>
    <t>CTV 56 R new</t>
  </si>
  <si>
    <t>PTV 56 L new</t>
  </si>
  <si>
    <t>PTV 56 R new</t>
  </si>
  <si>
    <t>CTV 70 new</t>
  </si>
  <si>
    <t>new</t>
  </si>
  <si>
    <t>GTVp new</t>
  </si>
  <si>
    <t>PTV 70 new</t>
  </si>
  <si>
    <t>GTVn new</t>
  </si>
  <si>
    <t>CTV 56 L ORIG</t>
  </si>
  <si>
    <t>CTV 56 R ORIG</t>
  </si>
  <si>
    <t>CTV 70 ORIG</t>
  </si>
  <si>
    <t>GTV ORIG</t>
  </si>
  <si>
    <t>GTVn ORIG</t>
  </si>
  <si>
    <t>PTV 56 L ORIG</t>
  </si>
  <si>
    <t>PTV 56 R ORIG</t>
  </si>
  <si>
    <t>PTV 70 ORIG</t>
  </si>
  <si>
    <t>BOB 95%</t>
  </si>
  <si>
    <t>BOB 107.5%</t>
  </si>
  <si>
    <t>BOB 6000cGy IN</t>
  </si>
  <si>
    <t>BOB 6000 OUT</t>
  </si>
  <si>
    <t>BOB 106[%]</t>
  </si>
  <si>
    <t>BOB 6000cGy</t>
  </si>
  <si>
    <t>PTV60</t>
  </si>
  <si>
    <t>CTV60</t>
  </si>
  <si>
    <t>Field Guidance</t>
  </si>
  <si>
    <t>PREV CHWL/AXIL</t>
  </si>
  <si>
    <t>D7140</t>
  </si>
  <si>
    <t>PREV LUNL D50</t>
  </si>
  <si>
    <t>GTVn R</t>
  </si>
  <si>
    <t>opt PTV 66 L</t>
  </si>
  <si>
    <t>opt PTV 66 R</t>
  </si>
  <si>
    <t>opt PTV 54 a</t>
  </si>
  <si>
    <t>opt PTV 54 b</t>
  </si>
  <si>
    <t>CTV L 66</t>
  </si>
  <si>
    <t>PTV 66 L</t>
  </si>
  <si>
    <t>CTV 66 R</t>
  </si>
  <si>
    <t>PTV 66 R</t>
  </si>
  <si>
    <t>Dose 5780[cGy]</t>
  </si>
  <si>
    <t>Dose 113[%]-bob</t>
  </si>
  <si>
    <t>Dose 109[%]-bob</t>
  </si>
  <si>
    <t>D108.5[%]-bob</t>
  </si>
  <si>
    <t>Dose 104[%]-bob</t>
  </si>
  <si>
    <t>GTV1-18/3</t>
  </si>
  <si>
    <t>PTV2-18/3</t>
  </si>
  <si>
    <t>PTV1-18/3</t>
  </si>
  <si>
    <t>CTV2-18/3</t>
  </si>
  <si>
    <t>CTV1-18/3</t>
  </si>
  <si>
    <t>GTV2-18/3</t>
  </si>
  <si>
    <t>Large Bowel Air</t>
  </si>
  <si>
    <t>IRF</t>
  </si>
  <si>
    <t>eval PTV 50.4</t>
  </si>
  <si>
    <t>Body-PTV 50.4</t>
  </si>
  <si>
    <t>opt BowelBag</t>
  </si>
  <si>
    <t>PTV 50.4</t>
  </si>
  <si>
    <t>1.0cmBol R Groin</t>
  </si>
  <si>
    <t>1.0cmBol L Groin</t>
  </si>
  <si>
    <t>BONE</t>
  </si>
  <si>
    <t>0.5 cm bolus</t>
  </si>
  <si>
    <t>opt PTV 56 L</t>
  </si>
  <si>
    <t>1.0 cm Bolus</t>
  </si>
  <si>
    <t>0.5cm  Bolus</t>
  </si>
  <si>
    <t>D106.5[%]-bob</t>
  </si>
  <si>
    <t>GTV 6</t>
  </si>
  <si>
    <t>GTV 7</t>
  </si>
  <si>
    <t>GTV 13</t>
  </si>
  <si>
    <t>GTV 14</t>
  </si>
  <si>
    <t>GTV 15</t>
  </si>
  <si>
    <t>PTV 7 27 Gy</t>
  </si>
  <si>
    <t>PTV 8 27 Gy</t>
  </si>
  <si>
    <t>PTV 10 27 Gy</t>
  </si>
  <si>
    <t>PTV 11 27 Gy</t>
  </si>
  <si>
    <t>PTV 12 27 Gy</t>
  </si>
  <si>
    <t>PTV 13 27 Gy</t>
  </si>
  <si>
    <t>PTV 14 27 Gy</t>
  </si>
  <si>
    <t>PTV 15 27 Gy</t>
  </si>
  <si>
    <t>PTV 6 27 Gy</t>
  </si>
  <si>
    <t>PREV SPLS 4Gy</t>
  </si>
  <si>
    <t>PREV SPIL 4Gy</t>
  </si>
  <si>
    <t>Dose 50[%]UTER</t>
  </si>
  <si>
    <t>Dose 90[%]UTER</t>
  </si>
  <si>
    <t>Dose 50[%]VAGI</t>
  </si>
  <si>
    <t>Dose 90[%]VAGI</t>
  </si>
  <si>
    <t>Dose 50[%]PARA</t>
  </si>
  <si>
    <t>Dose 90[%]PARA</t>
  </si>
  <si>
    <t>CTV 66 new</t>
  </si>
  <si>
    <t>Dose 50[%]ORAL</t>
  </si>
  <si>
    <t>Dose 90[%]ORAL</t>
  </si>
  <si>
    <t>Dose 8000[cGy]ps</t>
  </si>
  <si>
    <t>Anal Canal</t>
  </si>
  <si>
    <t>ITV 37.5</t>
  </si>
  <si>
    <t>PTV 37.5</t>
  </si>
  <si>
    <t>Constrictors</t>
  </si>
  <si>
    <t>Brachial_plexusR</t>
  </si>
  <si>
    <t>Dose 5320[cGy]</t>
  </si>
  <si>
    <t>60GY BOB</t>
  </si>
  <si>
    <t>Field Edge Guide</t>
  </si>
  <si>
    <t>CTV sum</t>
  </si>
  <si>
    <t>sum</t>
  </si>
  <si>
    <t>ALARA</t>
  </si>
  <si>
    <t>ALARA2</t>
  </si>
  <si>
    <t>GTV SHOR</t>
  </si>
  <si>
    <t>SHOR</t>
  </si>
  <si>
    <t>PTV SHOR 800cGy</t>
  </si>
  <si>
    <t>GTV 1 30Gy</t>
  </si>
  <si>
    <t>GTV 2 30Gy</t>
  </si>
  <si>
    <t>GTV 3 30Gy</t>
  </si>
  <si>
    <t>GTV 4 30Gy</t>
  </si>
  <si>
    <t>GTV 5 30Gy</t>
  </si>
  <si>
    <t>GTV 8 25Gy</t>
  </si>
  <si>
    <t>PTV 4 30Gy</t>
  </si>
  <si>
    <t>PTV 5 30Gy</t>
  </si>
  <si>
    <t>PTV 6 30Gy</t>
  </si>
  <si>
    <t>GTV 6 30Gy</t>
  </si>
  <si>
    <t>GTV 7 30Gy</t>
  </si>
  <si>
    <t>PTV 7 30Gy</t>
  </si>
  <si>
    <t>PTV 8 25Gy</t>
  </si>
  <si>
    <t>PTV TOTAL</t>
  </si>
  <si>
    <t>PREV BREL D50</t>
  </si>
  <si>
    <t>Prostate + Semin</t>
  </si>
  <si>
    <t>Sup Mesenteric A</t>
  </si>
  <si>
    <t>D105[%]-bob</t>
  </si>
  <si>
    <t>PTV 21</t>
  </si>
  <si>
    <t>Dose 105[%]out</t>
  </si>
  <si>
    <t>GTV MIPL</t>
  </si>
  <si>
    <t>Chest Wall RT</t>
  </si>
  <si>
    <t>PTV RT+20</t>
  </si>
  <si>
    <t>Body-PTV RT+20</t>
  </si>
  <si>
    <t>Dose105[%]-PTVRT</t>
  </si>
  <si>
    <t>PTV L</t>
  </si>
  <si>
    <t>PTV R</t>
  </si>
  <si>
    <t>GTV MIPR</t>
  </si>
  <si>
    <t>GTV PET1</t>
  </si>
  <si>
    <t>Body-PTV LT+20</t>
  </si>
  <si>
    <t>Dose105[%]-PTVLT</t>
  </si>
  <si>
    <t>PTV LT+20</t>
  </si>
  <si>
    <t>Chest Wall LT</t>
  </si>
  <si>
    <t>Dose 100[%] LT</t>
  </si>
  <si>
    <t>Dose 105[%] LT</t>
  </si>
  <si>
    <t>Dose 50[%] LT</t>
  </si>
  <si>
    <t>Dose 105[%] RT</t>
  </si>
  <si>
    <t>Dose 100[%] RT</t>
  </si>
  <si>
    <t>Dose 50[%] RT</t>
  </si>
  <si>
    <t>D50</t>
  </si>
  <si>
    <t>RT Prosthesis</t>
  </si>
  <si>
    <t>5MM Bolus</t>
  </si>
  <si>
    <t>PTV  2</t>
  </si>
  <si>
    <t>GTV  2</t>
  </si>
  <si>
    <t>D105.5[%]-bob</t>
  </si>
  <si>
    <t>1.5cm Bolus</t>
  </si>
  <si>
    <t>PTV 25/5</t>
  </si>
  <si>
    <t>25/5</t>
  </si>
  <si>
    <t>Rect/large bowel</t>
  </si>
  <si>
    <t>D50[%]-BOOS</t>
  </si>
  <si>
    <t>D50[%]-BRER</t>
  </si>
  <si>
    <t>CTV vertebrae</t>
  </si>
  <si>
    <t>vertebrae</t>
  </si>
  <si>
    <t>CTV 20/5</t>
  </si>
  <si>
    <t>GTVvertebrae</t>
  </si>
  <si>
    <t>GTV Lung</t>
  </si>
  <si>
    <t>Lung</t>
  </si>
  <si>
    <t>CTVLung</t>
  </si>
  <si>
    <t>optPTV</t>
  </si>
  <si>
    <t>Globes PRV2mm</t>
  </si>
  <si>
    <t>Optics+BRSTM</t>
  </si>
  <si>
    <t>PTV 3 27Gy/3#</t>
  </si>
  <si>
    <t>GTV 3 27Gy/3#</t>
  </si>
  <si>
    <t>opt PTV2mm</t>
  </si>
  <si>
    <t>PTV 18/3</t>
  </si>
  <si>
    <t>18/3</t>
  </si>
  <si>
    <t>GTV 18/3</t>
  </si>
  <si>
    <t>opt PTV A</t>
  </si>
  <si>
    <t>A</t>
  </si>
  <si>
    <t>opt PTV B</t>
  </si>
  <si>
    <t>CouchRailLeft</t>
  </si>
  <si>
    <t>CouchRailRight</t>
  </si>
  <si>
    <t>AP BB</t>
  </si>
  <si>
    <t>CTV20/5</t>
  </si>
  <si>
    <t>GTV total</t>
  </si>
  <si>
    <t>R Prosthesis</t>
  </si>
  <si>
    <t>PTV all</t>
  </si>
  <si>
    <t>Dose 4700[cGy]</t>
  </si>
  <si>
    <t>Field</t>
  </si>
  <si>
    <t>Dose 105[%]60</t>
  </si>
  <si>
    <t>Dose 100[%]60</t>
  </si>
  <si>
    <t>Dose 50[%]60</t>
  </si>
  <si>
    <t>opt PTV 2mm</t>
  </si>
  <si>
    <t>optPTV1</t>
  </si>
  <si>
    <t>optPTV2</t>
  </si>
  <si>
    <t>Dose50[%]</t>
  </si>
  <si>
    <t>D100[%]</t>
  </si>
  <si>
    <t>Dose105[%]</t>
  </si>
  <si>
    <t>VagUtCx</t>
  </si>
  <si>
    <t>VagUtCx+2</t>
  </si>
  <si>
    <t>BULK AIR</t>
  </si>
  <si>
    <t>Dose 60 OUT</t>
  </si>
  <si>
    <t>Dose 7455[cGy]</t>
  </si>
  <si>
    <t>CTV46/23</t>
  </si>
  <si>
    <t>46/23</t>
  </si>
  <si>
    <t>PTV46/23</t>
  </si>
  <si>
    <t>Bowel Bag</t>
  </si>
  <si>
    <t>Small Bowel PROS</t>
  </si>
  <si>
    <t>Large Bowel PROS</t>
  </si>
  <si>
    <t>PTV 50/25</t>
  </si>
  <si>
    <t>50/25</t>
  </si>
  <si>
    <t>opt PTV 50</t>
  </si>
  <si>
    <t>opt PTV 45 R b</t>
  </si>
  <si>
    <t>opt PTV 45 R a</t>
  </si>
  <si>
    <t>opt PTV 45 L b</t>
  </si>
  <si>
    <t>PTV 45/25 R</t>
  </si>
  <si>
    <t>45/25</t>
  </si>
  <si>
    <t>opt PTV 45 L a</t>
  </si>
  <si>
    <t>eval PTV 45</t>
  </si>
  <si>
    <t>CTV 50/25</t>
  </si>
  <si>
    <t>CTV 45/25 R</t>
  </si>
  <si>
    <t>CTV 45/25 L</t>
  </si>
  <si>
    <t>PTV 45/25 L</t>
  </si>
  <si>
    <t>LM - D60</t>
  </si>
  <si>
    <t>LM - D105</t>
  </si>
  <si>
    <t>eval PTV56</t>
  </si>
  <si>
    <t>PTV76</t>
  </si>
  <si>
    <t>CTV76</t>
  </si>
  <si>
    <t>Dose 107[%]OUT</t>
  </si>
  <si>
    <t>CTV spine</t>
  </si>
  <si>
    <t>spine</t>
  </si>
  <si>
    <t>Field Guide Spne</t>
  </si>
  <si>
    <t>Field Guide Lung</t>
  </si>
  <si>
    <t>Field Guide All</t>
  </si>
  <si>
    <t>Dose 100[%]LUNR</t>
  </si>
  <si>
    <t>Dose 105[%]LUNR</t>
  </si>
  <si>
    <t>D4590[cGy]-BOB</t>
  </si>
  <si>
    <t>PMH D50</t>
  </si>
  <si>
    <t>D105[%]</t>
  </si>
  <si>
    <t>D50[%]</t>
  </si>
  <si>
    <t>BOB Dose 110[%]</t>
  </si>
  <si>
    <t>BOB Dose106.5[%]</t>
  </si>
  <si>
    <t>CTV64</t>
  </si>
  <si>
    <t>PTV64 orig</t>
  </si>
  <si>
    <t>CTV64 orig</t>
  </si>
  <si>
    <t>CTVp70</t>
  </si>
  <si>
    <t>opt PTV 56p a</t>
  </si>
  <si>
    <t>PTVp70</t>
  </si>
  <si>
    <t>GTVp70</t>
  </si>
  <si>
    <t>GTVp66</t>
  </si>
  <si>
    <t>GTVp56</t>
  </si>
  <si>
    <t>CTVp66</t>
  </si>
  <si>
    <t>CTVp56</t>
  </si>
  <si>
    <t>PTVp66</t>
  </si>
  <si>
    <t>PTVp56</t>
  </si>
  <si>
    <t>PRV NEURAL 5mm</t>
  </si>
  <si>
    <t>PRV3mm- Globes</t>
  </si>
  <si>
    <t>opt PTV 54p c</t>
  </si>
  <si>
    <t>opt PTV 54p a</t>
  </si>
  <si>
    <t>opt PTV 54p b</t>
  </si>
  <si>
    <t>eval PTV54</t>
  </si>
  <si>
    <t>BOB Dose 106%</t>
  </si>
  <si>
    <t>IGTV 2 60Gy/15</t>
  </si>
  <si>
    <t>60Gy/15</t>
  </si>
  <si>
    <t>ITV 2 60Gy/15</t>
  </si>
  <si>
    <t>PTV 2 60Gy/15</t>
  </si>
  <si>
    <t>IGTV 1 60Gy/15</t>
  </si>
  <si>
    <t>ITV 1 60Gy/15</t>
  </si>
  <si>
    <t>PTV 1 60Gy/15</t>
  </si>
  <si>
    <t>Musc_Sclmast_L</t>
  </si>
  <si>
    <t>Musc_Sclmast_R</t>
  </si>
  <si>
    <t>CTV 44/25 R</t>
  </si>
  <si>
    <t>44/25</t>
  </si>
  <si>
    <t>CTV 55/25</t>
  </si>
  <si>
    <t>55/25</t>
  </si>
  <si>
    <t>PTV 44/25 R</t>
  </si>
  <si>
    <t>opt PTV 44 R a</t>
  </si>
  <si>
    <t>opt PTV 44 R b</t>
  </si>
  <si>
    <t>PTV 55/25</t>
  </si>
  <si>
    <t>opt PTV 55</t>
  </si>
  <si>
    <t>GTVn+.5</t>
  </si>
  <si>
    <t>GTV + 2</t>
  </si>
  <si>
    <t>Body-PTV54</t>
  </si>
  <si>
    <t>0.5cm Bol Rt Gr</t>
  </si>
  <si>
    <t>0.5 cmBol Lt Gr</t>
  </si>
  <si>
    <t>PTV20</t>
  </si>
  <si>
    <t>CTV20</t>
  </si>
  <si>
    <t>Iliac R Common</t>
  </si>
  <si>
    <t>opt LargeBowel</t>
  </si>
  <si>
    <t>opt SmallBowel</t>
  </si>
  <si>
    <t>eval CTV 60</t>
  </si>
  <si>
    <t>eval CTV 54</t>
  </si>
  <si>
    <t>Dose 54Gy bob</t>
  </si>
  <si>
    <t>PRV5 Spinal FIX</t>
  </si>
  <si>
    <t>C1 SACR D50</t>
  </si>
  <si>
    <t>T5</t>
  </si>
  <si>
    <t>T12</t>
  </si>
  <si>
    <t>Dose 4560[cGy]2</t>
  </si>
  <si>
    <t>Dose 4760[cGy]</t>
  </si>
  <si>
    <t>Dose 4896[cGy]</t>
  </si>
  <si>
    <t>PTV 1 27.5Gy</t>
  </si>
  <si>
    <t>27.5Gy</t>
  </si>
  <si>
    <t>Dose 27.5Gy BRAI</t>
  </si>
  <si>
    <t>Dose 13.75GyBRAI</t>
  </si>
  <si>
    <t>DOSE 108 2</t>
  </si>
  <si>
    <t>HTV 1 30Gy</t>
  </si>
  <si>
    <t>Dose 50% bob</t>
  </si>
  <si>
    <t>CTV  45</t>
  </si>
  <si>
    <t>Portal vein</t>
  </si>
  <si>
    <t>PJ</t>
  </si>
  <si>
    <t>Pre-op TumorVol</t>
  </si>
  <si>
    <t>Sup Mesnt Artery</t>
  </si>
  <si>
    <t>CTV 50.4</t>
  </si>
  <si>
    <t>BREL 50 IDL</t>
  </si>
  <si>
    <t>GT PET Rt</t>
  </si>
  <si>
    <t>GT PET Lt</t>
  </si>
  <si>
    <t>Kidney LT</t>
  </si>
  <si>
    <t>Spleen</t>
  </si>
  <si>
    <t>Kidney RT</t>
  </si>
  <si>
    <t>Dose105%-PTV RT</t>
  </si>
  <si>
    <t>opt PTV54</t>
  </si>
  <si>
    <t>CTV TOTAL</t>
  </si>
  <si>
    <t>Dose 5670[cGy]</t>
  </si>
  <si>
    <t>opt PTV60</t>
  </si>
  <si>
    <t>CervVagUt</t>
  </si>
  <si>
    <t>CervVagUtx2</t>
  </si>
  <si>
    <t>Vessels+2</t>
  </si>
  <si>
    <t>vessels</t>
  </si>
  <si>
    <t>OVOID</t>
  </si>
  <si>
    <t>GTV 1 32.5Gy/5#</t>
  </si>
  <si>
    <t>32.5Gy/5#</t>
  </si>
  <si>
    <t>PTV 1 32.5Gy/5#</t>
  </si>
  <si>
    <t>PTVn3</t>
  </si>
  <si>
    <t>PTVn all</t>
  </si>
  <si>
    <t>UtCervPara</t>
  </si>
  <si>
    <t>GTVn3</t>
  </si>
  <si>
    <t>ovoid</t>
  </si>
  <si>
    <t>Dose 40[%]</t>
  </si>
  <si>
    <t>HTVp</t>
  </si>
  <si>
    <t>HTVn</t>
  </si>
  <si>
    <t>opt PTV 66 NB</t>
  </si>
  <si>
    <t>Dose 5778[cGy]</t>
  </si>
  <si>
    <t>Dose 5400[cGy]</t>
  </si>
  <si>
    <t>PTV54</t>
  </si>
  <si>
    <t>MucosaAvoid</t>
  </si>
  <si>
    <t>CTV54</t>
  </si>
  <si>
    <t>opt PTV 66b</t>
  </si>
  <si>
    <t>opt PTV 66a</t>
  </si>
  <si>
    <t>opt PTV 66a crop</t>
  </si>
  <si>
    <t>opt PTV70 crop</t>
  </si>
  <si>
    <t>70 c</t>
  </si>
  <si>
    <t>opt PTV 70 b</t>
  </si>
  <si>
    <t>opt PTV 66 b2</t>
  </si>
  <si>
    <t>opt PTV66 b crop</t>
  </si>
  <si>
    <t>LargeBowel</t>
  </si>
  <si>
    <t>D5040.2</t>
  </si>
  <si>
    <t>BOB 104[%]</t>
  </si>
  <si>
    <t>Nipple ring</t>
  </si>
  <si>
    <t>lens L</t>
  </si>
  <si>
    <t>lens R</t>
  </si>
  <si>
    <t>Bones</t>
  </si>
  <si>
    <t>opt PTV c</t>
  </si>
  <si>
    <t>D107</t>
  </si>
  <si>
    <t>Dose 108[%]2</t>
  </si>
  <si>
    <t>Dose 108[%]3</t>
  </si>
  <si>
    <t>Dose50%</t>
  </si>
  <si>
    <t>Dose100%</t>
  </si>
  <si>
    <t>Dose105%</t>
  </si>
  <si>
    <t>Dose105%-PTV</t>
  </si>
  <si>
    <t>D90%-LUNL</t>
  </si>
  <si>
    <t>D50%-LUNL</t>
  </si>
  <si>
    <t>Dose 50%</t>
  </si>
  <si>
    <t>Dose 105%</t>
  </si>
  <si>
    <t>Dose 100%</t>
  </si>
  <si>
    <t>GTV 4 27Gy/3#</t>
  </si>
  <si>
    <t>GTV 5 27Gy/3#</t>
  </si>
  <si>
    <t>GTV 6 27Gy/3#</t>
  </si>
  <si>
    <t>PTV 4 27Gy/3#</t>
  </si>
  <si>
    <t>PTV 5 27Gy/3#</t>
  </si>
  <si>
    <t>PTV 6 27Gy/3#</t>
  </si>
  <si>
    <t>PTV 7 24Gy/3#</t>
  </si>
  <si>
    <t>GTV 7 24Gy/3#</t>
  </si>
  <si>
    <t>Dose 80%</t>
  </si>
  <si>
    <t>PRV CIED</t>
  </si>
  <si>
    <t>opt PTV40</t>
  </si>
  <si>
    <t>Dose 60[Gy]PREV</t>
  </si>
  <si>
    <t>Dose 30[Gy]PREV</t>
  </si>
  <si>
    <t>HTV+3cm</t>
  </si>
  <si>
    <t>2.0cm Bolus</t>
  </si>
  <si>
    <t>D4675[cGy]-bob2</t>
  </si>
  <si>
    <t>Vess Lt</t>
  </si>
  <si>
    <t>Vess Rt</t>
  </si>
  <si>
    <t>PTV24</t>
  </si>
  <si>
    <t>CTV24</t>
  </si>
  <si>
    <t>opt PTV L</t>
  </si>
  <si>
    <t>eval PTV ALL</t>
  </si>
  <si>
    <t>eval CTV</t>
  </si>
  <si>
    <t>GTVn L</t>
  </si>
  <si>
    <t>CTV L</t>
  </si>
  <si>
    <t>CTV R</t>
  </si>
  <si>
    <t>opt PTV R</t>
  </si>
  <si>
    <t>Dose 80% bob</t>
  </si>
  <si>
    <t>opt PTV 30</t>
  </si>
  <si>
    <t>Dose105[%]2-PTV</t>
  </si>
  <si>
    <t>Dose 50 [%]2</t>
  </si>
  <si>
    <t>Dose 100 [%]2</t>
  </si>
  <si>
    <t>Dose 105 [%]2</t>
  </si>
  <si>
    <t>Dose 50 [%]</t>
  </si>
  <si>
    <t>Dose 100 [%]</t>
  </si>
  <si>
    <t>Dose 105 [%]</t>
  </si>
  <si>
    <t>30Gy PREV Sum</t>
  </si>
  <si>
    <t>20Gy PREV Sum</t>
  </si>
  <si>
    <t>10Gy PREV Sum</t>
  </si>
  <si>
    <t>GTV 5 21Gy/3#</t>
  </si>
  <si>
    <t>PTV 5 21Gy/3#</t>
  </si>
  <si>
    <t>GTV 4 15Gy/3#</t>
  </si>
  <si>
    <t>GTV 3 21Gy/3#</t>
  </si>
  <si>
    <t>GTV 1 15Gy/3#</t>
  </si>
  <si>
    <t>PTV 4 15Gy/3#</t>
  </si>
  <si>
    <t>PTV 3 21Gy/3#</t>
  </si>
  <si>
    <t>PTV 1 15Gy/3#</t>
  </si>
  <si>
    <t>PTV 6 21Gy/3#</t>
  </si>
  <si>
    <t>PTV 9 21Gy/3#</t>
  </si>
  <si>
    <t>PTV 8 21Gy/3#</t>
  </si>
  <si>
    <t>PTV 7 21Gy/3#</t>
  </si>
  <si>
    <t>GTV 9 21Gy/3#</t>
  </si>
  <si>
    <t>GTV 8 21Gy/3#</t>
  </si>
  <si>
    <t>GTV 7 21Gy/3#</t>
  </si>
  <si>
    <t>GTV 6 21Gy/3#</t>
  </si>
  <si>
    <t>Dose 50[%]BRER</t>
  </si>
  <si>
    <t>Dose 90[%]BRER</t>
  </si>
  <si>
    <t>Dose 5000[cGy]</t>
  </si>
  <si>
    <t>ANAL MARKER</t>
  </si>
  <si>
    <t>Body-PTV54+0.8cm</t>
  </si>
  <si>
    <t>Cold PTV ant rt</t>
  </si>
  <si>
    <t>Dose 109[%]1</t>
  </si>
  <si>
    <t>eval PTV 54 a</t>
  </si>
  <si>
    <t>opt PTV lat ant</t>
  </si>
  <si>
    <t>lat</t>
  </si>
  <si>
    <t>opt PTV lat post</t>
  </si>
  <si>
    <t>Wet Gauze Bolus</t>
  </si>
  <si>
    <t>1 cm Bol LtGroin</t>
  </si>
  <si>
    <t>Dose 102[%]OUT</t>
  </si>
  <si>
    <t>Pelvic Bones</t>
  </si>
  <si>
    <t>Prosthesis</t>
  </si>
  <si>
    <t>opt GTV</t>
  </si>
  <si>
    <t>opt PTV 40b</t>
  </si>
  <si>
    <t>Staples/bed</t>
  </si>
  <si>
    <t>PTV 9 27Gy</t>
  </si>
  <si>
    <t>GTV 6 24Gy</t>
  </si>
  <si>
    <t>PTV 6 24Gy</t>
  </si>
  <si>
    <t>Rectal Air</t>
  </si>
  <si>
    <t>0.5cmBol RtGroin</t>
  </si>
  <si>
    <t>0.5cmBol LtGroin</t>
  </si>
  <si>
    <t>Breast expander2</t>
  </si>
  <si>
    <t>PTV node_eval</t>
  </si>
  <si>
    <t>Implant L 2</t>
  </si>
  <si>
    <t>D338[cGy]-bob</t>
  </si>
  <si>
    <t>Dose 100[%]1</t>
  </si>
  <si>
    <t>Dose 50[%]1</t>
  </si>
  <si>
    <t>Contrast/Air</t>
  </si>
  <si>
    <t>T6</t>
  </si>
  <si>
    <t>PRV3 PLEXUS</t>
  </si>
  <si>
    <t>eval ITV 60</t>
  </si>
  <si>
    <t>opt ITV 50</t>
  </si>
  <si>
    <t>opt PTV 60 2MM</t>
  </si>
  <si>
    <t>2MM</t>
  </si>
  <si>
    <t>MM</t>
  </si>
  <si>
    <t>GTV pre op</t>
  </si>
  <si>
    <t>r</t>
  </si>
  <si>
    <t>PTV 27 Gy</t>
  </si>
  <si>
    <t>CTVoriginal</t>
  </si>
  <si>
    <t>original</t>
  </si>
  <si>
    <t>GTVoriginal</t>
  </si>
  <si>
    <t>PTVoriginal</t>
  </si>
  <si>
    <t>Dose 50[%]PROS</t>
  </si>
  <si>
    <t>Dose 95[%]PROS</t>
  </si>
  <si>
    <t>CouchRailLeft1</t>
  </si>
  <si>
    <t>CouchRailRight1</t>
  </si>
  <si>
    <t>Dose 104.5[%]2</t>
  </si>
  <si>
    <t>Eval PTV Ear</t>
  </si>
  <si>
    <t>Eval</t>
  </si>
  <si>
    <t>Ear</t>
  </si>
  <si>
    <t>Wires -EARL</t>
  </si>
  <si>
    <t>PTV Ear</t>
  </si>
  <si>
    <t>PTVScalp</t>
  </si>
  <si>
    <t>Sc</t>
  </si>
  <si>
    <t>alp</t>
  </si>
  <si>
    <t>Eval PTV Scalp</t>
  </si>
  <si>
    <t>CTV Scalp</t>
  </si>
  <si>
    <t>CTV Ear</t>
  </si>
  <si>
    <t>Wires -SCPR</t>
  </si>
  <si>
    <t>1.0cm EARL Bolus</t>
  </si>
  <si>
    <t>1.0cm SCPR Bolus</t>
  </si>
  <si>
    <t>Bolus Block EARL</t>
  </si>
  <si>
    <t>Block Bolus0.5</t>
  </si>
  <si>
    <t>Dose 50[%]vmat</t>
  </si>
  <si>
    <t>opt PTV Ear</t>
  </si>
  <si>
    <t>opt PTV 56 L d</t>
  </si>
  <si>
    <t>opt PTV 56 R d</t>
  </si>
  <si>
    <t>opt PTV 63b</t>
  </si>
  <si>
    <t>Dose 95[%] BOB</t>
  </si>
  <si>
    <t>Dose 5985cGy BOB</t>
  </si>
  <si>
    <t>opt PTV 63 c</t>
  </si>
  <si>
    <t>63 c</t>
  </si>
  <si>
    <t>Dose 5985[cGy]</t>
  </si>
  <si>
    <t>Avoid RT</t>
  </si>
  <si>
    <t>PTV SBRT</t>
  </si>
  <si>
    <t>SBRT</t>
  </si>
  <si>
    <t>opt PTV45b</t>
  </si>
  <si>
    <t>opt PTV45a</t>
  </si>
  <si>
    <t>opt PTV5.4b</t>
  </si>
  <si>
    <t>opt PTV 5.4</t>
  </si>
  <si>
    <t>D108[%]-bob pelb</t>
  </si>
  <si>
    <t>D108[%]-bob cerv</t>
  </si>
  <si>
    <t>opt PTV5.4a</t>
  </si>
  <si>
    <t>PTV50.4</t>
  </si>
  <si>
    <t>PTVn eval</t>
  </si>
  <si>
    <t>CTV 56 L orig</t>
  </si>
  <si>
    <t>CTV 70 orig</t>
  </si>
  <si>
    <t>PTV 56 L orig</t>
  </si>
  <si>
    <t>PTV 70 orig</t>
  </si>
  <si>
    <t>BOLUS PINK STUFF</t>
  </si>
  <si>
    <t>5mm Bolus</t>
  </si>
  <si>
    <t>Dose 70Gy bob</t>
  </si>
  <si>
    <t>Dose 5992cGy</t>
  </si>
  <si>
    <t>Dose 4000cGy bob</t>
  </si>
  <si>
    <t>PTV 52.5</t>
  </si>
  <si>
    <t>CTV 52.5</t>
  </si>
  <si>
    <t>GTV 1 TRAC</t>
  </si>
  <si>
    <t>TRAC</t>
  </si>
  <si>
    <t>PTV 1 TRAC</t>
  </si>
  <si>
    <t>PTV All LUNL</t>
  </si>
  <si>
    <t>ITV TRACH</t>
  </si>
  <si>
    <t>TRACH</t>
  </si>
  <si>
    <t>ITV 2</t>
  </si>
  <si>
    <t>ITV 3</t>
  </si>
  <si>
    <t>eval PTV 60 RO</t>
  </si>
  <si>
    <t>PTV 60 skin crop</t>
  </si>
  <si>
    <t>skin</t>
  </si>
  <si>
    <t>opt PTV (orbit)</t>
  </si>
  <si>
    <t>eval CTV (orbit)</t>
  </si>
  <si>
    <t>GTVpet</t>
  </si>
  <si>
    <t>pet</t>
  </si>
  <si>
    <t>RT 0.5cm Bolus</t>
  </si>
  <si>
    <t>LT 0.5cm Bolus</t>
  </si>
  <si>
    <t>Dose 105 OUT</t>
  </si>
  <si>
    <t>Dose 105[%]IN</t>
  </si>
  <si>
    <t>PETn</t>
  </si>
  <si>
    <t>PTVN</t>
  </si>
  <si>
    <t>PTVN BOOS</t>
  </si>
  <si>
    <t>BOOS</t>
  </si>
  <si>
    <t>CTVN BOOS</t>
  </si>
  <si>
    <t>PTV orig</t>
  </si>
  <si>
    <t>CTV orig</t>
  </si>
  <si>
    <t>Kidney L2</t>
  </si>
  <si>
    <t>Kidney R2</t>
  </si>
  <si>
    <t>Stoma</t>
  </si>
  <si>
    <t>PTV eval (RO)</t>
  </si>
  <si>
    <t>PTV 60/15</t>
  </si>
  <si>
    <t>60/15</t>
  </si>
  <si>
    <t>IGTV 60/15</t>
  </si>
  <si>
    <t>EVAL ITV 50</t>
  </si>
  <si>
    <t>EVAL ITV 60</t>
  </si>
  <si>
    <t>Dose 75[%]</t>
  </si>
  <si>
    <t>CTVNodes 55</t>
  </si>
  <si>
    <t>LT Prosthesis</t>
  </si>
  <si>
    <t>PTVNodes 55</t>
  </si>
  <si>
    <t>D4725 bob</t>
  </si>
  <si>
    <t>Ear Avoid</t>
  </si>
  <si>
    <t>CTV 1 21Gy</t>
  </si>
  <si>
    <t>GTV 1 21Gy</t>
  </si>
  <si>
    <t>CTV2 24Gy</t>
  </si>
  <si>
    <t>Dose105-PTV RT</t>
  </si>
  <si>
    <t>ITV LT PET</t>
  </si>
  <si>
    <t>AIR/CONTRAST</t>
  </si>
  <si>
    <t>GTV N</t>
  </si>
  <si>
    <t>PTV66/33</t>
  </si>
  <si>
    <t>66/33</t>
  </si>
  <si>
    <t>CTV66/33</t>
  </si>
  <si>
    <t>D5000[cGy]-bob</t>
  </si>
  <si>
    <t>D5000[cGy]-bob2</t>
  </si>
  <si>
    <t>Dose 103.5[%]</t>
  </si>
  <si>
    <t>L4</t>
  </si>
  <si>
    <t>T7</t>
  </si>
  <si>
    <t>1 cm Bolus</t>
  </si>
  <si>
    <t>PTV4</t>
  </si>
  <si>
    <t>opt PTV 4 18Gy</t>
  </si>
  <si>
    <t>GTV4</t>
  </si>
  <si>
    <t>PTV3</t>
  </si>
  <si>
    <t>GTV 1 18Gy</t>
  </si>
  <si>
    <t>GTV 2 18Gy</t>
  </si>
  <si>
    <t>GTV 4 18Gy</t>
  </si>
  <si>
    <t>PTV total</t>
  </si>
  <si>
    <t>CTV 30</t>
  </si>
  <si>
    <t>PTV36</t>
  </si>
  <si>
    <t>CTV36</t>
  </si>
  <si>
    <t>CTV40</t>
  </si>
  <si>
    <t>PTV40</t>
  </si>
  <si>
    <t>PTV 30</t>
  </si>
  <si>
    <t>eval CTV 66</t>
  </si>
  <si>
    <t>Dose 95[%] bob</t>
  </si>
  <si>
    <t>Dose 40Gy bob</t>
  </si>
  <si>
    <t>45 Gy IDL</t>
  </si>
  <si>
    <t>opt PTV L1</t>
  </si>
  <si>
    <t>PTV L1 27Gy</t>
  </si>
  <si>
    <t>Spinal Cord L1</t>
  </si>
  <si>
    <t>CTV T11 27</t>
  </si>
  <si>
    <t>GTV T11 27</t>
  </si>
  <si>
    <t>PTV T11 27</t>
  </si>
  <si>
    <t>MOD PTV L1</t>
  </si>
  <si>
    <t>MOD PTV T11</t>
  </si>
  <si>
    <t>opt PTV T11</t>
  </si>
  <si>
    <t>Dose 100[%] T</t>
  </si>
  <si>
    <t>Dose 100[%] L</t>
  </si>
  <si>
    <t>D4560</t>
  </si>
  <si>
    <t>PTV36/20</t>
  </si>
  <si>
    <t>36/20</t>
  </si>
  <si>
    <t>CTV36/20</t>
  </si>
  <si>
    <t>RT prosthesis</t>
  </si>
  <si>
    <t>LT prosthesis</t>
  </si>
  <si>
    <t>L2</t>
  </si>
  <si>
    <t>D50[%]-C1-INGR</t>
  </si>
  <si>
    <t>D107.5[%]-bob</t>
  </si>
  <si>
    <t>Scapula Lt</t>
  </si>
  <si>
    <t>Clavicle L</t>
  </si>
  <si>
    <t>d4675[cGy]-BOB</t>
  </si>
  <si>
    <t>D4650[cGy]-B</t>
  </si>
  <si>
    <t>Dose100[%]</t>
  </si>
  <si>
    <t>Normal tissue</t>
  </si>
  <si>
    <t>PRV3 LLens</t>
  </si>
  <si>
    <t>PRV3 RLens</t>
  </si>
  <si>
    <t>GTV 1 AVE</t>
  </si>
  <si>
    <t>Surgical Clips</t>
  </si>
  <si>
    <t>Normal Tissue 46</t>
  </si>
  <si>
    <t>Dose 105[%]OUT</t>
  </si>
  <si>
    <t>Dose 105% out</t>
  </si>
  <si>
    <t>Normal Tissue 50</t>
  </si>
  <si>
    <t>Dose 107[%] bob</t>
  </si>
  <si>
    <t>Dose 5992cGy bob</t>
  </si>
  <si>
    <t>45GyIDL</t>
  </si>
  <si>
    <t>eval PTV photon</t>
  </si>
  <si>
    <t>hoton</t>
  </si>
  <si>
    <t>1.0Bolus</t>
  </si>
  <si>
    <t>BARTS Bolus</t>
  </si>
  <si>
    <t>BARTSBolus</t>
  </si>
  <si>
    <t>opt PTV66</t>
  </si>
  <si>
    <t>PTVeval 60</t>
  </si>
  <si>
    <t>PTVeval 50</t>
  </si>
  <si>
    <t>PTVeval 66</t>
  </si>
  <si>
    <t>PTVeval All</t>
  </si>
  <si>
    <t>opt PTV50</t>
  </si>
  <si>
    <t>D110[%]-BOB1</t>
  </si>
  <si>
    <t>opt PTV 60a</t>
  </si>
  <si>
    <t>opt PTV60b</t>
  </si>
  <si>
    <t>opt CTV 60</t>
  </si>
  <si>
    <t>GTV - Edema</t>
  </si>
  <si>
    <t>Dose 100[%] BREL</t>
  </si>
  <si>
    <t>Dose 50[%] BREL</t>
  </si>
  <si>
    <t>Dose 50[%]0</t>
  </si>
  <si>
    <t>Dose 100[%]0</t>
  </si>
  <si>
    <t>Dose 105[%]0</t>
  </si>
  <si>
    <t>NodesR</t>
  </si>
  <si>
    <t>NodesL</t>
  </si>
  <si>
    <t>Cavity2</t>
  </si>
  <si>
    <t>PREV 50% PARL</t>
  </si>
  <si>
    <t>BOB D 5800[cGy]</t>
  </si>
  <si>
    <t>BOB D 107[%]3</t>
  </si>
  <si>
    <t>Dose 4500[cGy]2</t>
  </si>
  <si>
    <t>Dose 5600[cGy]</t>
  </si>
  <si>
    <t>Spinal Canal1</t>
  </si>
  <si>
    <t>PTV 18Gy/3#</t>
  </si>
  <si>
    <t>GTV 18Gy/3#</t>
  </si>
  <si>
    <t>PTV_eval Nodes</t>
  </si>
  <si>
    <t>New Cavity</t>
  </si>
  <si>
    <t>Dose 5850[cGy]</t>
  </si>
  <si>
    <t>Cavity BRBL</t>
  </si>
  <si>
    <t>BRBL</t>
  </si>
  <si>
    <t>CTV Cavity BRBL</t>
  </si>
  <si>
    <t>PTV Cavity BRBL</t>
  </si>
  <si>
    <t>PTV eval BRBL</t>
  </si>
  <si>
    <t>Cavity LT BREL</t>
  </si>
  <si>
    <t>CTV Cav LT BREL</t>
  </si>
  <si>
    <t>Cav</t>
  </si>
  <si>
    <t>PTV Cavi LT BREL</t>
  </si>
  <si>
    <t>Cavi</t>
  </si>
  <si>
    <t>PTV eval LT BREL</t>
  </si>
  <si>
    <t>PTV eval LT</t>
  </si>
  <si>
    <t>PTV Cavity LT</t>
  </si>
  <si>
    <t>CTV Cavity LT</t>
  </si>
  <si>
    <t>Cavity LT</t>
  </si>
  <si>
    <t>Cavity RT</t>
  </si>
  <si>
    <t>Edge Guide 1</t>
  </si>
  <si>
    <t>Edge Guide 2</t>
  </si>
  <si>
    <t>Staples</t>
  </si>
  <si>
    <t>Dose 50[%].</t>
  </si>
  <si>
    <t>Dose 100[%].</t>
  </si>
  <si>
    <t>Dose 112[%]2</t>
  </si>
  <si>
    <t>Dose 115[%]4</t>
  </si>
  <si>
    <t>Dose 103[%]</t>
  </si>
  <si>
    <t>Dose 109[%]2</t>
  </si>
  <si>
    <t>Dose 103[%]2</t>
  </si>
  <si>
    <t>Dose 90[%]HIP</t>
  </si>
  <si>
    <t>Dose 50[%]HIPL</t>
  </si>
  <si>
    <t>Dose 90[%]PELL</t>
  </si>
  <si>
    <t>Dose 50[%]PELL</t>
  </si>
  <si>
    <t>PREV PROS D50</t>
  </si>
  <si>
    <t>PREV PELB D50</t>
  </si>
  <si>
    <t>Bowel avoidance</t>
  </si>
  <si>
    <t>Dose 6000cGy out</t>
  </si>
  <si>
    <t>Dose 6650[cGy]</t>
  </si>
  <si>
    <t>INF BB</t>
  </si>
  <si>
    <t>D4675[cGy]-1 bob</t>
  </si>
  <si>
    <t>D4675[cGy]-2 bob</t>
  </si>
  <si>
    <t>PTV 9 27Gy/3#</t>
  </si>
  <si>
    <t>PTV 8 24Gy/3#</t>
  </si>
  <si>
    <t>PTV 7 27Gy/3#</t>
  </si>
  <si>
    <t>PTV 6 24Gy/3#</t>
  </si>
  <si>
    <t>GTV 9 27Gy/3#</t>
  </si>
  <si>
    <t>GTV 8 24Gy/3#</t>
  </si>
  <si>
    <t>GTV 7 27Gy/3#</t>
  </si>
  <si>
    <t>GTV 6 24Gy/3#</t>
  </si>
  <si>
    <t>GTV 10 24Gy/3#</t>
  </si>
  <si>
    <t>PTV 10 24Gy/3#</t>
  </si>
  <si>
    <t>Dose 50% BREL</t>
  </si>
  <si>
    <t>thyroid</t>
  </si>
  <si>
    <t>Dose 108.5[%]</t>
  </si>
  <si>
    <t>Avoid Post1</t>
  </si>
  <si>
    <t>BOB 105[%]2</t>
  </si>
  <si>
    <t>BOB 5400[cGy]2</t>
  </si>
  <si>
    <t>BOB 5778[cGy]2</t>
  </si>
  <si>
    <t>BOB 95[%]2</t>
  </si>
  <si>
    <t>D50[%]-C1-ABDO</t>
  </si>
  <si>
    <t>IGTV 48/4</t>
  </si>
  <si>
    <t>48/4</t>
  </si>
  <si>
    <t>PTV 48/4</t>
  </si>
  <si>
    <t>PTV 1 16Gy/3#</t>
  </si>
  <si>
    <t>16Gy/3#</t>
  </si>
  <si>
    <t>GTV 1 16Gy/3#</t>
  </si>
  <si>
    <t>GTV DI CT Dec22</t>
  </si>
  <si>
    <t>Esoph-Stomach</t>
  </si>
  <si>
    <t>Dose 6000[cGy]1</t>
  </si>
  <si>
    <t>PTV 70-ALL</t>
  </si>
  <si>
    <t>PTVp 70</t>
  </si>
  <si>
    <t>CTVn 63</t>
  </si>
  <si>
    <t>PTVn 70</t>
  </si>
  <si>
    <t>PTVn 63</t>
  </si>
  <si>
    <t>GTVn 70</t>
  </si>
  <si>
    <t>CTV L 70</t>
  </si>
  <si>
    <t>PTV L 70</t>
  </si>
  <si>
    <t>GTV 8  27Gy</t>
  </si>
  <si>
    <t>GTV SACR</t>
  </si>
  <si>
    <t>SACR</t>
  </si>
  <si>
    <t>Bolus</t>
  </si>
  <si>
    <t>PTV Wh Brn 12/3</t>
  </si>
  <si>
    <t>PTV Total 21</t>
  </si>
  <si>
    <t>Dose 2150[cGy]</t>
  </si>
  <si>
    <t>PTV CHWR</t>
  </si>
  <si>
    <t>CHWR</t>
  </si>
  <si>
    <t>GTV CHWR</t>
  </si>
  <si>
    <t>CTV CHWR</t>
  </si>
  <si>
    <t>1.0cm BolusSCPR</t>
  </si>
  <si>
    <t>CTV INGR</t>
  </si>
  <si>
    <t>INGR</t>
  </si>
  <si>
    <t>GTV INGR</t>
  </si>
  <si>
    <t>PTV INGR</t>
  </si>
  <si>
    <t>Dose 102[%]2</t>
  </si>
  <si>
    <t>opt PTV45</t>
  </si>
  <si>
    <t>PREV 50% BRER BH</t>
  </si>
  <si>
    <t>GTV 8 27Gy/3#</t>
  </si>
  <si>
    <t>GTV 9 24Gy/3#</t>
  </si>
  <si>
    <t>PTV 8 27Gy/3#</t>
  </si>
  <si>
    <t>PTV 9 24Gy/3#</t>
  </si>
  <si>
    <t>75% bob</t>
  </si>
  <si>
    <t>1cm RT groin</t>
  </si>
  <si>
    <t>1cm LT groin</t>
  </si>
  <si>
    <t>1cm post</t>
  </si>
  <si>
    <t>Prothesis hip R</t>
  </si>
  <si>
    <t>D4760[cGy]-bob</t>
  </si>
  <si>
    <t>PTV55/20</t>
  </si>
  <si>
    <t>CTV55/20</t>
  </si>
  <si>
    <t>PTV 50/20</t>
  </si>
  <si>
    <t>50/20</t>
  </si>
  <si>
    <t>opt PTV 50 R b</t>
  </si>
  <si>
    <t>opt PTV 50 R a</t>
  </si>
  <si>
    <t>CTV 50/20</t>
  </si>
  <si>
    <t>PREV 20Gy esoph</t>
  </si>
  <si>
    <t>65Gy bob sum</t>
  </si>
  <si>
    <t>Dose 6200[cGy]</t>
  </si>
  <si>
    <t>eval CTV crop</t>
  </si>
  <si>
    <t>crop</t>
  </si>
  <si>
    <t>CTV low dose</t>
  </si>
  <si>
    <t>dose</t>
  </si>
  <si>
    <t>Dose 105[%]IM</t>
  </si>
  <si>
    <t>Dose 6400[cGy]</t>
  </si>
  <si>
    <t>Dose 6300[cGy].</t>
  </si>
  <si>
    <t>PTV NEW</t>
  </si>
  <si>
    <t>CTV new</t>
  </si>
  <si>
    <t>CTV38Gy/19</t>
  </si>
  <si>
    <t>38Gy/19</t>
  </si>
  <si>
    <t>PTV 38Gy/19#</t>
  </si>
  <si>
    <t>38Gy/19#</t>
  </si>
  <si>
    <t>Lung B new</t>
  </si>
  <si>
    <t>Dose 104[%].</t>
  </si>
  <si>
    <t>Ectopic Kidney L</t>
  </si>
  <si>
    <t>Vesseks</t>
  </si>
  <si>
    <t>CTV56 orig</t>
  </si>
  <si>
    <t>PTV56 orig</t>
  </si>
  <si>
    <t>CTV 56 correct</t>
  </si>
  <si>
    <t>56 c</t>
  </si>
  <si>
    <t>orrect</t>
  </si>
  <si>
    <t>PTV 56 Correct</t>
  </si>
  <si>
    <t>56 C</t>
  </si>
  <si>
    <t>CTV P</t>
  </si>
  <si>
    <t>Iliac L</t>
  </si>
  <si>
    <t>Iliac R</t>
  </si>
  <si>
    <t>Seminal Ves</t>
  </si>
  <si>
    <t>CHWL2+AXIL2 prev</t>
  </si>
  <si>
    <t>CTV SUM</t>
  </si>
  <si>
    <t>SUM</t>
  </si>
  <si>
    <t>PTV sum 21 Gy</t>
  </si>
  <si>
    <t>Groin Bolus</t>
  </si>
  <si>
    <t>Body-PTV 45</t>
  </si>
  <si>
    <t>Body-Bolus</t>
  </si>
  <si>
    <t>eval PTV59.4</t>
  </si>
  <si>
    <t>eval PTV45</t>
  </si>
  <si>
    <t>opt PTV59.4</t>
  </si>
  <si>
    <t>Body-PTV59.4</t>
  </si>
  <si>
    <t>Dose 5040[cGy]1</t>
  </si>
  <si>
    <t>Dose 105[%]-PTV</t>
  </si>
  <si>
    <t>ext iliac L</t>
  </si>
  <si>
    <t>ext iliac R</t>
  </si>
  <si>
    <t>PRV8</t>
  </si>
  <si>
    <t>CTV 66 L</t>
  </si>
  <si>
    <t>Dose 2125cGyPREV</t>
  </si>
  <si>
    <t>D 50% AXIL</t>
  </si>
  <si>
    <t>Dose 5150[cGy]</t>
  </si>
  <si>
    <t>opt PTV 20 L</t>
  </si>
  <si>
    <t>CTV 20 L</t>
  </si>
  <si>
    <t>PTV 20 L</t>
  </si>
  <si>
    <t>Cavity1</t>
  </si>
  <si>
    <t>Dose 100[%]UTER</t>
  </si>
  <si>
    <t>optCTV46</t>
  </si>
  <si>
    <t>PTV-Total</t>
  </si>
  <si>
    <t>-Total</t>
  </si>
  <si>
    <t>GTV-Total</t>
  </si>
  <si>
    <t>PRV canal</t>
  </si>
  <si>
    <t>D4670[cGy]-BOB-A</t>
  </si>
  <si>
    <t>D4670[cGy]-BOB-B</t>
  </si>
  <si>
    <t>Dose 6000[cGy] 2</t>
  </si>
  <si>
    <t>Dose 107[%]4</t>
  </si>
  <si>
    <t>Dose 95[%]4</t>
  </si>
  <si>
    <t>Dose 6000[cGy]4</t>
  </si>
  <si>
    <t>Dose 60 OUT4</t>
  </si>
  <si>
    <t>Dose 60 OUT2</t>
  </si>
  <si>
    <t>Dose 95[%]3</t>
  </si>
  <si>
    <t>Dose 107[%]4 2</t>
  </si>
  <si>
    <t>Dose 60 out3</t>
  </si>
  <si>
    <t>Dose 60 OUT IMRT</t>
  </si>
  <si>
    <t>D80</t>
  </si>
  <si>
    <t>D25 Gy - C1 prev</t>
  </si>
  <si>
    <t>eval PTV36</t>
  </si>
  <si>
    <t>PTV  54</t>
  </si>
  <si>
    <t>PTV  36</t>
  </si>
  <si>
    <t>50gy bob</t>
  </si>
  <si>
    <t>Dose 110[%]-BOB</t>
  </si>
  <si>
    <t>CTVall</t>
  </si>
  <si>
    <t>PRV Brach Plex</t>
  </si>
  <si>
    <t>opt PTV 1mm</t>
  </si>
  <si>
    <t>opt PTV eval</t>
  </si>
  <si>
    <t>Lungs</t>
  </si>
  <si>
    <t>Iliac vessels L</t>
  </si>
  <si>
    <t>Iliac vessels R</t>
  </si>
  <si>
    <t>T2TSE nodes</t>
  </si>
  <si>
    <t>PET nodes</t>
  </si>
  <si>
    <t>CTV 44</t>
  </si>
  <si>
    <t>opt PTV 44 L a</t>
  </si>
  <si>
    <t>opt PTV 44 L b</t>
  </si>
  <si>
    <t>PTV 44</t>
  </si>
  <si>
    <t>Dose 1908[cGy]</t>
  </si>
  <si>
    <t>LAD</t>
  </si>
  <si>
    <t>D4670[cGy]-bob</t>
  </si>
  <si>
    <t>Med BB</t>
  </si>
  <si>
    <t>Nodes Level III</t>
  </si>
  <si>
    <t>D4675[cGy]-BOB-A</t>
  </si>
  <si>
    <t>D4675[cGy]-BOB-B</t>
  </si>
  <si>
    <t>? Tumour bed</t>
  </si>
  <si>
    <t>Body-Arm</t>
  </si>
  <si>
    <t>Digits</t>
  </si>
  <si>
    <t>PTV64</t>
  </si>
  <si>
    <t>BB/TATTOO</t>
  </si>
  <si>
    <t>opt PTV54b</t>
  </si>
  <si>
    <t>opt PTV54a</t>
  </si>
  <si>
    <t>Dose 50[%] 1</t>
  </si>
  <si>
    <t>Spinal Canal out</t>
  </si>
  <si>
    <t>Bone</t>
  </si>
  <si>
    <t>Dose 50[%]2</t>
  </si>
  <si>
    <t>Dose 100[%]2</t>
  </si>
  <si>
    <t>BOB 110[%]</t>
  </si>
  <si>
    <t>small bowel</t>
  </si>
  <si>
    <t>3mm Bolus</t>
  </si>
  <si>
    <t>CTV LT</t>
  </si>
  <si>
    <t>GTV LT</t>
  </si>
  <si>
    <t>GTV RT</t>
  </si>
  <si>
    <t>CTV RT</t>
  </si>
  <si>
    <t>RT PROSTHESIS</t>
  </si>
  <si>
    <t>LT PROSTHESIS</t>
  </si>
  <si>
    <t>Pec major/minor</t>
  </si>
  <si>
    <t>CTV 63 L orig</t>
  </si>
  <si>
    <t>CTV 56 R orig</t>
  </si>
  <si>
    <t>CTV 63 R orig</t>
  </si>
  <si>
    <t>PTV 56 R orig</t>
  </si>
  <si>
    <t>PTV 63 orig</t>
  </si>
  <si>
    <t>GTV 2 32.5Gy/5#</t>
  </si>
  <si>
    <t>PTV 2 32.5Gy/5#</t>
  </si>
  <si>
    <t>BOB 107[%]</t>
  </si>
  <si>
    <t>RT LUNG + FLUID</t>
  </si>
  <si>
    <t>Dose 100[%] SPIT</t>
  </si>
  <si>
    <t>Dose 100[%] SPIL</t>
  </si>
  <si>
    <t>Dose 50[%] SPIL</t>
  </si>
  <si>
    <t>Nodes AxillaIII</t>
  </si>
  <si>
    <t>AxillaIII</t>
  </si>
  <si>
    <t>vessels+1.5</t>
  </si>
  <si>
    <t>opt PTV 36 a</t>
  </si>
  <si>
    <t>opt PTV 36 b</t>
  </si>
  <si>
    <t>BOB 95 OUT</t>
  </si>
  <si>
    <t>BOB 95[%]</t>
  </si>
  <si>
    <t>BOB 95[%]3</t>
  </si>
  <si>
    <t>BOB 104[%]3</t>
  </si>
  <si>
    <t>CTV BLAD</t>
  </si>
  <si>
    <t>BLAD</t>
  </si>
  <si>
    <t>Body-PTVLLL+2</t>
  </si>
  <si>
    <t>PTV 3 RLLat</t>
  </si>
  <si>
    <t>RLLat</t>
  </si>
  <si>
    <t>PTV 2 RLL</t>
  </si>
  <si>
    <t>RLL</t>
  </si>
  <si>
    <t>PTV 1 LLL</t>
  </si>
  <si>
    <t>LLL</t>
  </si>
  <si>
    <t>ITV 1 LLL</t>
  </si>
  <si>
    <t>GTV 1 LLL</t>
  </si>
  <si>
    <t>GTV 2 RLL</t>
  </si>
  <si>
    <t>GTV 3 RLLat</t>
  </si>
  <si>
    <t>GTV PET 3 RLLat</t>
  </si>
  <si>
    <t>GTV PET 2 RLL</t>
  </si>
  <si>
    <t>GTV PET 1 LLL</t>
  </si>
  <si>
    <t>PTVLLL+2</t>
  </si>
  <si>
    <t>ITV 2 RLL</t>
  </si>
  <si>
    <t>ITV 3 RLLat</t>
  </si>
  <si>
    <t>PTV RLL All</t>
  </si>
  <si>
    <t>opt PTV RLL</t>
  </si>
  <si>
    <t>D105 RT</t>
  </si>
  <si>
    <t>ITV RLL All</t>
  </si>
  <si>
    <t>GTVm</t>
  </si>
  <si>
    <t>PTV 20 Gy</t>
  </si>
  <si>
    <t>20 Gy</t>
  </si>
  <si>
    <t>PTV 18 Gy</t>
  </si>
  <si>
    <t>PTVn 46Gy</t>
  </si>
  <si>
    <t>46Gy</t>
  </si>
  <si>
    <t>PTV 50Gy</t>
  </si>
  <si>
    <t>50Gy</t>
  </si>
  <si>
    <t>opt PTV 46 R a</t>
  </si>
  <si>
    <t>opt PTV 46 R b</t>
  </si>
  <si>
    <t>BOB 4876[cGy]</t>
  </si>
  <si>
    <t>BOB 105.5[%]</t>
  </si>
  <si>
    <t>PRV3 Lenses</t>
  </si>
  <si>
    <t>PREV BRER D50%</t>
  </si>
  <si>
    <t>PREV BREL D50%</t>
  </si>
  <si>
    <t>LT Cavity</t>
  </si>
  <si>
    <t>LT CTV Cavity</t>
  </si>
  <si>
    <t>LT PTV Cavity</t>
  </si>
  <si>
    <t>LT PTV eval</t>
  </si>
  <si>
    <t>LT Scar Wire</t>
  </si>
  <si>
    <t>RT Cavity</t>
  </si>
  <si>
    <t>RT CTV Cavity</t>
  </si>
  <si>
    <t>RT PTV Cavity</t>
  </si>
  <si>
    <t>RT PTV eval</t>
  </si>
  <si>
    <t>RT Scar Wire</t>
  </si>
  <si>
    <t>LT 0.5cm bolus</t>
  </si>
  <si>
    <t>LT-Cavity</t>
  </si>
  <si>
    <t>LT-CTV Cavity</t>
  </si>
  <si>
    <t>LT-PTV Cavity</t>
  </si>
  <si>
    <t>LT-PTV eval</t>
  </si>
  <si>
    <t>LT-Scar Wire</t>
  </si>
  <si>
    <t>RT-Cavity</t>
  </si>
  <si>
    <t>RT-CTV Cavity</t>
  </si>
  <si>
    <t>RT-PTV Cavity</t>
  </si>
  <si>
    <t>RT-PTV eval</t>
  </si>
  <si>
    <t>RT-Scar Wire</t>
  </si>
  <si>
    <t>GTV_PET</t>
  </si>
  <si>
    <t>Dose 107%</t>
  </si>
  <si>
    <t>Dose 106[%] bob</t>
  </si>
  <si>
    <t>BOB 50[%]</t>
  </si>
  <si>
    <t>Adjusted Bolus</t>
  </si>
  <si>
    <t>MetallicLock Bar</t>
  </si>
  <si>
    <t>GTV 2 21Gy</t>
  </si>
  <si>
    <t>CTV 1</t>
  </si>
  <si>
    <t>D1300[cGy]-bob</t>
  </si>
  <si>
    <t>D1050[cGy]-bob</t>
  </si>
  <si>
    <t>BOB 109[%]</t>
  </si>
  <si>
    <t>1.0cm Bolus post</t>
  </si>
  <si>
    <t>Normal Tissue 48</t>
  </si>
  <si>
    <t>Left LENS</t>
  </si>
  <si>
    <t>R LENS</t>
  </si>
  <si>
    <t>bb</t>
  </si>
  <si>
    <t>PTV Cavity RT</t>
  </si>
  <si>
    <t>PTV eval RT</t>
  </si>
  <si>
    <t>OralAvoidance</t>
  </si>
  <si>
    <t>Dose 5320 bob</t>
  </si>
  <si>
    <t>PTV55</t>
  </si>
  <si>
    <t>CTV55</t>
  </si>
  <si>
    <t>D4725</t>
  </si>
  <si>
    <t>D5225</t>
  </si>
  <si>
    <t>D4275</t>
  </si>
  <si>
    <t>PRV5 CE</t>
  </si>
  <si>
    <t>Dose 90[%] MEDI</t>
  </si>
  <si>
    <t>Dose 50[%]MEDI</t>
  </si>
  <si>
    <t>BRAIN</t>
  </si>
  <si>
    <t>LARYNX</t>
  </si>
  <si>
    <t>MANDIBLE</t>
  </si>
  <si>
    <t>Dose 50[%] TONS</t>
  </si>
  <si>
    <t>BOB 4500[cGy]</t>
  </si>
  <si>
    <t>CTV BOOS</t>
  </si>
  <si>
    <t>GTV BOOS</t>
  </si>
  <si>
    <t>Dose 100[%] TONS</t>
  </si>
  <si>
    <t>BOB 4536[cGy]</t>
  </si>
  <si>
    <t>BOB 109[%]2</t>
  </si>
  <si>
    <t>PTV 45 R</t>
  </si>
  <si>
    <t>BOB 109[%]NEW2</t>
  </si>
  <si>
    <t>PTV 3 24Gy</t>
  </si>
  <si>
    <t>bob 30[%]</t>
  </si>
  <si>
    <t>Dose 107.5[%]</t>
  </si>
  <si>
    <t>opt PTVall +0.1</t>
  </si>
  <si>
    <t>eval PTV 1</t>
  </si>
  <si>
    <t>eval PTV 2</t>
  </si>
  <si>
    <t>PTV All eval</t>
  </si>
  <si>
    <t>GTV3</t>
  </si>
  <si>
    <t>PTV 35 Gy</t>
  </si>
  <si>
    <t>35 Gy</t>
  </si>
  <si>
    <t>Fiducial Marker</t>
  </si>
  <si>
    <t>LacrimalGland_L</t>
  </si>
  <si>
    <t>Kidneys</t>
  </si>
  <si>
    <t>Hardware LT</t>
  </si>
  <si>
    <t>D50.5(Gy)-bob</t>
  </si>
  <si>
    <t>D5060[cGy]-bob</t>
  </si>
  <si>
    <t>PTV 70Gy</t>
  </si>
  <si>
    <t>70Gy</t>
  </si>
  <si>
    <t>CTV 70 Gy</t>
  </si>
  <si>
    <t>70 Gy</t>
  </si>
  <si>
    <t>CTVn 70Gy</t>
  </si>
  <si>
    <t>CTVn56R</t>
  </si>
  <si>
    <t>CTVn56L</t>
  </si>
  <si>
    <t>PTVn56 R</t>
  </si>
  <si>
    <t>PTVn56 L</t>
  </si>
  <si>
    <t>PTV 70 ALL</t>
  </si>
  <si>
    <t>CTV 70 ALL</t>
  </si>
  <si>
    <t>iliac R</t>
  </si>
  <si>
    <t>iliac L</t>
  </si>
  <si>
    <t>Spinal Canal2</t>
  </si>
  <si>
    <t>Kidney Pelvic</t>
  </si>
  <si>
    <t>1 cm bolus</t>
  </si>
  <si>
    <t>PTV5mm</t>
  </si>
  <si>
    <t>GTV 25</t>
  </si>
  <si>
    <t>CTV 25</t>
  </si>
  <si>
    <t>PTV 25</t>
  </si>
  <si>
    <t>BOB 5700[cGy]</t>
  </si>
  <si>
    <t>CTV 50B</t>
  </si>
  <si>
    <t>PTV 60 SKIN CROP</t>
  </si>
  <si>
    <t>SKIN</t>
  </si>
  <si>
    <t>C</t>
  </si>
  <si>
    <t>PTV 50 SKIN CROP</t>
  </si>
  <si>
    <t>NEURO OAR 54</t>
  </si>
  <si>
    <t>CTV 50 ALL</t>
  </si>
  <si>
    <t>CTV 60 SKIN CROP</t>
  </si>
  <si>
    <t>EVAL CTV 54</t>
  </si>
  <si>
    <t>Spinal cord</t>
  </si>
  <si>
    <t>PTV 27Gy</t>
  </si>
  <si>
    <t>SpinalCanal1</t>
  </si>
  <si>
    <t>Cervix/Vagina</t>
  </si>
  <si>
    <t>Uterus +1.7cm</t>
  </si>
  <si>
    <t>Cervix/Vag +1.3</t>
  </si>
  <si>
    <t>PTV-EARL</t>
  </si>
  <si>
    <t>EARL</t>
  </si>
  <si>
    <t>CTV-EARL</t>
  </si>
  <si>
    <t>CTV-NOSE</t>
  </si>
  <si>
    <t>NOSE</t>
  </si>
  <si>
    <t>PTV-NOSE</t>
  </si>
  <si>
    <t>opt PTV-NOSE</t>
  </si>
  <si>
    <t>opt PTV-EARL</t>
  </si>
  <si>
    <t>Moustache avoid</t>
  </si>
  <si>
    <t>opt PTV-ALL+.1</t>
  </si>
  <si>
    <t>Body-PTV 30</t>
  </si>
  <si>
    <t>1.0cmBolus Lt Gr</t>
  </si>
  <si>
    <t>1.0cmBolus Rt Gr</t>
  </si>
  <si>
    <t>PREV BRER D50</t>
  </si>
  <si>
    <t>PET Original</t>
  </si>
  <si>
    <t>PTV C7T4 20/5</t>
  </si>
  <si>
    <t>PTV T6-8 8/1</t>
  </si>
  <si>
    <t>CTV C7T4 20/5</t>
  </si>
  <si>
    <t>CTV T6-8 8/1</t>
  </si>
  <si>
    <t>CiED-Pacemaker</t>
  </si>
  <si>
    <t>PTV Eval</t>
  </si>
  <si>
    <t>opt PTVbl</t>
  </si>
  <si>
    <t>opt PTVal</t>
  </si>
  <si>
    <t>opt PTVh</t>
  </si>
  <si>
    <t>opt PTVl</t>
  </si>
  <si>
    <t>l</t>
  </si>
  <si>
    <t>opt PTVbh</t>
  </si>
  <si>
    <t>opt PTVah</t>
  </si>
  <si>
    <t>opt PTV 25</t>
  </si>
  <si>
    <t>Lt Prosthesis</t>
  </si>
  <si>
    <t>Dose 25GyANUS</t>
  </si>
  <si>
    <t>Dose 12.5GyANUS</t>
  </si>
  <si>
    <t>3D BolusfromCBCT</t>
  </si>
  <si>
    <t>Body+Mask</t>
  </si>
  <si>
    <t>Dose95[%]OROP</t>
  </si>
  <si>
    <t>Dose 50[%]OROP</t>
  </si>
  <si>
    <t>ESOPH</t>
  </si>
  <si>
    <t>D95 PELB</t>
  </si>
  <si>
    <t>opt Small Bowel</t>
  </si>
  <si>
    <t>opt PTV66a</t>
  </si>
  <si>
    <t>opt PTV60a</t>
  </si>
  <si>
    <t>opt PTV46b</t>
  </si>
  <si>
    <t>opt PTV46a</t>
  </si>
  <si>
    <t>opt PTV66b</t>
  </si>
  <si>
    <t>WET GAUZE</t>
  </si>
  <si>
    <t>PTV 18Gy</t>
  </si>
  <si>
    <t>eval PTV B</t>
  </si>
  <si>
    <t>GTV orig</t>
  </si>
  <si>
    <t>opt PTV-ITV</t>
  </si>
  <si>
    <t>GTV 2 32.5Gy</t>
  </si>
  <si>
    <t>GTV 3 32.5Gy</t>
  </si>
  <si>
    <t>GTV 4 35Gy</t>
  </si>
  <si>
    <t>GTV Rt PreOp</t>
  </si>
  <si>
    <t>Rt</t>
  </si>
  <si>
    <t>PTV 2 32.5Gy</t>
  </si>
  <si>
    <t>PTV 3 32.5Gy</t>
  </si>
  <si>
    <t>PTV 4 35Gy</t>
  </si>
  <si>
    <t>meso + 10</t>
  </si>
  <si>
    <t>CTV iliac</t>
  </si>
  <si>
    <t>MesoRect+presacr</t>
  </si>
  <si>
    <t>Iliac vess L</t>
  </si>
  <si>
    <t>Iliac vess R</t>
  </si>
  <si>
    <t>Anus</t>
  </si>
  <si>
    <t>node + 10</t>
  </si>
  <si>
    <t>node</t>
  </si>
  <si>
    <t>BOB 105[%]3</t>
  </si>
  <si>
    <t>PTV BOOS</t>
  </si>
  <si>
    <t>opt PTV BOOS</t>
  </si>
  <si>
    <t>BOB 104[%]2</t>
  </si>
  <si>
    <t>PTV-SKIN</t>
  </si>
  <si>
    <t>PTV eval BRBR</t>
  </si>
  <si>
    <t>PTV Cavity2</t>
  </si>
  <si>
    <t>Cavity BRBR</t>
  </si>
  <si>
    <t>BRBR</t>
  </si>
  <si>
    <t>PTV eval BRER</t>
  </si>
  <si>
    <t>PTV Cavity1</t>
  </si>
  <si>
    <t>CTV Cavity BRBR</t>
  </si>
  <si>
    <t>Cavity BRER</t>
  </si>
  <si>
    <t>BRER</t>
  </si>
  <si>
    <t>CTVboost14.4/8</t>
  </si>
  <si>
    <t>boost</t>
  </si>
  <si>
    <t>Uterus/Cervix</t>
  </si>
  <si>
    <t>PTVboost14.4/8</t>
  </si>
  <si>
    <t>CTV prostate</t>
  </si>
  <si>
    <t>rostate</t>
  </si>
  <si>
    <t>D80b</t>
  </si>
  <si>
    <t>GTV plus 7mm</t>
  </si>
  <si>
    <t>lus</t>
  </si>
  <si>
    <t>Pre-op Tumor CT</t>
  </si>
  <si>
    <t>Pre-op Tumor MRI</t>
  </si>
  <si>
    <t>Pre-op Tumor+2cm</t>
  </si>
  <si>
    <t>CTV 2.0 Gy - new</t>
  </si>
  <si>
    <t>2.0 Gy</t>
  </si>
  <si>
    <t>opt PTV 76.2</t>
  </si>
  <si>
    <t>opt PTV 71.1</t>
  </si>
  <si>
    <t>GTV-New</t>
  </si>
  <si>
    <t>New</t>
  </si>
  <si>
    <t>Postop Tumor MRI</t>
  </si>
  <si>
    <t>CTV 2.6 Gy - new</t>
  </si>
  <si>
    <t>2.6 Gy</t>
  </si>
  <si>
    <t>PTV 2.0 Gy - new</t>
  </si>
  <si>
    <t>PTV 2.6 Gy - new</t>
  </si>
  <si>
    <t>CTV 2.3 Gy - new</t>
  </si>
  <si>
    <t>2.3 Gy</t>
  </si>
  <si>
    <t>PTV 2.3 Gy - new</t>
  </si>
  <si>
    <t>BOB 104.5[%]</t>
  </si>
  <si>
    <t>BOB 5500[cGy]</t>
  </si>
  <si>
    <t>Match points</t>
  </si>
  <si>
    <t>D106.5[%]-BOB</t>
  </si>
  <si>
    <t>D104.5[%]-BOB</t>
  </si>
  <si>
    <t>opt PTVall</t>
  </si>
  <si>
    <t>opt PTVa40</t>
  </si>
  <si>
    <t>opt PTVb30</t>
  </si>
  <si>
    <t>opt PTVc 30-40</t>
  </si>
  <si>
    <t>opt PTVc2-30-40</t>
  </si>
  <si>
    <t>D3210[cGy]-BOB</t>
  </si>
  <si>
    <t>D3150[cGy]-bob</t>
  </si>
  <si>
    <t>PTV 24Gy</t>
  </si>
  <si>
    <t>BOB 111[%]</t>
  </si>
  <si>
    <t>PTV50/20</t>
  </si>
  <si>
    <t>PTV40/20</t>
  </si>
  <si>
    <t>40/20</t>
  </si>
  <si>
    <t>PTV eval orig</t>
  </si>
  <si>
    <t>Lung B1</t>
  </si>
  <si>
    <t>PTV Cavity orig</t>
  </si>
  <si>
    <t>CTV Cavity orig</t>
  </si>
  <si>
    <t>Cavity orig</t>
  </si>
  <si>
    <t>Dose 45Gy IDL</t>
  </si>
  <si>
    <t>PTV 48Gy</t>
  </si>
  <si>
    <t>48Gy</t>
  </si>
  <si>
    <t>PTV nodes + IMC</t>
  </si>
  <si>
    <t>opt PTV 54 R</t>
  </si>
  <si>
    <t>BOB 60 OUT</t>
  </si>
  <si>
    <t>BOB X</t>
  </si>
  <si>
    <t>BOB 6000[cGy]</t>
  </si>
  <si>
    <t>BOB 6000[cGy] 2</t>
  </si>
  <si>
    <t>BOB 108[%]</t>
  </si>
  <si>
    <t>BOB 106.5[%]</t>
  </si>
  <si>
    <t>BOB 57 OUT</t>
  </si>
  <si>
    <t>PTV-CTV</t>
  </si>
  <si>
    <t>PTV 46/23</t>
  </si>
  <si>
    <t>CTV 46/23</t>
  </si>
  <si>
    <t>opt Lung L</t>
  </si>
  <si>
    <t>opt Lung R</t>
  </si>
  <si>
    <t>mod PTV</t>
  </si>
  <si>
    <t>Bowel bag</t>
  </si>
  <si>
    <t>Airway</t>
  </si>
  <si>
    <t>opt PTV68</t>
  </si>
  <si>
    <t>opt CTV48</t>
  </si>
  <si>
    <t>BOB 4896[cGy]2</t>
  </si>
  <si>
    <t>BrachialPlexsR</t>
  </si>
  <si>
    <t>BrachialPlexsL</t>
  </si>
  <si>
    <t>GTVSkin</t>
  </si>
  <si>
    <t>PTV3.3Gy/Frac</t>
  </si>
  <si>
    <t>3.3Gy</t>
  </si>
  <si>
    <t>CTV3.3Gy/Frac</t>
  </si>
  <si>
    <t>opt PTV 48 R c</t>
  </si>
  <si>
    <t>BOB 6996[cGy]8</t>
  </si>
  <si>
    <t>BOB 6420[cGy]</t>
  </si>
  <si>
    <t>eval PTV70</t>
  </si>
  <si>
    <t>eval PTV60</t>
  </si>
  <si>
    <t>Skull</t>
  </si>
  <si>
    <t>0.8cm Bolus</t>
  </si>
  <si>
    <t>Dose 108[%] bob</t>
  </si>
  <si>
    <t>PTV46-CTV46</t>
  </si>
  <si>
    <t>PTV66-CTV66</t>
  </si>
  <si>
    <t>PTV60-CTV60</t>
  </si>
  <si>
    <t>5040 bob</t>
  </si>
  <si>
    <t>Cricoid level</t>
  </si>
  <si>
    <t>CTV Cavity ORIG</t>
  </si>
  <si>
    <t>PTV eval ORIG</t>
  </si>
  <si>
    <t>PTV Cavity ORIG</t>
  </si>
  <si>
    <t>PTVall</t>
  </si>
  <si>
    <t>CTV 1 35gy</t>
  </si>
  <si>
    <t>35gy</t>
  </si>
  <si>
    <t>HTV 1 35Gy</t>
  </si>
  <si>
    <t>optPTV ring</t>
  </si>
  <si>
    <t>ring</t>
  </si>
  <si>
    <t>CA</t>
  </si>
  <si>
    <t>SC+0.5</t>
  </si>
  <si>
    <t>Contrast/Gas</t>
  </si>
  <si>
    <t>Vessels+1</t>
  </si>
  <si>
    <t>PTV45pelvis</t>
  </si>
  <si>
    <t>pelvis</t>
  </si>
  <si>
    <t>CTV45pelvis</t>
  </si>
  <si>
    <t>opt PTV45pelvis</t>
  </si>
  <si>
    <t>opt PTV50.4</t>
  </si>
  <si>
    <t>WIRE</t>
  </si>
  <si>
    <t>PTV 60 Gy</t>
  </si>
  <si>
    <t>60 Gy</t>
  </si>
  <si>
    <t>BOB 106[%]2</t>
  </si>
  <si>
    <t>PRV Lenses 3mm</t>
  </si>
  <si>
    <t>PRV3mm Globes</t>
  </si>
  <si>
    <t>Pros</t>
  </si>
  <si>
    <t>Dose 5040[cGy]2</t>
  </si>
  <si>
    <t>CTV 76/38</t>
  </si>
  <si>
    <t>76/38</t>
  </si>
  <si>
    <t>PTV 76/38</t>
  </si>
  <si>
    <t>eval PTV 46/23</t>
  </si>
  <si>
    <t>PTV_High</t>
  </si>
  <si>
    <t>High</t>
  </si>
  <si>
    <t>FieldGuide_CLAL</t>
  </si>
  <si>
    <t>Field Guide</t>
  </si>
  <si>
    <t>CTV suggest</t>
  </si>
  <si>
    <t>Pre-op GTV</t>
  </si>
  <si>
    <t>GTV suggest</t>
  </si>
  <si>
    <t>PTV suggest</t>
  </si>
  <si>
    <t>PTV skin crop</t>
  </si>
  <si>
    <t>Pulmonary Artery</t>
  </si>
  <si>
    <t>PRV3 Plexus</t>
  </si>
  <si>
    <t>D104.5[%]-bob</t>
  </si>
  <si>
    <t>0.5CM Bolus</t>
  </si>
  <si>
    <t>Wire / bb</t>
  </si>
  <si>
    <t>GroinRIGHT</t>
  </si>
  <si>
    <t>groin LEFT</t>
  </si>
  <si>
    <t>GTV Vagina</t>
  </si>
  <si>
    <t>PTV55.8</t>
  </si>
  <si>
    <t>BOWEL OVERLAP</t>
  </si>
  <si>
    <t>Dose100(%)</t>
  </si>
  <si>
    <t>Dose105(%)</t>
  </si>
  <si>
    <t>Dose 55Gy sum</t>
  </si>
  <si>
    <t>Dose 104% bob</t>
  </si>
  <si>
    <t>Fiducial Markers</t>
  </si>
  <si>
    <t>fiducial</t>
  </si>
  <si>
    <t>PTVeval</t>
  </si>
  <si>
    <t>CTVn boos</t>
  </si>
  <si>
    <t>boos</t>
  </si>
  <si>
    <t>CTV boos</t>
  </si>
  <si>
    <t>PTV boos comb</t>
  </si>
  <si>
    <t>CTV boos comb</t>
  </si>
  <si>
    <t>AxillaryNerves R</t>
  </si>
  <si>
    <t>NodeSmall</t>
  </si>
  <si>
    <t>NodeS</t>
  </si>
  <si>
    <t>Bladder.</t>
  </si>
  <si>
    <t>Rectum.</t>
  </si>
  <si>
    <t>CTVP</t>
  </si>
  <si>
    <t>CTVp orig</t>
  </si>
  <si>
    <t>CTVALL</t>
  </si>
  <si>
    <t>Dose 80[%]2</t>
  </si>
  <si>
    <t>PTV prostate</t>
  </si>
  <si>
    <t>D104</t>
  </si>
  <si>
    <t>GTV 2 27.5Gy</t>
  </si>
  <si>
    <t>GTV 1 27.5Gy</t>
  </si>
  <si>
    <t>PTV 2 27.5Gy</t>
  </si>
  <si>
    <t>opt PTV 2</t>
  </si>
  <si>
    <t>Node L</t>
  </si>
  <si>
    <t>Node R</t>
  </si>
  <si>
    <t>Rectosigmoid</t>
  </si>
  <si>
    <t>D105[%] BOB</t>
  </si>
  <si>
    <t>D105[%]B</t>
  </si>
  <si>
    <t>CTV 1 32.5Gy/5#</t>
  </si>
  <si>
    <t>Dose 50% BOB</t>
  </si>
  <si>
    <t>opt PTV55b</t>
  </si>
  <si>
    <t>opt PTV55a</t>
  </si>
  <si>
    <t>Kidney_R</t>
  </si>
  <si>
    <t>Kidney_L</t>
  </si>
  <si>
    <t>PTVEVAL</t>
  </si>
  <si>
    <t>Dose 95[%]5</t>
  </si>
  <si>
    <t>Dose 105[%]6</t>
  </si>
  <si>
    <t>PTV_R_Node14.4</t>
  </si>
  <si>
    <t>PTV_L_Node14.4</t>
  </si>
  <si>
    <t>optLung L</t>
  </si>
  <si>
    <t>PTV LUNL</t>
  </si>
  <si>
    <t>PTV RIBL</t>
  </si>
  <si>
    <t>RIBL</t>
  </si>
  <si>
    <t>GTV RIBL</t>
  </si>
  <si>
    <t>D80% LUNL</t>
  </si>
  <si>
    <t>Dose 1000[cGy]</t>
  </si>
  <si>
    <t>opt Bowel</t>
  </si>
  <si>
    <t>BOB 107[%]2</t>
  </si>
  <si>
    <t>opt PTV 56 R</t>
  </si>
  <si>
    <t>ITV-T-LR</t>
  </si>
  <si>
    <t>T</t>
  </si>
  <si>
    <t>PTV-E</t>
  </si>
  <si>
    <t>E</t>
  </si>
  <si>
    <t>PTV45-T</t>
  </si>
  <si>
    <t>LR full</t>
  </si>
  <si>
    <t>LR-empty</t>
  </si>
  <si>
    <t>CTV-T LRFull</t>
  </si>
  <si>
    <t>LRFull</t>
  </si>
  <si>
    <t>GTV-T</t>
  </si>
  <si>
    <t>CTV-LR-Empty</t>
  </si>
  <si>
    <t>LR</t>
  </si>
  <si>
    <t>vessels+1</t>
  </si>
  <si>
    <t>PTVn1-55.8Gy</t>
  </si>
  <si>
    <t>PTVn2-59.4Gy</t>
  </si>
  <si>
    <t>eval PTV 55.8Gy</t>
  </si>
  <si>
    <t>55.8Gy</t>
  </si>
  <si>
    <t>opt PTV 55.8 L a</t>
  </si>
  <si>
    <t>opt PTV 55.8 L b</t>
  </si>
  <si>
    <t>opt PTV 59.4 R a</t>
  </si>
  <si>
    <t>opt PTV 59.4 R b</t>
  </si>
  <si>
    <t>OARs</t>
  </si>
  <si>
    <t>CTV primary</t>
  </si>
  <si>
    <t>rimary</t>
  </si>
  <si>
    <t>eval PTV nodes</t>
  </si>
  <si>
    <t>PTV primary</t>
  </si>
  <si>
    <t>MissingTissueBol</t>
  </si>
  <si>
    <t>PTV 50.4 Gy</t>
  </si>
  <si>
    <t>50.4 Gy</t>
  </si>
  <si>
    <t>RACOUSTIC</t>
  </si>
  <si>
    <t>LACOUSTIC</t>
  </si>
  <si>
    <t>Body-PTV+0.8</t>
  </si>
  <si>
    <t>CTV Cavity Eval</t>
  </si>
  <si>
    <t>opt PTV36</t>
  </si>
  <si>
    <t>opt PTV30</t>
  </si>
  <si>
    <t>Normal Tissue2</t>
  </si>
  <si>
    <t>BOB 112[%]</t>
  </si>
  <si>
    <t>CTVboth</t>
  </si>
  <si>
    <t>BOB 4560[cGy]</t>
  </si>
  <si>
    <t>BOB 5000[cGy]</t>
  </si>
  <si>
    <t>Hand L</t>
  </si>
  <si>
    <t>PTV50-CTV50</t>
  </si>
  <si>
    <t>Prox Bronch Tree</t>
  </si>
  <si>
    <t>Prox Bronc  Zone</t>
  </si>
  <si>
    <t>CTV 24</t>
  </si>
  <si>
    <t>opt PTV 24</t>
  </si>
  <si>
    <t>SUP 1.0cm Bolus</t>
  </si>
  <si>
    <t>INF 1.0cm Bolus</t>
  </si>
  <si>
    <t>MesoRect+Presacr</t>
  </si>
  <si>
    <t>GTVn_Rt_II</t>
  </si>
  <si>
    <t>GTVn_Rt_IVB</t>
  </si>
  <si>
    <t>Dose60Gy</t>
  </si>
  <si>
    <t>Prox bronch zone</t>
  </si>
  <si>
    <t>Prox bronch tree</t>
  </si>
  <si>
    <t>PREV 48Gy</t>
  </si>
  <si>
    <t>PREV 24Gy</t>
  </si>
  <si>
    <t>PREV 45.6Gy</t>
  </si>
  <si>
    <t>PREV 4.8Gy</t>
  </si>
  <si>
    <t>PREV 2.4Gy</t>
  </si>
  <si>
    <t>D4505[cGy]-bobnb</t>
  </si>
  <si>
    <t>D4500[cGy]-bob3</t>
  </si>
  <si>
    <t>Vagina FullORIG</t>
  </si>
  <si>
    <t>Dose 105.5% BOB</t>
  </si>
  <si>
    <t>Lip</t>
  </si>
  <si>
    <t>opt PTV 56 a</t>
  </si>
  <si>
    <t>BOB 6000 IN</t>
  </si>
  <si>
    <t>IGTV LUNR</t>
  </si>
  <si>
    <t>LUNR</t>
  </si>
  <si>
    <t>ITV LUNR</t>
  </si>
  <si>
    <t>PTV LUNR</t>
  </si>
  <si>
    <t>PRV5 Plexus</t>
  </si>
  <si>
    <t>CTV_1+2</t>
  </si>
  <si>
    <t>SP PRV</t>
  </si>
  <si>
    <t>CTV_R</t>
  </si>
  <si>
    <t>CTV_L</t>
  </si>
  <si>
    <t>opt PTV21Gy</t>
  </si>
  <si>
    <t>PTV 21Gy</t>
  </si>
  <si>
    <t>Thymus</t>
  </si>
  <si>
    <t>Dose 106[%]1</t>
  </si>
  <si>
    <t>Plexus</t>
  </si>
  <si>
    <t>PRV5</t>
  </si>
  <si>
    <t>OpticNerve</t>
  </si>
  <si>
    <t>-Bolus</t>
  </si>
  <si>
    <t>Hand</t>
  </si>
  <si>
    <t>-PTV+0.8</t>
  </si>
  <si>
    <t>Kidney</t>
  </si>
  <si>
    <t>AxillaryNerves</t>
  </si>
  <si>
    <t>PRV3</t>
  </si>
  <si>
    <t>BrachialPlexs</t>
  </si>
  <si>
    <t>-PTV 30</t>
  </si>
  <si>
    <t>1.7cm</t>
  </si>
  <si>
    <t>+1.7cm</t>
  </si>
  <si>
    <t>LacrimalGland</t>
  </si>
  <si>
    <t>PRV4</t>
  </si>
  <si>
    <t>LLL+2</t>
  </si>
  <si>
    <t>-PTVLLL+2</t>
  </si>
  <si>
    <t>-PTV59.4</t>
  </si>
  <si>
    <t>-PTV 45</t>
  </si>
  <si>
    <t>Clavicle</t>
  </si>
  <si>
    <t>PLEXUS</t>
  </si>
  <si>
    <t>54+0.8cm</t>
  </si>
  <si>
    <t>-PTV54+0.8cm</t>
  </si>
  <si>
    <t>lens</t>
  </si>
  <si>
    <t>SmallBowel</t>
  </si>
  <si>
    <t>-PTV54</t>
  </si>
  <si>
    <t>Musc_Sclmast</t>
  </si>
  <si>
    <t>LT+20</t>
  </si>
  <si>
    <t>-PTV LT+20</t>
  </si>
  <si>
    <t>RT+20</t>
  </si>
  <si>
    <t>-PTV RT+20</t>
  </si>
  <si>
    <t>Brachial_plexus</t>
  </si>
  <si>
    <t>-PTV 54</t>
  </si>
  <si>
    <t>-PTV 50.4</t>
  </si>
  <si>
    <t>Humerus</t>
  </si>
  <si>
    <t>BOTH+20</t>
  </si>
  <si>
    <t>-PTV BOTH+20</t>
  </si>
  <si>
    <t>SUP+20</t>
  </si>
  <si>
    <t>-PTV SUP+20</t>
  </si>
  <si>
    <t>INF+20</t>
  </si>
  <si>
    <t>-PTV INF+20</t>
  </si>
  <si>
    <t>CORD</t>
  </si>
  <si>
    <t>PRV</t>
  </si>
  <si>
    <t>1upp+20</t>
  </si>
  <si>
    <t>-PTV1upp+20</t>
  </si>
  <si>
    <t>2low+20</t>
  </si>
  <si>
    <t>-PTV2low+20</t>
  </si>
  <si>
    <t>Breast</t>
  </si>
  <si>
    <t>Macula</t>
  </si>
  <si>
    <t>Femur</t>
  </si>
  <si>
    <t>-PTV 59.4</t>
  </si>
  <si>
    <t>L+20</t>
  </si>
  <si>
    <t>-PTV L+20</t>
  </si>
  <si>
    <t>BREAST</t>
  </si>
  <si>
    <t>LUNG</t>
  </si>
  <si>
    <t>Carotid</t>
  </si>
  <si>
    <t>BrachialPlexus</t>
  </si>
  <si>
    <t>36+1</t>
  </si>
  <si>
    <t>-PTV 36+1</t>
  </si>
  <si>
    <t>54+1</t>
  </si>
  <si>
    <t>-PTV54+1</t>
  </si>
  <si>
    <t>2+20</t>
  </si>
  <si>
    <t>-PTV2+20</t>
  </si>
  <si>
    <t>1+20</t>
  </si>
  <si>
    <t>-PTV1+20</t>
  </si>
  <si>
    <t>PRV2</t>
  </si>
  <si>
    <t>3mm</t>
  </si>
  <si>
    <t>+3mm</t>
  </si>
  <si>
    <t>Cord</t>
  </si>
  <si>
    <t>-PTV 1</t>
  </si>
  <si>
    <t>Parotid</t>
  </si>
  <si>
    <t>-PTV+.8</t>
  </si>
  <si>
    <t>Submandibular</t>
  </si>
  <si>
    <t>- Bolus</t>
  </si>
  <si>
    <t>Lacrimal</t>
  </si>
  <si>
    <t>Cochlea</t>
  </si>
  <si>
    <t>Globe</t>
  </si>
  <si>
    <t>Board</t>
  </si>
  <si>
    <t>-Board</t>
  </si>
  <si>
    <t>-PTV 36</t>
  </si>
  <si>
    <t>-GTV</t>
  </si>
  <si>
    <t>Hip</t>
  </si>
  <si>
    <t>iliac crest</t>
  </si>
  <si>
    <t>Ovary</t>
  </si>
  <si>
    <t>-PTV+20</t>
  </si>
  <si>
    <t>Fibula</t>
  </si>
  <si>
    <t>Tibia</t>
  </si>
  <si>
    <t>FemoralHead</t>
  </si>
  <si>
    <t>Optics</t>
  </si>
  <si>
    <t>Ear Inner</t>
  </si>
  <si>
    <t>Ear Middle</t>
  </si>
  <si>
    <t>-CTV</t>
  </si>
  <si>
    <t>BrachialPlex</t>
  </si>
  <si>
    <t>Hippo</t>
  </si>
  <si>
    <t>Femoral Head</t>
  </si>
  <si>
    <t>Ulna</t>
  </si>
  <si>
    <t>Radius</t>
  </si>
  <si>
    <t>Humorous</t>
  </si>
  <si>
    <t>Occurrence</t>
  </si>
  <si>
    <t>Expansion</t>
  </si>
  <si>
    <t>8</t>
  </si>
  <si>
    <t>Crop</t>
  </si>
  <si>
    <t>6</t>
  </si>
  <si>
    <t>TargetCropMod</t>
  </si>
  <si>
    <t>TargetCrop</t>
  </si>
  <si>
    <t>3</t>
  </si>
  <si>
    <t>BaseStructure</t>
  </si>
  <si>
    <t>Prefix</t>
  </si>
  <si>
    <t>CONTROL</t>
  </si>
  <si>
    <t>AVOIDANCE</t>
  </si>
  <si>
    <t>DOSE_REGION</t>
  </si>
  <si>
    <t>ORGAN</t>
  </si>
  <si>
    <t>NONE</t>
  </si>
  <si>
    <t>BOLUS</t>
  </si>
  <si>
    <t>TREATED_VOLUME</t>
  </si>
  <si>
    <t>SUPPORT</t>
  </si>
  <si>
    <t>CONTRAST_AGENT</t>
  </si>
  <si>
    <t>DicomType</t>
  </si>
  <si>
    <t>Node Type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</si>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</sst>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2" borderId="3" xfId="0" applyFont="1" applyFill="1" applyBorder="1"/>
    <xf numFmtId="0" fontId="0" fillId="3" borderId="3" xfId="0" applyFont="1" applyFill="1" applyBorder="1"/>
    <xf numFmtId="0" fontId="0" fillId="0" borderId="3" xfId="0" applyFont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2883" totalsRowShown="0">
  <autoFilter ref="A1:S2883">
    <filterColumn colId="3">
      <customFilters>
        <customFilter operator="notEqual" val=" "/>
      </customFilters>
    </filterColumn>
  </autoFilter>
  <tableColumns count="19">
    <tableColumn id="1" name="StructureId"/>
    <tableColumn id="2" name="VolumeType"/>
    <tableColumn id="3" name="Mod"/>
    <tableColumn id="4" name="Type"/>
    <tableColumn id="5" name="TargetNumber"/>
    <tableColumn id="6" name="Metabolic"/>
    <tableColumn id="7" name="Motion"/>
    <tableColumn id="8" name="Region"/>
    <tableColumn id="9" name="Level"/>
    <tableColumn id="10" name="FullDose"/>
    <tableColumn id="11" name="Dose"/>
    <tableColumn id="12" name="Combined"/>
    <tableColumn id="13" name="Expansions"/>
    <tableColumn id="14" name="ExpansionUnit"/>
    <tableColumn id="15" name="ExpansionSign"/>
    <tableColumn id="16" name="Subtraction"/>
    <tableColumn id="17" name="Organ"/>
    <tableColumn id="18" name="Laterality"/>
    <tableColumn id="19" name="SubGrou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M1450" totalsRowShown="0">
  <autoFilter ref="A1:M1450"/>
  <tableColumns count="13">
    <tableColumn id="1" name="StructureId"/>
    <tableColumn id="2" name="VolumeType"/>
    <tableColumn id="3" name="Prefix"/>
    <tableColumn id="4" name="BaseStructure"/>
    <tableColumn id="5" name="Laterality"/>
    <tableColumn id="6" name="3"/>
    <tableColumn id="7" name="TargetCrop"/>
    <tableColumn id="8" name="TargetCropMod"/>
    <tableColumn id="9" name="6"/>
    <tableColumn id="10" name="Crop"/>
    <tableColumn id="11" name="8"/>
    <tableColumn id="12" name="Expansion"/>
    <tableColumn id="13" name="Occurr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S1433" totalsRowShown="0">
  <autoFilter ref="A1:S1433"/>
  <tableColumns count="19">
    <tableColumn id="1" name="StructureId"/>
    <tableColumn id="2" name="VolumeType"/>
    <tableColumn id="21" name="Nodes" dataDxfId="1">
      <calculatedColumnFormula>IF(ISBLANK(Table4[[#This Row],[Region]]),Table4[[#This Row],[Node Type]],Table4[[#This Row],[Region]])</calculatedColumnFormula>
    </tableColumn>
    <tableColumn id="8" name="Region"/>
    <tableColumn id="20" name="Node Type" dataDxfId="0">
      <calculatedColumnFormula>IF(ISERROR(SEARCH("Node",Table4[[#This Row],[Type]])),IF(ISERROR(SEARCH("Iliac",Table4[[#This Row],[Type]])),"",Table4[[#This Row],[Type]]),Table4[[#This Row],[Type]])</calculatedColumnFormula>
    </tableColumn>
    <tableColumn id="6" name="Metabolic"/>
    <tableColumn id="7" name="Motion"/>
    <tableColumn id="5" name="TargetNumber"/>
    <tableColumn id="11" name="Dose"/>
    <tableColumn id="17" name="Organ"/>
    <tableColumn id="12" name="Combined"/>
    <tableColumn id="4" name="Type"/>
    <tableColumn id="9" name="Level"/>
    <tableColumn id="18" name="Laterality"/>
    <tableColumn id="19" name="SubGroup"/>
    <tableColumn id="3" name="Mod"/>
    <tableColumn id="16" name="Subtraction"/>
    <tableColumn id="15" name="ExpansionSign"/>
    <tableColumn id="13" name="Expansion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83"/>
  <sheetViews>
    <sheetView workbookViewId="0">
      <selection activeCell="AD2809" sqref="AD2809"/>
    </sheetView>
  </sheetViews>
  <sheetFormatPr defaultRowHeight="15" x14ac:dyDescent="0.25"/>
  <cols>
    <col min="1" max="1" width="18.85546875" bestFit="1" customWidth="1"/>
    <col min="2" max="2" width="15.42578125" bestFit="1" customWidth="1"/>
    <col min="3" max="3" width="7.42578125" bestFit="1" customWidth="1"/>
    <col min="4" max="4" width="13.85546875" bestFit="1" customWidth="1"/>
    <col min="5" max="5" width="16.28515625" bestFit="1" customWidth="1"/>
    <col min="6" max="6" width="12.28515625" bestFit="1" customWidth="1"/>
    <col min="7" max="7" width="9.85546875" bestFit="1" customWidth="1"/>
    <col min="8" max="8" width="12" bestFit="1" customWidth="1"/>
    <col min="9" max="9" width="8" bestFit="1" customWidth="1"/>
    <col min="10" max="10" width="11" bestFit="1" customWidth="1"/>
    <col min="11" max="11" width="7.7109375" bestFit="1" customWidth="1"/>
    <col min="12" max="12" width="12.42578125" bestFit="1" customWidth="1"/>
    <col min="13" max="13" width="13.140625" bestFit="1" customWidth="1"/>
    <col min="14" max="14" width="16.28515625" bestFit="1" customWidth="1"/>
    <col min="15" max="15" width="16.140625" bestFit="1" customWidth="1"/>
    <col min="16" max="16" width="13.42578125" bestFit="1" customWidth="1"/>
    <col min="17" max="17" width="9.7109375" bestFit="1" customWidth="1"/>
    <col min="18" max="18" width="11.5703125" bestFit="1" customWidth="1"/>
    <col min="19" max="19" width="12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D2" t="s">
        <v>20</v>
      </c>
      <c r="G2" t="s">
        <v>21</v>
      </c>
    </row>
    <row r="3" spans="1:19" x14ac:dyDescent="0.25">
      <c r="A3" t="s">
        <v>22</v>
      </c>
      <c r="B3" t="s">
        <v>20</v>
      </c>
      <c r="D3" t="s">
        <v>20</v>
      </c>
      <c r="G3" t="s">
        <v>23</v>
      </c>
    </row>
    <row r="4" spans="1:19" x14ac:dyDescent="0.25">
      <c r="A4" t="s">
        <v>24</v>
      </c>
      <c r="B4" t="s">
        <v>20</v>
      </c>
      <c r="D4" t="s">
        <v>20</v>
      </c>
      <c r="G4" t="s">
        <v>25</v>
      </c>
    </row>
    <row r="5" spans="1:19" x14ac:dyDescent="0.25">
      <c r="A5" t="s">
        <v>26</v>
      </c>
      <c r="B5" t="s">
        <v>20</v>
      </c>
      <c r="D5" t="s">
        <v>20</v>
      </c>
      <c r="G5" t="s">
        <v>27</v>
      </c>
    </row>
    <row r="6" spans="1:19" x14ac:dyDescent="0.25">
      <c r="A6" t="s">
        <v>28</v>
      </c>
      <c r="B6" t="s">
        <v>20</v>
      </c>
      <c r="D6" t="s">
        <v>20</v>
      </c>
      <c r="G6" t="s">
        <v>29</v>
      </c>
    </row>
    <row r="7" spans="1:19" x14ac:dyDescent="0.25">
      <c r="A7" t="s">
        <v>30</v>
      </c>
      <c r="B7" t="s">
        <v>20</v>
      </c>
      <c r="D7" t="s">
        <v>20</v>
      </c>
      <c r="G7" t="s">
        <v>31</v>
      </c>
    </row>
    <row r="8" spans="1:19" x14ac:dyDescent="0.25">
      <c r="A8" t="s">
        <v>32</v>
      </c>
      <c r="B8" t="s">
        <v>20</v>
      </c>
      <c r="D8" t="s">
        <v>20</v>
      </c>
      <c r="G8" t="s">
        <v>33</v>
      </c>
    </row>
    <row r="9" spans="1:19" x14ac:dyDescent="0.25">
      <c r="A9" t="s">
        <v>34</v>
      </c>
      <c r="B9" t="s">
        <v>20</v>
      </c>
      <c r="D9" t="s">
        <v>20</v>
      </c>
      <c r="G9" t="s">
        <v>35</v>
      </c>
    </row>
    <row r="10" spans="1:19" x14ac:dyDescent="0.25">
      <c r="A10" t="s">
        <v>36</v>
      </c>
      <c r="B10" t="s">
        <v>20</v>
      </c>
      <c r="D10" t="s">
        <v>20</v>
      </c>
      <c r="G10" t="s">
        <v>37</v>
      </c>
    </row>
    <row r="11" spans="1:19" x14ac:dyDescent="0.25">
      <c r="A11" t="s">
        <v>38</v>
      </c>
      <c r="B11" t="s">
        <v>20</v>
      </c>
      <c r="D11" t="s">
        <v>20</v>
      </c>
      <c r="G11" t="s">
        <v>39</v>
      </c>
    </row>
    <row r="12" spans="1:19" x14ac:dyDescent="0.25">
      <c r="A12" t="s">
        <v>40</v>
      </c>
      <c r="B12" t="s">
        <v>20</v>
      </c>
      <c r="D12" t="s">
        <v>20</v>
      </c>
      <c r="G12" t="s">
        <v>41</v>
      </c>
    </row>
    <row r="13" spans="1:19" x14ac:dyDescent="0.25">
      <c r="A13" t="s">
        <v>42</v>
      </c>
      <c r="B13" t="s">
        <v>20</v>
      </c>
      <c r="D13" t="s">
        <v>20</v>
      </c>
      <c r="G13" t="s">
        <v>43</v>
      </c>
    </row>
    <row r="14" spans="1:19" x14ac:dyDescent="0.25">
      <c r="A14" t="s">
        <v>44</v>
      </c>
      <c r="B14" t="s">
        <v>20</v>
      </c>
      <c r="D14" t="s">
        <v>44</v>
      </c>
    </row>
    <row r="15" spans="1:19" x14ac:dyDescent="0.25">
      <c r="A15" t="s">
        <v>45</v>
      </c>
      <c r="B15" t="s">
        <v>46</v>
      </c>
      <c r="D15" t="s">
        <v>45</v>
      </c>
    </row>
    <row r="16" spans="1:19" x14ac:dyDescent="0.25">
      <c r="A16" t="s">
        <v>47</v>
      </c>
      <c r="B16" t="s">
        <v>48</v>
      </c>
      <c r="D16" t="s">
        <v>49</v>
      </c>
      <c r="H16" t="s">
        <v>50</v>
      </c>
    </row>
    <row r="17" spans="1:8" x14ac:dyDescent="0.25">
      <c r="A17" t="s">
        <v>51</v>
      </c>
      <c r="B17" t="s">
        <v>48</v>
      </c>
      <c r="D17" t="s">
        <v>49</v>
      </c>
      <c r="H17" t="s">
        <v>52</v>
      </c>
    </row>
    <row r="18" spans="1:8" x14ac:dyDescent="0.25">
      <c r="A18" t="s">
        <v>53</v>
      </c>
      <c r="B18" t="s">
        <v>48</v>
      </c>
      <c r="D18" t="s">
        <v>49</v>
      </c>
      <c r="H18" t="s">
        <v>54</v>
      </c>
    </row>
    <row r="19" spans="1:8" x14ac:dyDescent="0.25">
      <c r="A19" t="s">
        <v>55</v>
      </c>
      <c r="B19" t="s">
        <v>48</v>
      </c>
      <c r="D19" t="s">
        <v>49</v>
      </c>
      <c r="H19" t="s">
        <v>56</v>
      </c>
    </row>
    <row r="20" spans="1:8" x14ac:dyDescent="0.25">
      <c r="A20" t="s">
        <v>57</v>
      </c>
      <c r="B20" t="s">
        <v>48</v>
      </c>
      <c r="D20" t="s">
        <v>49</v>
      </c>
      <c r="H20" t="s">
        <v>58</v>
      </c>
    </row>
    <row r="21" spans="1:8" x14ac:dyDescent="0.25">
      <c r="A21" t="s">
        <v>59</v>
      </c>
      <c r="B21" t="s">
        <v>48</v>
      </c>
      <c r="D21" t="s">
        <v>49</v>
      </c>
      <c r="H21" t="s">
        <v>60</v>
      </c>
    </row>
    <row r="22" spans="1:8" x14ac:dyDescent="0.25">
      <c r="A22" t="s">
        <v>61</v>
      </c>
      <c r="B22" t="s">
        <v>48</v>
      </c>
      <c r="D22" t="s">
        <v>49</v>
      </c>
      <c r="H22" t="s">
        <v>62</v>
      </c>
    </row>
    <row r="23" spans="1:8" x14ac:dyDescent="0.25">
      <c r="A23" t="s">
        <v>63</v>
      </c>
      <c r="B23" t="s">
        <v>48</v>
      </c>
      <c r="D23" t="s">
        <v>49</v>
      </c>
      <c r="H23" t="s">
        <v>64</v>
      </c>
    </row>
    <row r="24" spans="1:8" x14ac:dyDescent="0.25">
      <c r="A24" t="s">
        <v>65</v>
      </c>
      <c r="B24" t="s">
        <v>48</v>
      </c>
      <c r="D24" t="s">
        <v>49</v>
      </c>
      <c r="H24" t="s">
        <v>66</v>
      </c>
    </row>
    <row r="25" spans="1:8" x14ac:dyDescent="0.25">
      <c r="A25" t="s">
        <v>67</v>
      </c>
      <c r="B25" t="s">
        <v>48</v>
      </c>
      <c r="D25" t="s">
        <v>49</v>
      </c>
      <c r="H25" t="s">
        <v>68</v>
      </c>
    </row>
    <row r="26" spans="1:8" hidden="1" x14ac:dyDescent="0.25">
      <c r="A26" t="s">
        <v>69</v>
      </c>
      <c r="B26" t="s">
        <v>16</v>
      </c>
    </row>
    <row r="27" spans="1:8" hidden="1" x14ac:dyDescent="0.25">
      <c r="A27" t="s">
        <v>70</v>
      </c>
      <c r="B27" t="s">
        <v>16</v>
      </c>
    </row>
    <row r="28" spans="1:8" hidden="1" x14ac:dyDescent="0.25">
      <c r="A28" t="s">
        <v>71</v>
      </c>
      <c r="B28" t="s">
        <v>16</v>
      </c>
    </row>
    <row r="29" spans="1:8" hidden="1" x14ac:dyDescent="0.25">
      <c r="A29" t="s">
        <v>72</v>
      </c>
      <c r="B29" t="s">
        <v>16</v>
      </c>
    </row>
    <row r="30" spans="1:8" hidden="1" x14ac:dyDescent="0.25">
      <c r="A30" t="s">
        <v>73</v>
      </c>
      <c r="B30" t="s">
        <v>16</v>
      </c>
    </row>
    <row r="31" spans="1:8" hidden="1" x14ac:dyDescent="0.25">
      <c r="A31" t="s">
        <v>74</v>
      </c>
      <c r="B31" t="s">
        <v>16</v>
      </c>
    </row>
    <row r="32" spans="1:8" hidden="1" x14ac:dyDescent="0.25">
      <c r="A32" t="s">
        <v>75</v>
      </c>
      <c r="B32" t="s">
        <v>76</v>
      </c>
    </row>
    <row r="33" spans="1:11" x14ac:dyDescent="0.25">
      <c r="A33" t="s">
        <v>20</v>
      </c>
      <c r="B33" t="s">
        <v>20</v>
      </c>
      <c r="D33" t="s">
        <v>20</v>
      </c>
    </row>
    <row r="34" spans="1:11" x14ac:dyDescent="0.25">
      <c r="A34" t="s">
        <v>46</v>
      </c>
      <c r="B34" t="s">
        <v>46</v>
      </c>
      <c r="D34" t="s">
        <v>46</v>
      </c>
    </row>
    <row r="35" spans="1:11" x14ac:dyDescent="0.25">
      <c r="A35" t="s">
        <v>77</v>
      </c>
      <c r="B35" t="s">
        <v>77</v>
      </c>
      <c r="D35" t="s">
        <v>77</v>
      </c>
    </row>
    <row r="36" spans="1:11" x14ac:dyDescent="0.25">
      <c r="A36" t="s">
        <v>78</v>
      </c>
      <c r="B36" t="s">
        <v>48</v>
      </c>
      <c r="D36" t="s">
        <v>20</v>
      </c>
      <c r="I36" t="s">
        <v>79</v>
      </c>
    </row>
    <row r="37" spans="1:11" x14ac:dyDescent="0.25">
      <c r="A37" t="s">
        <v>80</v>
      </c>
      <c r="B37" t="s">
        <v>46</v>
      </c>
      <c r="D37" t="s">
        <v>46</v>
      </c>
      <c r="J37">
        <v>5250</v>
      </c>
      <c r="K37">
        <v>5250</v>
      </c>
    </row>
    <row r="38" spans="1:11" x14ac:dyDescent="0.25">
      <c r="A38" t="s">
        <v>81</v>
      </c>
      <c r="B38" t="s">
        <v>77</v>
      </c>
      <c r="D38" t="s">
        <v>77</v>
      </c>
      <c r="J38">
        <v>5250</v>
      </c>
      <c r="K38">
        <v>5250</v>
      </c>
    </row>
    <row r="39" spans="1:11" x14ac:dyDescent="0.25">
      <c r="A39" t="s">
        <v>82</v>
      </c>
      <c r="B39" t="s">
        <v>77</v>
      </c>
      <c r="C39" t="s">
        <v>83</v>
      </c>
      <c r="D39" t="s">
        <v>77</v>
      </c>
      <c r="J39">
        <v>5250</v>
      </c>
      <c r="K39">
        <v>5250</v>
      </c>
    </row>
    <row r="40" spans="1:11" x14ac:dyDescent="0.25">
      <c r="A40" t="s">
        <v>84</v>
      </c>
      <c r="B40" t="s">
        <v>77</v>
      </c>
      <c r="C40" t="s">
        <v>85</v>
      </c>
      <c r="D40" t="s">
        <v>77</v>
      </c>
      <c r="J40">
        <v>5250</v>
      </c>
      <c r="K40">
        <v>5250</v>
      </c>
    </row>
    <row r="41" spans="1:11" hidden="1" x14ac:dyDescent="0.25">
      <c r="A41" t="s">
        <v>86</v>
      </c>
      <c r="B41" t="s">
        <v>87</v>
      </c>
    </row>
    <row r="42" spans="1:11" hidden="1" x14ac:dyDescent="0.25">
      <c r="A42" t="s">
        <v>88</v>
      </c>
      <c r="B42" t="s">
        <v>87</v>
      </c>
    </row>
    <row r="43" spans="1:11" hidden="1" x14ac:dyDescent="0.25">
      <c r="A43" t="s">
        <v>89</v>
      </c>
      <c r="B43" t="s">
        <v>16</v>
      </c>
    </row>
    <row r="44" spans="1:11" hidden="1" x14ac:dyDescent="0.25">
      <c r="A44" t="s">
        <v>90</v>
      </c>
      <c r="B44" t="s">
        <v>16</v>
      </c>
    </row>
    <row r="45" spans="1:11" hidden="1" x14ac:dyDescent="0.25">
      <c r="A45" t="s">
        <v>91</v>
      </c>
      <c r="B45" t="s">
        <v>16</v>
      </c>
    </row>
    <row r="46" spans="1:11" hidden="1" x14ac:dyDescent="0.25">
      <c r="A46" t="s">
        <v>92</v>
      </c>
      <c r="B46" t="s">
        <v>16</v>
      </c>
    </row>
    <row r="47" spans="1:11" hidden="1" x14ac:dyDescent="0.25">
      <c r="A47" t="s">
        <v>93</v>
      </c>
      <c r="B47" t="s">
        <v>16</v>
      </c>
    </row>
    <row r="48" spans="1:11" hidden="1" x14ac:dyDescent="0.25">
      <c r="A48" t="s">
        <v>94</v>
      </c>
      <c r="B48" t="s">
        <v>95</v>
      </c>
    </row>
    <row r="49" spans="1:18" hidden="1" x14ac:dyDescent="0.25">
      <c r="A49" t="s">
        <v>96</v>
      </c>
      <c r="B49" t="s">
        <v>16</v>
      </c>
    </row>
    <row r="50" spans="1:18" hidden="1" x14ac:dyDescent="0.25">
      <c r="A50" t="s">
        <v>97</v>
      </c>
      <c r="B50" t="s">
        <v>16</v>
      </c>
    </row>
    <row r="51" spans="1:18" hidden="1" x14ac:dyDescent="0.25">
      <c r="A51" t="s">
        <v>98</v>
      </c>
      <c r="B51" t="s">
        <v>16</v>
      </c>
    </row>
    <row r="52" spans="1:18" hidden="1" x14ac:dyDescent="0.25">
      <c r="A52" t="s">
        <v>99</v>
      </c>
      <c r="B52" t="s">
        <v>16</v>
      </c>
    </row>
    <row r="53" spans="1:18" x14ac:dyDescent="0.25">
      <c r="A53" t="s">
        <v>100</v>
      </c>
      <c r="B53" t="s">
        <v>46</v>
      </c>
      <c r="D53" t="s">
        <v>46</v>
      </c>
      <c r="J53">
        <v>66</v>
      </c>
      <c r="K53">
        <v>66</v>
      </c>
    </row>
    <row r="54" spans="1:18" x14ac:dyDescent="0.25">
      <c r="A54" t="s">
        <v>101</v>
      </c>
      <c r="B54" t="s">
        <v>77</v>
      </c>
      <c r="D54" t="s">
        <v>77</v>
      </c>
      <c r="J54">
        <v>66</v>
      </c>
      <c r="K54">
        <v>66</v>
      </c>
    </row>
    <row r="55" spans="1:18" x14ac:dyDescent="0.25">
      <c r="A55" t="s">
        <v>102</v>
      </c>
      <c r="B55" t="s">
        <v>77</v>
      </c>
      <c r="C55" t="s">
        <v>83</v>
      </c>
      <c r="D55" t="s">
        <v>77</v>
      </c>
    </row>
    <row r="56" spans="1:18" x14ac:dyDescent="0.25">
      <c r="A56" t="s">
        <v>103</v>
      </c>
      <c r="B56" t="s">
        <v>77</v>
      </c>
      <c r="C56" t="s">
        <v>85</v>
      </c>
      <c r="D56" t="s">
        <v>77</v>
      </c>
      <c r="J56">
        <v>66</v>
      </c>
      <c r="K56">
        <v>66</v>
      </c>
    </row>
    <row r="57" spans="1:18" x14ac:dyDescent="0.25">
      <c r="A57" t="s">
        <v>104</v>
      </c>
      <c r="B57" t="s">
        <v>48</v>
      </c>
      <c r="D57" t="s">
        <v>49</v>
      </c>
      <c r="H57" t="s">
        <v>105</v>
      </c>
      <c r="R57" t="s">
        <v>106</v>
      </c>
    </row>
    <row r="58" spans="1:18" x14ac:dyDescent="0.25">
      <c r="A58" t="s">
        <v>107</v>
      </c>
      <c r="B58" t="s">
        <v>48</v>
      </c>
      <c r="D58" t="s">
        <v>49</v>
      </c>
      <c r="H58" t="s">
        <v>105</v>
      </c>
      <c r="R58" t="s">
        <v>108</v>
      </c>
    </row>
    <row r="59" spans="1:18" x14ac:dyDescent="0.25">
      <c r="A59" t="s">
        <v>109</v>
      </c>
      <c r="B59" t="s">
        <v>48</v>
      </c>
      <c r="D59" t="s">
        <v>49</v>
      </c>
      <c r="H59" t="s">
        <v>110</v>
      </c>
      <c r="R59" t="s">
        <v>106</v>
      </c>
    </row>
    <row r="60" spans="1:18" x14ac:dyDescent="0.25">
      <c r="A60" t="s">
        <v>111</v>
      </c>
      <c r="B60" t="s">
        <v>48</v>
      </c>
      <c r="D60" t="s">
        <v>49</v>
      </c>
      <c r="H60" t="s">
        <v>110</v>
      </c>
      <c r="R60" t="s">
        <v>108</v>
      </c>
    </row>
    <row r="61" spans="1:18" hidden="1" x14ac:dyDescent="0.25">
      <c r="A61" t="s">
        <v>112</v>
      </c>
      <c r="B61" t="s">
        <v>16</v>
      </c>
    </row>
    <row r="62" spans="1:18" hidden="1" x14ac:dyDescent="0.25">
      <c r="A62" t="s">
        <v>113</v>
      </c>
      <c r="B62" t="s">
        <v>16</v>
      </c>
    </row>
    <row r="63" spans="1:18" hidden="1" x14ac:dyDescent="0.25">
      <c r="A63" t="s">
        <v>114</v>
      </c>
      <c r="B63" t="s">
        <v>16</v>
      </c>
    </row>
    <row r="64" spans="1:18" hidden="1" x14ac:dyDescent="0.25">
      <c r="A64" t="s">
        <v>115</v>
      </c>
      <c r="B64" t="s">
        <v>16</v>
      </c>
    </row>
    <row r="65" spans="1:8" hidden="1" x14ac:dyDescent="0.25">
      <c r="A65" t="s">
        <v>116</v>
      </c>
      <c r="B65" t="s">
        <v>16</v>
      </c>
    </row>
    <row r="66" spans="1:8" hidden="1" x14ac:dyDescent="0.25">
      <c r="A66" t="s">
        <v>117</v>
      </c>
      <c r="B66" t="s">
        <v>16</v>
      </c>
    </row>
    <row r="67" spans="1:8" hidden="1" x14ac:dyDescent="0.25">
      <c r="A67" t="s">
        <v>118</v>
      </c>
      <c r="B67" t="s">
        <v>16</v>
      </c>
    </row>
    <row r="68" spans="1:8" hidden="1" x14ac:dyDescent="0.25">
      <c r="A68" t="s">
        <v>119</v>
      </c>
      <c r="B68" t="s">
        <v>16</v>
      </c>
    </row>
    <row r="69" spans="1:8" hidden="1" x14ac:dyDescent="0.25">
      <c r="A69" t="s">
        <v>120</v>
      </c>
      <c r="B69" t="s">
        <v>16</v>
      </c>
    </row>
    <row r="70" spans="1:8" hidden="1" x14ac:dyDescent="0.25">
      <c r="A70" t="s">
        <v>121</v>
      </c>
      <c r="B70" t="s">
        <v>16</v>
      </c>
    </row>
    <row r="71" spans="1:8" hidden="1" x14ac:dyDescent="0.25">
      <c r="A71" t="s">
        <v>122</v>
      </c>
      <c r="B71" t="s">
        <v>16</v>
      </c>
    </row>
    <row r="72" spans="1:8" hidden="1" x14ac:dyDescent="0.25">
      <c r="A72" t="s">
        <v>123</v>
      </c>
      <c r="B72" t="s">
        <v>16</v>
      </c>
    </row>
    <row r="73" spans="1:8" hidden="1" x14ac:dyDescent="0.25">
      <c r="A73" t="s">
        <v>124</v>
      </c>
      <c r="B73" t="s">
        <v>16</v>
      </c>
    </row>
    <row r="74" spans="1:8" hidden="1" x14ac:dyDescent="0.25">
      <c r="A74" t="s">
        <v>125</v>
      </c>
      <c r="B74" t="s">
        <v>16</v>
      </c>
    </row>
    <row r="75" spans="1:8" hidden="1" x14ac:dyDescent="0.25">
      <c r="A75" t="s">
        <v>126</v>
      </c>
      <c r="B75" t="s">
        <v>16</v>
      </c>
    </row>
    <row r="76" spans="1:8" x14ac:dyDescent="0.25">
      <c r="A76" t="s">
        <v>127</v>
      </c>
      <c r="B76" t="s">
        <v>48</v>
      </c>
      <c r="D76" t="s">
        <v>48</v>
      </c>
      <c r="H76" t="s">
        <v>128</v>
      </c>
    </row>
    <row r="77" spans="1:8" x14ac:dyDescent="0.25">
      <c r="A77" t="s">
        <v>129</v>
      </c>
      <c r="B77" t="s">
        <v>48</v>
      </c>
      <c r="D77" t="s">
        <v>48</v>
      </c>
      <c r="H77" t="s">
        <v>130</v>
      </c>
    </row>
    <row r="78" spans="1:8" x14ac:dyDescent="0.25">
      <c r="A78" t="s">
        <v>131</v>
      </c>
      <c r="B78" t="s">
        <v>48</v>
      </c>
      <c r="D78" t="s">
        <v>48</v>
      </c>
      <c r="H78" t="s">
        <v>132</v>
      </c>
    </row>
    <row r="79" spans="1:8" x14ac:dyDescent="0.25">
      <c r="A79" t="s">
        <v>133</v>
      </c>
      <c r="B79" t="s">
        <v>48</v>
      </c>
      <c r="D79" t="s">
        <v>48</v>
      </c>
      <c r="H79" t="s">
        <v>134</v>
      </c>
    </row>
    <row r="80" spans="1:8" x14ac:dyDescent="0.25">
      <c r="A80" t="s">
        <v>135</v>
      </c>
      <c r="B80" t="s">
        <v>48</v>
      </c>
      <c r="D80" t="s">
        <v>48</v>
      </c>
      <c r="H80" t="s">
        <v>136</v>
      </c>
    </row>
    <row r="81" spans="1:9" x14ac:dyDescent="0.25">
      <c r="A81" t="s">
        <v>137</v>
      </c>
      <c r="B81" t="s">
        <v>20</v>
      </c>
      <c r="D81" t="s">
        <v>137</v>
      </c>
    </row>
    <row r="82" spans="1:9" x14ac:dyDescent="0.25">
      <c r="A82" t="s">
        <v>138</v>
      </c>
      <c r="B82" t="s">
        <v>46</v>
      </c>
      <c r="D82" t="s">
        <v>46</v>
      </c>
      <c r="I82" t="s">
        <v>137</v>
      </c>
    </row>
    <row r="83" spans="1:9" x14ac:dyDescent="0.25">
      <c r="A83" t="s">
        <v>139</v>
      </c>
      <c r="B83" t="s">
        <v>48</v>
      </c>
      <c r="D83" t="s">
        <v>46</v>
      </c>
      <c r="I83" t="s">
        <v>79</v>
      </c>
    </row>
    <row r="84" spans="1:9" x14ac:dyDescent="0.25">
      <c r="A84" t="s">
        <v>140</v>
      </c>
      <c r="B84" t="s">
        <v>77</v>
      </c>
      <c r="D84" t="s">
        <v>77</v>
      </c>
      <c r="I84" t="s">
        <v>137</v>
      </c>
    </row>
    <row r="85" spans="1:9" x14ac:dyDescent="0.25">
      <c r="A85" t="s">
        <v>141</v>
      </c>
      <c r="B85" t="s">
        <v>77</v>
      </c>
      <c r="D85" t="s">
        <v>77</v>
      </c>
      <c r="I85" t="s">
        <v>79</v>
      </c>
    </row>
    <row r="86" spans="1:9" hidden="1" x14ac:dyDescent="0.25">
      <c r="A86" t="s">
        <v>142</v>
      </c>
      <c r="B86" t="s">
        <v>16</v>
      </c>
    </row>
    <row r="87" spans="1:9" hidden="1" x14ac:dyDescent="0.25">
      <c r="A87" t="s">
        <v>143</v>
      </c>
      <c r="B87" t="s">
        <v>16</v>
      </c>
    </row>
    <row r="88" spans="1:9" hidden="1" x14ac:dyDescent="0.25">
      <c r="A88" t="s">
        <v>144</v>
      </c>
      <c r="B88" t="s">
        <v>16</v>
      </c>
    </row>
    <row r="89" spans="1:9" hidden="1" x14ac:dyDescent="0.25">
      <c r="A89" t="s">
        <v>145</v>
      </c>
      <c r="B89" t="s">
        <v>16</v>
      </c>
    </row>
    <row r="90" spans="1:9" hidden="1" x14ac:dyDescent="0.25">
      <c r="A90" t="s">
        <v>146</v>
      </c>
      <c r="B90" t="s">
        <v>16</v>
      </c>
    </row>
    <row r="91" spans="1:9" hidden="1" x14ac:dyDescent="0.25">
      <c r="A91" t="s">
        <v>147</v>
      </c>
      <c r="B91" t="s">
        <v>16</v>
      </c>
    </row>
    <row r="92" spans="1:9" hidden="1" x14ac:dyDescent="0.25">
      <c r="A92" t="s">
        <v>148</v>
      </c>
      <c r="B92" t="s">
        <v>16</v>
      </c>
    </row>
    <row r="93" spans="1:9" hidden="1" x14ac:dyDescent="0.25">
      <c r="A93" t="s">
        <v>149</v>
      </c>
      <c r="B93" t="s">
        <v>16</v>
      </c>
    </row>
    <row r="94" spans="1:9" x14ac:dyDescent="0.25">
      <c r="A94" t="s">
        <v>150</v>
      </c>
      <c r="B94" t="s">
        <v>48</v>
      </c>
      <c r="D94" t="s">
        <v>48</v>
      </c>
      <c r="H94" t="s">
        <v>151</v>
      </c>
    </row>
    <row r="95" spans="1:9" x14ac:dyDescent="0.25">
      <c r="A95" t="s">
        <v>152</v>
      </c>
      <c r="B95" t="s">
        <v>48</v>
      </c>
      <c r="D95" t="s">
        <v>48</v>
      </c>
      <c r="H95" t="s">
        <v>153</v>
      </c>
    </row>
    <row r="96" spans="1:9" x14ac:dyDescent="0.25">
      <c r="A96" t="s">
        <v>154</v>
      </c>
      <c r="B96" t="s">
        <v>48</v>
      </c>
      <c r="D96" t="s">
        <v>48</v>
      </c>
      <c r="H96" t="s">
        <v>155</v>
      </c>
    </row>
    <row r="97" spans="1:2" hidden="1" x14ac:dyDescent="0.25">
      <c r="A97" t="s">
        <v>156</v>
      </c>
      <c r="B97" t="s">
        <v>16</v>
      </c>
    </row>
    <row r="98" spans="1:2" hidden="1" x14ac:dyDescent="0.25">
      <c r="A98" t="s">
        <v>157</v>
      </c>
      <c r="B98" t="s">
        <v>16</v>
      </c>
    </row>
    <row r="99" spans="1:2" hidden="1" x14ac:dyDescent="0.25">
      <c r="A99" t="s">
        <v>158</v>
      </c>
      <c r="B99" t="s">
        <v>16</v>
      </c>
    </row>
    <row r="100" spans="1:2" hidden="1" x14ac:dyDescent="0.25">
      <c r="A100" t="s">
        <v>159</v>
      </c>
      <c r="B100" t="s">
        <v>16</v>
      </c>
    </row>
    <row r="101" spans="1:2" hidden="1" x14ac:dyDescent="0.25">
      <c r="A101" t="s">
        <v>160</v>
      </c>
      <c r="B101" t="s">
        <v>16</v>
      </c>
    </row>
    <row r="102" spans="1:2" hidden="1" x14ac:dyDescent="0.25">
      <c r="A102" t="s">
        <v>161</v>
      </c>
      <c r="B102" t="s">
        <v>16</v>
      </c>
    </row>
    <row r="103" spans="1:2" hidden="1" x14ac:dyDescent="0.25">
      <c r="A103" t="s">
        <v>162</v>
      </c>
      <c r="B103" t="s">
        <v>16</v>
      </c>
    </row>
    <row r="104" spans="1:2" hidden="1" x14ac:dyDescent="0.25">
      <c r="A104" t="s">
        <v>163</v>
      </c>
      <c r="B104" t="s">
        <v>16</v>
      </c>
    </row>
    <row r="105" spans="1:2" hidden="1" x14ac:dyDescent="0.25">
      <c r="A105" t="s">
        <v>164</v>
      </c>
      <c r="B105" t="s">
        <v>16</v>
      </c>
    </row>
    <row r="106" spans="1:2" hidden="1" x14ac:dyDescent="0.25">
      <c r="A106" t="s">
        <v>165</v>
      </c>
      <c r="B106" t="s">
        <v>16</v>
      </c>
    </row>
    <row r="107" spans="1:2" hidden="1" x14ac:dyDescent="0.25">
      <c r="A107" t="s">
        <v>166</v>
      </c>
      <c r="B107" t="s">
        <v>16</v>
      </c>
    </row>
    <row r="108" spans="1:2" hidden="1" x14ac:dyDescent="0.25">
      <c r="A108" t="s">
        <v>167</v>
      </c>
      <c r="B108" t="s">
        <v>87</v>
      </c>
    </row>
    <row r="109" spans="1:2" hidden="1" x14ac:dyDescent="0.25">
      <c r="A109" t="s">
        <v>168</v>
      </c>
      <c r="B109" t="s">
        <v>95</v>
      </c>
    </row>
    <row r="110" spans="1:2" hidden="1" x14ac:dyDescent="0.25">
      <c r="A110" t="s">
        <v>169</v>
      </c>
      <c r="B110" t="s">
        <v>95</v>
      </c>
    </row>
    <row r="111" spans="1:2" hidden="1" x14ac:dyDescent="0.25">
      <c r="A111" t="s">
        <v>170</v>
      </c>
      <c r="B111" t="s">
        <v>16</v>
      </c>
    </row>
    <row r="112" spans="1:2" hidden="1" x14ac:dyDescent="0.25">
      <c r="A112" t="s">
        <v>171</v>
      </c>
      <c r="B112" t="s">
        <v>16</v>
      </c>
    </row>
    <row r="113" spans="1:18" hidden="1" x14ac:dyDescent="0.25">
      <c r="A113" t="s">
        <v>172</v>
      </c>
      <c r="B113" t="s">
        <v>173</v>
      </c>
    </row>
    <row r="114" spans="1:18" x14ac:dyDescent="0.25">
      <c r="A114" t="s">
        <v>174</v>
      </c>
      <c r="B114" t="s">
        <v>20</v>
      </c>
      <c r="D114" t="s">
        <v>20</v>
      </c>
      <c r="F114" t="s">
        <v>175</v>
      </c>
    </row>
    <row r="115" spans="1:18" hidden="1" x14ac:dyDescent="0.25">
      <c r="A115" t="s">
        <v>176</v>
      </c>
      <c r="B115" t="s">
        <v>16</v>
      </c>
    </row>
    <row r="116" spans="1:18" hidden="1" x14ac:dyDescent="0.25">
      <c r="A116" t="s">
        <v>177</v>
      </c>
      <c r="B116" t="s">
        <v>16</v>
      </c>
    </row>
    <row r="117" spans="1:18" hidden="1" x14ac:dyDescent="0.25">
      <c r="A117" t="s">
        <v>178</v>
      </c>
      <c r="B117" t="s">
        <v>16</v>
      </c>
    </row>
    <row r="118" spans="1:18" hidden="1" x14ac:dyDescent="0.25">
      <c r="A118" t="s">
        <v>179</v>
      </c>
      <c r="B118" t="s">
        <v>16</v>
      </c>
    </row>
    <row r="119" spans="1:18" hidden="1" x14ac:dyDescent="0.25">
      <c r="A119" t="s">
        <v>180</v>
      </c>
      <c r="B119" t="s">
        <v>16</v>
      </c>
    </row>
    <row r="120" spans="1:18" hidden="1" x14ac:dyDescent="0.25">
      <c r="A120" t="s">
        <v>181</v>
      </c>
      <c r="B120" t="s">
        <v>95</v>
      </c>
    </row>
    <row r="121" spans="1:18" hidden="1" x14ac:dyDescent="0.25">
      <c r="A121" t="s">
        <v>182</v>
      </c>
      <c r="B121" t="s">
        <v>16</v>
      </c>
    </row>
    <row r="122" spans="1:18" hidden="1" x14ac:dyDescent="0.25">
      <c r="A122" t="s">
        <v>183</v>
      </c>
      <c r="B122" t="s">
        <v>16</v>
      </c>
    </row>
    <row r="123" spans="1:18" x14ac:dyDescent="0.25">
      <c r="A123" t="s">
        <v>184</v>
      </c>
      <c r="B123" t="s">
        <v>77</v>
      </c>
      <c r="C123" t="s">
        <v>85</v>
      </c>
      <c r="D123" t="s">
        <v>77</v>
      </c>
    </row>
    <row r="124" spans="1:18" hidden="1" x14ac:dyDescent="0.25">
      <c r="A124" t="s">
        <v>185</v>
      </c>
      <c r="B124" t="s">
        <v>95</v>
      </c>
    </row>
    <row r="125" spans="1:18" x14ac:dyDescent="0.25">
      <c r="A125" t="s">
        <v>186</v>
      </c>
      <c r="B125" t="s">
        <v>46</v>
      </c>
      <c r="D125" t="s">
        <v>46</v>
      </c>
      <c r="I125" t="s">
        <v>187</v>
      </c>
      <c r="R125" t="s">
        <v>106</v>
      </c>
    </row>
    <row r="126" spans="1:18" x14ac:dyDescent="0.25">
      <c r="A126" t="s">
        <v>188</v>
      </c>
      <c r="B126" t="s">
        <v>46</v>
      </c>
      <c r="D126" t="s">
        <v>46</v>
      </c>
      <c r="I126" t="s">
        <v>187</v>
      </c>
      <c r="R126" t="s">
        <v>108</v>
      </c>
    </row>
    <row r="127" spans="1:18" x14ac:dyDescent="0.25">
      <c r="A127" t="s">
        <v>189</v>
      </c>
      <c r="B127" t="s">
        <v>46</v>
      </c>
      <c r="D127" t="s">
        <v>46</v>
      </c>
      <c r="I127" t="s">
        <v>190</v>
      </c>
      <c r="R127" t="s">
        <v>106</v>
      </c>
    </row>
    <row r="128" spans="1:18" x14ac:dyDescent="0.25">
      <c r="A128" t="s">
        <v>191</v>
      </c>
      <c r="B128" t="s">
        <v>46</v>
      </c>
      <c r="D128" t="s">
        <v>46</v>
      </c>
      <c r="I128" t="s">
        <v>190</v>
      </c>
      <c r="R128" t="s">
        <v>108</v>
      </c>
    </row>
    <row r="129" spans="1:6" x14ac:dyDescent="0.25">
      <c r="A129" t="s">
        <v>192</v>
      </c>
      <c r="B129" t="s">
        <v>46</v>
      </c>
      <c r="D129" t="s">
        <v>192</v>
      </c>
    </row>
    <row r="130" spans="1:6" hidden="1" x14ac:dyDescent="0.25">
      <c r="A130" t="s">
        <v>193</v>
      </c>
      <c r="B130" t="s">
        <v>16</v>
      </c>
    </row>
    <row r="131" spans="1:6" hidden="1" x14ac:dyDescent="0.25">
      <c r="A131" t="s">
        <v>194</v>
      </c>
      <c r="B131" t="s">
        <v>16</v>
      </c>
    </row>
    <row r="132" spans="1:6" hidden="1" x14ac:dyDescent="0.25">
      <c r="A132" t="s">
        <v>195</v>
      </c>
      <c r="B132" t="s">
        <v>16</v>
      </c>
    </row>
    <row r="133" spans="1:6" hidden="1" x14ac:dyDescent="0.25">
      <c r="A133" t="s">
        <v>196</v>
      </c>
      <c r="B133" t="s">
        <v>16</v>
      </c>
    </row>
    <row r="134" spans="1:6" hidden="1" x14ac:dyDescent="0.25">
      <c r="A134" t="s">
        <v>197</v>
      </c>
      <c r="B134" t="s">
        <v>16</v>
      </c>
    </row>
    <row r="135" spans="1:6" hidden="1" x14ac:dyDescent="0.25">
      <c r="A135" t="s">
        <v>198</v>
      </c>
      <c r="B135" t="s">
        <v>16</v>
      </c>
    </row>
    <row r="136" spans="1:6" hidden="1" x14ac:dyDescent="0.25">
      <c r="A136" t="s">
        <v>199</v>
      </c>
      <c r="B136" t="s">
        <v>16</v>
      </c>
    </row>
    <row r="137" spans="1:6" hidden="1" x14ac:dyDescent="0.25">
      <c r="A137" t="s">
        <v>200</v>
      </c>
      <c r="B137" t="s">
        <v>16</v>
      </c>
    </row>
    <row r="138" spans="1:6" hidden="1" x14ac:dyDescent="0.25">
      <c r="A138" t="s">
        <v>201</v>
      </c>
      <c r="B138" t="s">
        <v>16</v>
      </c>
    </row>
    <row r="139" spans="1:6" hidden="1" x14ac:dyDescent="0.25">
      <c r="A139" t="s">
        <v>202</v>
      </c>
      <c r="B139" t="s">
        <v>16</v>
      </c>
    </row>
    <row r="140" spans="1:6" x14ac:dyDescent="0.25">
      <c r="A140" t="s">
        <v>203</v>
      </c>
      <c r="B140" t="s">
        <v>20</v>
      </c>
      <c r="D140" t="s">
        <v>20</v>
      </c>
      <c r="F140" t="s">
        <v>204</v>
      </c>
    </row>
    <row r="141" spans="1:6" hidden="1" x14ac:dyDescent="0.25">
      <c r="A141" t="s">
        <v>205</v>
      </c>
      <c r="B141" t="s">
        <v>206</v>
      </c>
    </row>
    <row r="142" spans="1:6" hidden="1" x14ac:dyDescent="0.25">
      <c r="A142" t="s">
        <v>207</v>
      </c>
      <c r="B142" t="s">
        <v>16</v>
      </c>
    </row>
    <row r="143" spans="1:6" hidden="1" x14ac:dyDescent="0.25">
      <c r="A143" t="s">
        <v>208</v>
      </c>
      <c r="B143" t="s">
        <v>16</v>
      </c>
    </row>
    <row r="144" spans="1:6" hidden="1" x14ac:dyDescent="0.25">
      <c r="A144" t="s">
        <v>209</v>
      </c>
      <c r="B144" t="s">
        <v>16</v>
      </c>
    </row>
    <row r="145" spans="1:15" x14ac:dyDescent="0.25">
      <c r="A145" t="s">
        <v>210</v>
      </c>
      <c r="B145" t="s">
        <v>20</v>
      </c>
      <c r="D145" t="s">
        <v>20</v>
      </c>
      <c r="L145" t="s">
        <v>211</v>
      </c>
    </row>
    <row r="146" spans="1:15" x14ac:dyDescent="0.25">
      <c r="A146" t="s">
        <v>212</v>
      </c>
      <c r="B146" t="s">
        <v>77</v>
      </c>
      <c r="D146" t="s">
        <v>77</v>
      </c>
      <c r="L146" t="s">
        <v>211</v>
      </c>
    </row>
    <row r="147" spans="1:15" x14ac:dyDescent="0.25">
      <c r="A147" t="s">
        <v>213</v>
      </c>
      <c r="B147" t="s">
        <v>214</v>
      </c>
      <c r="D147" t="s">
        <v>77</v>
      </c>
      <c r="M147">
        <v>15</v>
      </c>
      <c r="O147" t="s">
        <v>215</v>
      </c>
    </row>
    <row r="148" spans="1:15" hidden="1" x14ac:dyDescent="0.25">
      <c r="A148" t="s">
        <v>216</v>
      </c>
      <c r="B148" t="s">
        <v>16</v>
      </c>
    </row>
    <row r="149" spans="1:15" hidden="1" x14ac:dyDescent="0.25">
      <c r="A149" t="s">
        <v>217</v>
      </c>
      <c r="B149" t="s">
        <v>95</v>
      </c>
    </row>
    <row r="150" spans="1:15" hidden="1" x14ac:dyDescent="0.25">
      <c r="A150" t="s">
        <v>218</v>
      </c>
      <c r="B150" t="s">
        <v>87</v>
      </c>
    </row>
    <row r="151" spans="1:15" hidden="1" x14ac:dyDescent="0.25">
      <c r="A151" t="s">
        <v>219</v>
      </c>
      <c r="B151" t="s">
        <v>87</v>
      </c>
    </row>
    <row r="152" spans="1:15" hidden="1" x14ac:dyDescent="0.25">
      <c r="A152" t="s">
        <v>220</v>
      </c>
      <c r="B152" t="s">
        <v>87</v>
      </c>
    </row>
    <row r="153" spans="1:15" x14ac:dyDescent="0.25">
      <c r="A153" t="s">
        <v>221</v>
      </c>
      <c r="B153" t="s">
        <v>20</v>
      </c>
      <c r="D153" t="s">
        <v>20</v>
      </c>
      <c r="E153">
        <v>1</v>
      </c>
    </row>
    <row r="154" spans="1:15" x14ac:dyDescent="0.25">
      <c r="A154" t="s">
        <v>222</v>
      </c>
      <c r="B154" t="s">
        <v>20</v>
      </c>
      <c r="D154" t="s">
        <v>20</v>
      </c>
      <c r="E154">
        <v>2</v>
      </c>
    </row>
    <row r="155" spans="1:15" x14ac:dyDescent="0.25">
      <c r="A155" t="s">
        <v>223</v>
      </c>
      <c r="B155" t="s">
        <v>20</v>
      </c>
      <c r="D155" t="s">
        <v>20</v>
      </c>
      <c r="E155">
        <v>3</v>
      </c>
    </row>
    <row r="156" spans="1:15" x14ac:dyDescent="0.25">
      <c r="A156" t="s">
        <v>224</v>
      </c>
      <c r="B156" t="s">
        <v>20</v>
      </c>
      <c r="D156" t="s">
        <v>20</v>
      </c>
      <c r="E156">
        <v>4</v>
      </c>
    </row>
    <row r="157" spans="1:15" x14ac:dyDescent="0.25">
      <c r="A157" t="s">
        <v>225</v>
      </c>
      <c r="B157" t="s">
        <v>20</v>
      </c>
      <c r="D157" t="s">
        <v>20</v>
      </c>
      <c r="E157">
        <v>5</v>
      </c>
    </row>
    <row r="158" spans="1:15" x14ac:dyDescent="0.25">
      <c r="A158" t="s">
        <v>226</v>
      </c>
      <c r="B158" t="s">
        <v>20</v>
      </c>
      <c r="D158" t="s">
        <v>226</v>
      </c>
    </row>
    <row r="159" spans="1:15" x14ac:dyDescent="0.25">
      <c r="A159" t="s">
        <v>227</v>
      </c>
      <c r="B159" t="s">
        <v>20</v>
      </c>
      <c r="D159" t="s">
        <v>20</v>
      </c>
      <c r="I159" t="s">
        <v>228</v>
      </c>
    </row>
    <row r="160" spans="1:15" x14ac:dyDescent="0.25">
      <c r="A160" t="s">
        <v>229</v>
      </c>
      <c r="B160" t="s">
        <v>20</v>
      </c>
      <c r="D160" t="s">
        <v>20</v>
      </c>
      <c r="F160" t="s">
        <v>230</v>
      </c>
    </row>
    <row r="161" spans="1:17" hidden="1" x14ac:dyDescent="0.25">
      <c r="A161" t="s">
        <v>231</v>
      </c>
      <c r="B161" t="s">
        <v>16</v>
      </c>
    </row>
    <row r="162" spans="1:17" hidden="1" x14ac:dyDescent="0.25">
      <c r="A162" t="s">
        <v>232</v>
      </c>
      <c r="B162" t="s">
        <v>16</v>
      </c>
    </row>
    <row r="163" spans="1:17" x14ac:dyDescent="0.25">
      <c r="A163" t="s">
        <v>233</v>
      </c>
      <c r="B163" t="s">
        <v>46</v>
      </c>
      <c r="D163" t="s">
        <v>46</v>
      </c>
      <c r="J163">
        <v>45</v>
      </c>
      <c r="K163">
        <v>45</v>
      </c>
    </row>
    <row r="164" spans="1:17" x14ac:dyDescent="0.25">
      <c r="A164" t="s">
        <v>234</v>
      </c>
      <c r="B164" t="s">
        <v>46</v>
      </c>
      <c r="D164" t="s">
        <v>46</v>
      </c>
      <c r="I164" t="s">
        <v>235</v>
      </c>
    </row>
    <row r="165" spans="1:17" hidden="1" x14ac:dyDescent="0.25">
      <c r="A165" t="s">
        <v>236</v>
      </c>
      <c r="B165" t="s">
        <v>16</v>
      </c>
    </row>
    <row r="166" spans="1:17" hidden="1" x14ac:dyDescent="0.25">
      <c r="A166" t="s">
        <v>237</v>
      </c>
      <c r="B166" t="s">
        <v>16</v>
      </c>
    </row>
    <row r="167" spans="1:17" x14ac:dyDescent="0.25">
      <c r="A167" t="s">
        <v>238</v>
      </c>
      <c r="B167" t="s">
        <v>46</v>
      </c>
      <c r="D167" t="s">
        <v>45</v>
      </c>
      <c r="Q167" t="s">
        <v>239</v>
      </c>
    </row>
    <row r="168" spans="1:17" hidden="1" x14ac:dyDescent="0.25">
      <c r="A168" t="s">
        <v>240</v>
      </c>
      <c r="B168" t="s">
        <v>95</v>
      </c>
    </row>
    <row r="169" spans="1:17" hidden="1" x14ac:dyDescent="0.25">
      <c r="A169" t="s">
        <v>241</v>
      </c>
      <c r="B169" t="s">
        <v>95</v>
      </c>
    </row>
    <row r="170" spans="1:17" hidden="1" x14ac:dyDescent="0.25">
      <c r="A170" t="s">
        <v>242</v>
      </c>
      <c r="B170" t="s">
        <v>95</v>
      </c>
    </row>
    <row r="171" spans="1:17" x14ac:dyDescent="0.25">
      <c r="A171" t="s">
        <v>243</v>
      </c>
      <c r="B171" t="s">
        <v>77</v>
      </c>
      <c r="D171" t="s">
        <v>77</v>
      </c>
      <c r="J171">
        <v>45</v>
      </c>
      <c r="K171">
        <v>45</v>
      </c>
    </row>
    <row r="172" spans="1:17" x14ac:dyDescent="0.25">
      <c r="A172" t="s">
        <v>244</v>
      </c>
      <c r="B172" t="s">
        <v>77</v>
      </c>
      <c r="D172" t="s">
        <v>77</v>
      </c>
      <c r="I172" t="s">
        <v>235</v>
      </c>
    </row>
    <row r="173" spans="1:17" hidden="1" x14ac:dyDescent="0.25">
      <c r="A173" t="s">
        <v>245</v>
      </c>
      <c r="B173" t="s">
        <v>16</v>
      </c>
    </row>
    <row r="174" spans="1:17" hidden="1" x14ac:dyDescent="0.25">
      <c r="A174" t="s">
        <v>246</v>
      </c>
      <c r="B174" t="s">
        <v>16</v>
      </c>
    </row>
    <row r="175" spans="1:17" x14ac:dyDescent="0.25">
      <c r="A175" t="s">
        <v>247</v>
      </c>
      <c r="B175" t="s">
        <v>77</v>
      </c>
      <c r="C175" t="s">
        <v>85</v>
      </c>
      <c r="D175" t="s">
        <v>77</v>
      </c>
      <c r="J175">
        <v>45</v>
      </c>
      <c r="K175">
        <v>45</v>
      </c>
    </row>
    <row r="176" spans="1:17" hidden="1" x14ac:dyDescent="0.25">
      <c r="A176" t="s">
        <v>239</v>
      </c>
      <c r="B176" t="s">
        <v>16</v>
      </c>
    </row>
    <row r="177" spans="1:9" hidden="1" x14ac:dyDescent="0.25">
      <c r="A177" t="s">
        <v>76</v>
      </c>
      <c r="B177" t="s">
        <v>76</v>
      </c>
    </row>
    <row r="178" spans="1:9" x14ac:dyDescent="0.25">
      <c r="A178" t="s">
        <v>137</v>
      </c>
      <c r="B178" t="s">
        <v>46</v>
      </c>
      <c r="D178" t="s">
        <v>137</v>
      </c>
    </row>
    <row r="179" spans="1:9" x14ac:dyDescent="0.25">
      <c r="A179" t="s">
        <v>248</v>
      </c>
      <c r="B179" t="s">
        <v>77</v>
      </c>
      <c r="D179" t="s">
        <v>77</v>
      </c>
      <c r="E179">
        <v>10</v>
      </c>
      <c r="I179" t="s">
        <v>249</v>
      </c>
    </row>
    <row r="180" spans="1:9" x14ac:dyDescent="0.25">
      <c r="A180" t="s">
        <v>250</v>
      </c>
      <c r="B180" t="s">
        <v>77</v>
      </c>
      <c r="C180" t="s">
        <v>83</v>
      </c>
      <c r="D180" t="s">
        <v>77</v>
      </c>
      <c r="E180">
        <v>10</v>
      </c>
      <c r="I180" t="s">
        <v>249</v>
      </c>
    </row>
    <row r="181" spans="1:9" x14ac:dyDescent="0.25">
      <c r="A181" t="s">
        <v>251</v>
      </c>
      <c r="B181" t="s">
        <v>77</v>
      </c>
      <c r="D181" t="s">
        <v>77</v>
      </c>
      <c r="E181">
        <v>15</v>
      </c>
      <c r="I181" t="s">
        <v>249</v>
      </c>
    </row>
    <row r="182" spans="1:9" x14ac:dyDescent="0.25">
      <c r="A182" t="s">
        <v>252</v>
      </c>
      <c r="B182" t="s">
        <v>77</v>
      </c>
      <c r="C182" t="s">
        <v>83</v>
      </c>
      <c r="D182" t="s">
        <v>77</v>
      </c>
      <c r="E182">
        <v>15</v>
      </c>
      <c r="I182" t="s">
        <v>249</v>
      </c>
    </row>
    <row r="183" spans="1:9" x14ac:dyDescent="0.25">
      <c r="A183" t="s">
        <v>253</v>
      </c>
      <c r="B183" t="s">
        <v>46</v>
      </c>
      <c r="D183" t="s">
        <v>254</v>
      </c>
      <c r="F183" t="s">
        <v>255</v>
      </c>
    </row>
    <row r="184" spans="1:9" hidden="1" x14ac:dyDescent="0.25">
      <c r="A184" t="s">
        <v>256</v>
      </c>
      <c r="B184" t="s">
        <v>16</v>
      </c>
    </row>
    <row r="185" spans="1:9" hidden="1" x14ac:dyDescent="0.25">
      <c r="A185" t="s">
        <v>257</v>
      </c>
      <c r="B185" t="s">
        <v>16</v>
      </c>
    </row>
    <row r="186" spans="1:9" x14ac:dyDescent="0.25">
      <c r="A186" t="s">
        <v>258</v>
      </c>
      <c r="B186" t="s">
        <v>20</v>
      </c>
      <c r="D186" t="s">
        <v>20</v>
      </c>
      <c r="I186" t="s">
        <v>259</v>
      </c>
    </row>
    <row r="187" spans="1:9" x14ac:dyDescent="0.25">
      <c r="A187" t="s">
        <v>260</v>
      </c>
      <c r="B187" t="s">
        <v>46</v>
      </c>
      <c r="D187" t="s">
        <v>46</v>
      </c>
      <c r="I187" t="s">
        <v>261</v>
      </c>
    </row>
    <row r="188" spans="1:9" x14ac:dyDescent="0.25">
      <c r="A188" t="s">
        <v>262</v>
      </c>
      <c r="B188" t="s">
        <v>46</v>
      </c>
      <c r="D188" t="s">
        <v>46</v>
      </c>
      <c r="I188" t="s">
        <v>263</v>
      </c>
    </row>
    <row r="189" spans="1:9" hidden="1" x14ac:dyDescent="0.25">
      <c r="A189" t="s">
        <v>264</v>
      </c>
      <c r="B189" t="s">
        <v>16</v>
      </c>
    </row>
    <row r="190" spans="1:9" hidden="1" x14ac:dyDescent="0.25">
      <c r="A190" t="s">
        <v>265</v>
      </c>
      <c r="B190" t="s">
        <v>16</v>
      </c>
    </row>
    <row r="191" spans="1:9" hidden="1" x14ac:dyDescent="0.25">
      <c r="A191" t="s">
        <v>266</v>
      </c>
      <c r="B191" t="s">
        <v>16</v>
      </c>
    </row>
    <row r="192" spans="1:9" hidden="1" x14ac:dyDescent="0.25">
      <c r="A192" t="s">
        <v>267</v>
      </c>
      <c r="B192" t="s">
        <v>16</v>
      </c>
    </row>
    <row r="193" spans="1:18" hidden="1" x14ac:dyDescent="0.25">
      <c r="A193" t="s">
        <v>268</v>
      </c>
      <c r="B193" t="s">
        <v>16</v>
      </c>
    </row>
    <row r="194" spans="1:18" hidden="1" x14ac:dyDescent="0.25">
      <c r="A194" t="s">
        <v>269</v>
      </c>
      <c r="B194" t="s">
        <v>16</v>
      </c>
    </row>
    <row r="195" spans="1:18" hidden="1" x14ac:dyDescent="0.25">
      <c r="A195" t="s">
        <v>270</v>
      </c>
      <c r="B195" t="s">
        <v>16</v>
      </c>
    </row>
    <row r="196" spans="1:18" hidden="1" x14ac:dyDescent="0.25">
      <c r="A196" t="s">
        <v>271</v>
      </c>
      <c r="B196" t="s">
        <v>173</v>
      </c>
    </row>
    <row r="197" spans="1:18" hidden="1" x14ac:dyDescent="0.25">
      <c r="A197" t="s">
        <v>272</v>
      </c>
      <c r="B197" t="s">
        <v>173</v>
      </c>
    </row>
    <row r="198" spans="1:18" hidden="1" x14ac:dyDescent="0.25">
      <c r="A198" t="s">
        <v>273</v>
      </c>
      <c r="B198" t="s">
        <v>173</v>
      </c>
    </row>
    <row r="199" spans="1:18" hidden="1" x14ac:dyDescent="0.25">
      <c r="A199" t="s">
        <v>274</v>
      </c>
      <c r="B199" t="s">
        <v>173</v>
      </c>
    </row>
    <row r="200" spans="1:18" hidden="1" x14ac:dyDescent="0.25">
      <c r="A200" t="s">
        <v>275</v>
      </c>
      <c r="B200" t="s">
        <v>87</v>
      </c>
    </row>
    <row r="201" spans="1:18" hidden="1" x14ac:dyDescent="0.25">
      <c r="A201" t="s">
        <v>276</v>
      </c>
      <c r="B201" t="s">
        <v>87</v>
      </c>
    </row>
    <row r="202" spans="1:18" hidden="1" x14ac:dyDescent="0.25">
      <c r="A202" t="s">
        <v>277</v>
      </c>
      <c r="B202" t="s">
        <v>95</v>
      </c>
    </row>
    <row r="203" spans="1:18" x14ac:dyDescent="0.25">
      <c r="A203" t="s">
        <v>278</v>
      </c>
      <c r="B203" t="s">
        <v>46</v>
      </c>
      <c r="D203" t="s">
        <v>46</v>
      </c>
      <c r="J203">
        <v>54</v>
      </c>
      <c r="K203">
        <v>54</v>
      </c>
      <c r="R203" t="s">
        <v>106</v>
      </c>
    </row>
    <row r="204" spans="1:18" x14ac:dyDescent="0.25">
      <c r="A204" t="s">
        <v>279</v>
      </c>
      <c r="B204" t="s">
        <v>46</v>
      </c>
      <c r="D204" t="s">
        <v>46</v>
      </c>
      <c r="J204">
        <v>54</v>
      </c>
      <c r="K204">
        <v>54</v>
      </c>
      <c r="R204" t="s">
        <v>108</v>
      </c>
    </row>
    <row r="205" spans="1:18" x14ac:dyDescent="0.25">
      <c r="A205" t="s">
        <v>280</v>
      </c>
      <c r="B205" t="s">
        <v>46</v>
      </c>
      <c r="D205" t="s">
        <v>46</v>
      </c>
      <c r="J205">
        <v>60</v>
      </c>
      <c r="K205">
        <v>60</v>
      </c>
      <c r="R205" t="s">
        <v>106</v>
      </c>
    </row>
    <row r="206" spans="1:18" x14ac:dyDescent="0.25">
      <c r="A206" t="s">
        <v>281</v>
      </c>
      <c r="B206" t="s">
        <v>46</v>
      </c>
      <c r="D206" t="s">
        <v>46</v>
      </c>
      <c r="J206">
        <v>60</v>
      </c>
      <c r="K206">
        <v>60</v>
      </c>
      <c r="R206" t="s">
        <v>108</v>
      </c>
    </row>
    <row r="207" spans="1:18" hidden="1" x14ac:dyDescent="0.25">
      <c r="A207" t="s">
        <v>282</v>
      </c>
      <c r="B207" t="s">
        <v>16</v>
      </c>
    </row>
    <row r="208" spans="1:18" hidden="1" x14ac:dyDescent="0.25">
      <c r="A208" t="s">
        <v>283</v>
      </c>
      <c r="B208" t="s">
        <v>95</v>
      </c>
    </row>
    <row r="209" spans="1:19" hidden="1" x14ac:dyDescent="0.25">
      <c r="A209" t="s">
        <v>284</v>
      </c>
      <c r="B209" t="s">
        <v>95</v>
      </c>
    </row>
    <row r="210" spans="1:19" hidden="1" x14ac:dyDescent="0.25">
      <c r="A210" t="s">
        <v>285</v>
      </c>
      <c r="B210" t="s">
        <v>95</v>
      </c>
    </row>
    <row r="211" spans="1:19" x14ac:dyDescent="0.25">
      <c r="A211" t="s">
        <v>286</v>
      </c>
      <c r="B211" t="s">
        <v>77</v>
      </c>
      <c r="D211" t="s">
        <v>77</v>
      </c>
      <c r="J211">
        <v>54</v>
      </c>
      <c r="K211">
        <v>54</v>
      </c>
    </row>
    <row r="212" spans="1:19" x14ac:dyDescent="0.25">
      <c r="A212" t="s">
        <v>287</v>
      </c>
      <c r="B212" t="s">
        <v>77</v>
      </c>
      <c r="C212" t="s">
        <v>83</v>
      </c>
      <c r="D212" t="s">
        <v>77</v>
      </c>
      <c r="J212">
        <v>54</v>
      </c>
      <c r="K212">
        <v>54</v>
      </c>
    </row>
    <row r="213" spans="1:19" x14ac:dyDescent="0.25">
      <c r="A213" t="s">
        <v>288</v>
      </c>
      <c r="B213" t="s">
        <v>77</v>
      </c>
      <c r="D213" t="s">
        <v>77</v>
      </c>
      <c r="J213">
        <v>54</v>
      </c>
      <c r="K213">
        <v>54</v>
      </c>
      <c r="R213" t="s">
        <v>106</v>
      </c>
    </row>
    <row r="214" spans="1:19" x14ac:dyDescent="0.25">
      <c r="A214" t="s">
        <v>289</v>
      </c>
      <c r="B214" t="s">
        <v>77</v>
      </c>
      <c r="C214" t="s">
        <v>85</v>
      </c>
      <c r="D214" t="s">
        <v>77</v>
      </c>
      <c r="J214">
        <v>54</v>
      </c>
      <c r="K214">
        <v>54</v>
      </c>
      <c r="R214" t="s">
        <v>106</v>
      </c>
      <c r="S214" t="s">
        <v>290</v>
      </c>
    </row>
    <row r="215" spans="1:19" x14ac:dyDescent="0.25">
      <c r="A215" t="s">
        <v>291</v>
      </c>
      <c r="B215" t="s">
        <v>77</v>
      </c>
      <c r="C215" t="s">
        <v>85</v>
      </c>
      <c r="D215" t="s">
        <v>77</v>
      </c>
      <c r="J215">
        <v>54</v>
      </c>
      <c r="K215">
        <v>54</v>
      </c>
      <c r="R215" t="s">
        <v>106</v>
      </c>
      <c r="S215" t="s">
        <v>292</v>
      </c>
    </row>
    <row r="216" spans="1:19" x14ac:dyDescent="0.25">
      <c r="A216" t="s">
        <v>293</v>
      </c>
      <c r="B216" t="s">
        <v>77</v>
      </c>
      <c r="C216" t="s">
        <v>85</v>
      </c>
      <c r="D216" t="s">
        <v>77</v>
      </c>
      <c r="J216">
        <v>54</v>
      </c>
      <c r="K216">
        <v>54</v>
      </c>
      <c r="R216" t="s">
        <v>106</v>
      </c>
      <c r="S216" t="s">
        <v>294</v>
      </c>
    </row>
    <row r="217" spans="1:19" x14ac:dyDescent="0.25">
      <c r="A217" t="s">
        <v>295</v>
      </c>
      <c r="B217" t="s">
        <v>77</v>
      </c>
      <c r="D217" t="s">
        <v>77</v>
      </c>
      <c r="J217">
        <v>54</v>
      </c>
      <c r="K217">
        <v>54</v>
      </c>
      <c r="R217" t="s">
        <v>108</v>
      </c>
    </row>
    <row r="218" spans="1:19" x14ac:dyDescent="0.25">
      <c r="A218" t="s">
        <v>296</v>
      </c>
      <c r="B218" t="s">
        <v>77</v>
      </c>
      <c r="C218" t="s">
        <v>85</v>
      </c>
      <c r="D218" t="s">
        <v>77</v>
      </c>
      <c r="J218">
        <v>54</v>
      </c>
      <c r="K218">
        <v>54</v>
      </c>
      <c r="R218" t="s">
        <v>108</v>
      </c>
      <c r="S218" t="s">
        <v>290</v>
      </c>
    </row>
    <row r="219" spans="1:19" x14ac:dyDescent="0.25">
      <c r="A219" t="s">
        <v>297</v>
      </c>
      <c r="B219" t="s">
        <v>77</v>
      </c>
      <c r="C219" t="s">
        <v>85</v>
      </c>
      <c r="D219" t="s">
        <v>77</v>
      </c>
      <c r="J219">
        <v>54</v>
      </c>
      <c r="K219">
        <v>54</v>
      </c>
      <c r="R219" t="s">
        <v>108</v>
      </c>
      <c r="S219" t="s">
        <v>292</v>
      </c>
    </row>
    <row r="220" spans="1:19" x14ac:dyDescent="0.25">
      <c r="A220" t="s">
        <v>298</v>
      </c>
      <c r="B220" t="s">
        <v>77</v>
      </c>
      <c r="C220" t="s">
        <v>85</v>
      </c>
      <c r="D220" t="s">
        <v>77</v>
      </c>
      <c r="J220">
        <v>54</v>
      </c>
      <c r="K220">
        <v>54</v>
      </c>
      <c r="R220" t="s">
        <v>108</v>
      </c>
      <c r="S220" t="s">
        <v>294</v>
      </c>
    </row>
    <row r="221" spans="1:19" x14ac:dyDescent="0.25">
      <c r="A221" t="s">
        <v>299</v>
      </c>
      <c r="B221" t="s">
        <v>77</v>
      </c>
      <c r="D221" t="s">
        <v>77</v>
      </c>
      <c r="J221">
        <v>60</v>
      </c>
      <c r="K221">
        <v>60</v>
      </c>
    </row>
    <row r="222" spans="1:19" x14ac:dyDescent="0.25">
      <c r="A222" t="s">
        <v>300</v>
      </c>
      <c r="B222" t="s">
        <v>77</v>
      </c>
      <c r="C222" t="s">
        <v>85</v>
      </c>
      <c r="D222" t="s">
        <v>77</v>
      </c>
      <c r="J222">
        <v>60</v>
      </c>
      <c r="K222">
        <v>60</v>
      </c>
      <c r="S222" t="s">
        <v>290</v>
      </c>
    </row>
    <row r="223" spans="1:19" x14ac:dyDescent="0.25">
      <c r="A223" t="s">
        <v>301</v>
      </c>
      <c r="B223" t="s">
        <v>77</v>
      </c>
      <c r="C223" t="s">
        <v>85</v>
      </c>
      <c r="D223" t="s">
        <v>77</v>
      </c>
      <c r="J223">
        <v>60</v>
      </c>
      <c r="K223">
        <v>60</v>
      </c>
      <c r="S223" t="s">
        <v>292</v>
      </c>
    </row>
    <row r="224" spans="1:19" x14ac:dyDescent="0.25">
      <c r="A224" t="s">
        <v>302</v>
      </c>
      <c r="B224" t="s">
        <v>77</v>
      </c>
      <c r="C224" t="s">
        <v>83</v>
      </c>
      <c r="D224" t="s">
        <v>77</v>
      </c>
      <c r="J224">
        <v>60</v>
      </c>
      <c r="K224">
        <v>60</v>
      </c>
    </row>
    <row r="225" spans="1:19" x14ac:dyDescent="0.25">
      <c r="A225" t="s">
        <v>303</v>
      </c>
      <c r="B225" t="s">
        <v>77</v>
      </c>
      <c r="C225" t="s">
        <v>83</v>
      </c>
      <c r="D225" t="s">
        <v>77</v>
      </c>
      <c r="J225">
        <v>66</v>
      </c>
      <c r="K225">
        <v>66</v>
      </c>
    </row>
    <row r="226" spans="1:19" hidden="1" x14ac:dyDescent="0.25">
      <c r="A226" t="s">
        <v>304</v>
      </c>
      <c r="B226" t="s">
        <v>95</v>
      </c>
    </row>
    <row r="227" spans="1:19" x14ac:dyDescent="0.25">
      <c r="A227" t="s">
        <v>305</v>
      </c>
      <c r="B227" t="s">
        <v>46</v>
      </c>
      <c r="D227" t="s">
        <v>46</v>
      </c>
      <c r="J227">
        <v>56</v>
      </c>
      <c r="K227">
        <v>56</v>
      </c>
      <c r="R227" t="s">
        <v>106</v>
      </c>
    </row>
    <row r="228" spans="1:19" x14ac:dyDescent="0.25">
      <c r="A228" t="s">
        <v>306</v>
      </c>
      <c r="B228" t="s">
        <v>46</v>
      </c>
      <c r="D228" t="s">
        <v>46</v>
      </c>
      <c r="J228">
        <v>56</v>
      </c>
      <c r="K228">
        <v>56</v>
      </c>
      <c r="R228" t="s">
        <v>108</v>
      </c>
    </row>
    <row r="229" spans="1:19" x14ac:dyDescent="0.25">
      <c r="A229" t="s">
        <v>307</v>
      </c>
      <c r="B229" t="s">
        <v>46</v>
      </c>
      <c r="D229" t="s">
        <v>46</v>
      </c>
      <c r="J229">
        <v>63</v>
      </c>
      <c r="K229">
        <v>63</v>
      </c>
      <c r="R229" t="s">
        <v>106</v>
      </c>
    </row>
    <row r="230" spans="1:19" x14ac:dyDescent="0.25">
      <c r="A230" t="s">
        <v>308</v>
      </c>
      <c r="B230" t="s">
        <v>46</v>
      </c>
      <c r="D230" t="s">
        <v>46</v>
      </c>
      <c r="J230">
        <v>63</v>
      </c>
      <c r="K230">
        <v>63</v>
      </c>
      <c r="R230" t="s">
        <v>108</v>
      </c>
    </row>
    <row r="231" spans="1:19" x14ac:dyDescent="0.25">
      <c r="A231" t="s">
        <v>309</v>
      </c>
      <c r="B231" t="s">
        <v>46</v>
      </c>
      <c r="D231" t="s">
        <v>46</v>
      </c>
      <c r="J231">
        <v>70</v>
      </c>
      <c r="K231">
        <v>70</v>
      </c>
    </row>
    <row r="232" spans="1:19" x14ac:dyDescent="0.25">
      <c r="A232" t="s">
        <v>310</v>
      </c>
      <c r="B232" t="s">
        <v>77</v>
      </c>
      <c r="D232" t="s">
        <v>77</v>
      </c>
      <c r="J232">
        <v>56</v>
      </c>
      <c r="K232">
        <v>56</v>
      </c>
    </row>
    <row r="233" spans="1:19" x14ac:dyDescent="0.25">
      <c r="A233" t="s">
        <v>311</v>
      </c>
      <c r="B233" t="s">
        <v>77</v>
      </c>
      <c r="C233" t="s">
        <v>83</v>
      </c>
      <c r="D233" t="s">
        <v>77</v>
      </c>
      <c r="J233">
        <v>56</v>
      </c>
      <c r="K233">
        <v>56</v>
      </c>
    </row>
    <row r="234" spans="1:19" x14ac:dyDescent="0.25">
      <c r="A234" t="s">
        <v>312</v>
      </c>
      <c r="B234" t="s">
        <v>77</v>
      </c>
      <c r="D234" t="s">
        <v>77</v>
      </c>
      <c r="J234">
        <v>56</v>
      </c>
      <c r="K234">
        <v>56</v>
      </c>
      <c r="R234" t="s">
        <v>106</v>
      </c>
    </row>
    <row r="235" spans="1:19" x14ac:dyDescent="0.25">
      <c r="A235" t="s">
        <v>313</v>
      </c>
      <c r="B235" t="s">
        <v>77</v>
      </c>
      <c r="C235" t="s">
        <v>85</v>
      </c>
      <c r="D235" t="s">
        <v>77</v>
      </c>
      <c r="J235">
        <v>56</v>
      </c>
      <c r="K235">
        <v>56</v>
      </c>
      <c r="R235" t="s">
        <v>106</v>
      </c>
      <c r="S235" t="s">
        <v>290</v>
      </c>
    </row>
    <row r="236" spans="1:19" x14ac:dyDescent="0.25">
      <c r="A236" t="s">
        <v>314</v>
      </c>
      <c r="B236" t="s">
        <v>77</v>
      </c>
      <c r="C236" t="s">
        <v>85</v>
      </c>
      <c r="D236" t="s">
        <v>77</v>
      </c>
      <c r="J236">
        <v>56</v>
      </c>
      <c r="K236">
        <v>56</v>
      </c>
      <c r="R236" t="s">
        <v>106</v>
      </c>
      <c r="S236" t="s">
        <v>292</v>
      </c>
    </row>
    <row r="237" spans="1:19" x14ac:dyDescent="0.25">
      <c r="A237" t="s">
        <v>315</v>
      </c>
      <c r="B237" t="s">
        <v>77</v>
      </c>
      <c r="C237" t="s">
        <v>85</v>
      </c>
      <c r="D237" t="s">
        <v>77</v>
      </c>
      <c r="J237">
        <v>56</v>
      </c>
      <c r="K237">
        <v>56</v>
      </c>
      <c r="R237" t="s">
        <v>106</v>
      </c>
      <c r="S237" t="s">
        <v>294</v>
      </c>
    </row>
    <row r="238" spans="1:19" x14ac:dyDescent="0.25">
      <c r="A238" t="s">
        <v>316</v>
      </c>
      <c r="B238" t="s">
        <v>77</v>
      </c>
      <c r="D238" t="s">
        <v>77</v>
      </c>
      <c r="J238">
        <v>56</v>
      </c>
      <c r="K238">
        <v>56</v>
      </c>
      <c r="R238" t="s">
        <v>108</v>
      </c>
    </row>
    <row r="239" spans="1:19" x14ac:dyDescent="0.25">
      <c r="A239" t="s">
        <v>317</v>
      </c>
      <c r="B239" t="s">
        <v>77</v>
      </c>
      <c r="C239" t="s">
        <v>85</v>
      </c>
      <c r="D239" t="s">
        <v>77</v>
      </c>
      <c r="J239">
        <v>56</v>
      </c>
      <c r="K239">
        <v>56</v>
      </c>
      <c r="R239" t="s">
        <v>108</v>
      </c>
      <c r="S239" t="s">
        <v>290</v>
      </c>
    </row>
    <row r="240" spans="1:19" x14ac:dyDescent="0.25">
      <c r="A240" t="s">
        <v>318</v>
      </c>
      <c r="B240" t="s">
        <v>77</v>
      </c>
      <c r="C240" t="s">
        <v>85</v>
      </c>
      <c r="D240" t="s">
        <v>77</v>
      </c>
      <c r="J240">
        <v>56</v>
      </c>
      <c r="K240">
        <v>56</v>
      </c>
      <c r="R240" t="s">
        <v>108</v>
      </c>
      <c r="S240" t="s">
        <v>292</v>
      </c>
    </row>
    <row r="241" spans="1:19" x14ac:dyDescent="0.25">
      <c r="A241" t="s">
        <v>319</v>
      </c>
      <c r="B241" t="s">
        <v>77</v>
      </c>
      <c r="C241" t="s">
        <v>85</v>
      </c>
      <c r="D241" t="s">
        <v>77</v>
      </c>
      <c r="J241">
        <v>56</v>
      </c>
      <c r="K241">
        <v>56</v>
      </c>
      <c r="R241" t="s">
        <v>108</v>
      </c>
      <c r="S241" t="s">
        <v>294</v>
      </c>
    </row>
    <row r="242" spans="1:19" x14ac:dyDescent="0.25">
      <c r="A242" t="s">
        <v>320</v>
      </c>
      <c r="B242" t="s">
        <v>77</v>
      </c>
      <c r="D242" t="s">
        <v>77</v>
      </c>
      <c r="J242">
        <v>63</v>
      </c>
      <c r="K242">
        <v>63</v>
      </c>
    </row>
    <row r="243" spans="1:19" x14ac:dyDescent="0.25">
      <c r="A243" t="s">
        <v>321</v>
      </c>
      <c r="B243" t="s">
        <v>77</v>
      </c>
      <c r="C243" t="s">
        <v>85</v>
      </c>
      <c r="D243" t="s">
        <v>77</v>
      </c>
      <c r="J243">
        <v>63</v>
      </c>
      <c r="K243">
        <v>63</v>
      </c>
      <c r="S243" t="s">
        <v>290</v>
      </c>
    </row>
    <row r="244" spans="1:19" x14ac:dyDescent="0.25">
      <c r="A244" t="s">
        <v>322</v>
      </c>
      <c r="B244" t="s">
        <v>77</v>
      </c>
      <c r="C244" t="s">
        <v>85</v>
      </c>
      <c r="D244" t="s">
        <v>77</v>
      </c>
      <c r="J244">
        <v>63</v>
      </c>
      <c r="K244">
        <v>63</v>
      </c>
      <c r="S244" t="s">
        <v>292</v>
      </c>
    </row>
    <row r="245" spans="1:19" x14ac:dyDescent="0.25">
      <c r="A245" t="s">
        <v>323</v>
      </c>
      <c r="B245" t="s">
        <v>77</v>
      </c>
      <c r="C245" t="s">
        <v>83</v>
      </c>
      <c r="D245" t="s">
        <v>77</v>
      </c>
      <c r="J245">
        <v>63</v>
      </c>
      <c r="K245">
        <v>63</v>
      </c>
    </row>
    <row r="246" spans="1:19" x14ac:dyDescent="0.25">
      <c r="A246" t="s">
        <v>324</v>
      </c>
      <c r="B246" t="s">
        <v>77</v>
      </c>
      <c r="D246" t="s">
        <v>77</v>
      </c>
      <c r="J246">
        <v>70</v>
      </c>
      <c r="K246">
        <v>70</v>
      </c>
    </row>
    <row r="247" spans="1:19" x14ac:dyDescent="0.25">
      <c r="A247" t="s">
        <v>325</v>
      </c>
      <c r="B247" t="s">
        <v>77</v>
      </c>
      <c r="C247" t="s">
        <v>83</v>
      </c>
      <c r="D247" t="s">
        <v>77</v>
      </c>
      <c r="J247">
        <v>70</v>
      </c>
      <c r="K247">
        <v>70</v>
      </c>
    </row>
    <row r="248" spans="1:19" x14ac:dyDescent="0.25">
      <c r="A248" t="s">
        <v>326</v>
      </c>
      <c r="B248" t="s">
        <v>77</v>
      </c>
      <c r="C248" t="s">
        <v>85</v>
      </c>
      <c r="D248" t="s">
        <v>77</v>
      </c>
      <c r="J248">
        <v>70</v>
      </c>
      <c r="K248">
        <v>70</v>
      </c>
    </row>
    <row r="249" spans="1:19" hidden="1" x14ac:dyDescent="0.25">
      <c r="A249" t="s">
        <v>327</v>
      </c>
      <c r="B249" t="s">
        <v>16</v>
      </c>
    </row>
    <row r="250" spans="1:19" hidden="1" x14ac:dyDescent="0.25">
      <c r="A250" t="s">
        <v>328</v>
      </c>
      <c r="B250" t="s">
        <v>16</v>
      </c>
    </row>
    <row r="251" spans="1:19" hidden="1" x14ac:dyDescent="0.25">
      <c r="A251" t="s">
        <v>329</v>
      </c>
      <c r="B251" t="s">
        <v>16</v>
      </c>
    </row>
    <row r="252" spans="1:19" hidden="1" x14ac:dyDescent="0.25">
      <c r="A252" t="s">
        <v>330</v>
      </c>
      <c r="B252" t="s">
        <v>16</v>
      </c>
    </row>
    <row r="253" spans="1:19" hidden="1" x14ac:dyDescent="0.25">
      <c r="A253" t="s">
        <v>331</v>
      </c>
      <c r="B253" t="s">
        <v>16</v>
      </c>
    </row>
    <row r="254" spans="1:19" hidden="1" x14ac:dyDescent="0.25">
      <c r="A254" t="s">
        <v>332</v>
      </c>
      <c r="B254" t="s">
        <v>16</v>
      </c>
    </row>
    <row r="255" spans="1:19" hidden="1" x14ac:dyDescent="0.25">
      <c r="A255" t="s">
        <v>333</v>
      </c>
      <c r="B255" t="s">
        <v>16</v>
      </c>
    </row>
    <row r="256" spans="1:19" hidden="1" x14ac:dyDescent="0.25">
      <c r="A256" t="s">
        <v>334</v>
      </c>
      <c r="B256" t="s">
        <v>16</v>
      </c>
    </row>
    <row r="257" spans="1:17" hidden="1" x14ac:dyDescent="0.25">
      <c r="A257" t="s">
        <v>335</v>
      </c>
      <c r="B257" t="s">
        <v>16</v>
      </c>
    </row>
    <row r="258" spans="1:17" hidden="1" x14ac:dyDescent="0.25">
      <c r="A258" t="s">
        <v>336</v>
      </c>
      <c r="B258" t="s">
        <v>16</v>
      </c>
    </row>
    <row r="259" spans="1:17" hidden="1" x14ac:dyDescent="0.25">
      <c r="A259" t="s">
        <v>337</v>
      </c>
      <c r="B259" t="s">
        <v>95</v>
      </c>
    </row>
    <row r="260" spans="1:17" x14ac:dyDescent="0.25">
      <c r="A260" t="s">
        <v>338</v>
      </c>
      <c r="B260" t="s">
        <v>87</v>
      </c>
      <c r="D260" t="s">
        <v>77</v>
      </c>
      <c r="M260">
        <v>20</v>
      </c>
      <c r="O260" t="s">
        <v>215</v>
      </c>
    </row>
    <row r="261" spans="1:17" hidden="1" x14ac:dyDescent="0.25">
      <c r="A261" t="s">
        <v>339</v>
      </c>
      <c r="B261" t="s">
        <v>95</v>
      </c>
    </row>
    <row r="262" spans="1:17" hidden="1" x14ac:dyDescent="0.25">
      <c r="A262" t="s">
        <v>340</v>
      </c>
      <c r="B262" t="s">
        <v>341</v>
      </c>
    </row>
    <row r="263" spans="1:17" hidden="1" x14ac:dyDescent="0.25">
      <c r="A263" t="s">
        <v>342</v>
      </c>
      <c r="B263" t="s">
        <v>16</v>
      </c>
    </row>
    <row r="264" spans="1:17" hidden="1" x14ac:dyDescent="0.25">
      <c r="A264" t="s">
        <v>343</v>
      </c>
      <c r="B264" t="s">
        <v>16</v>
      </c>
    </row>
    <row r="265" spans="1:17" hidden="1" x14ac:dyDescent="0.25">
      <c r="A265" t="s">
        <v>344</v>
      </c>
      <c r="B265" t="s">
        <v>16</v>
      </c>
    </row>
    <row r="266" spans="1:17" x14ac:dyDescent="0.25">
      <c r="A266" t="s">
        <v>345</v>
      </c>
      <c r="B266" t="s">
        <v>46</v>
      </c>
      <c r="D266" t="s">
        <v>46</v>
      </c>
      <c r="Q266" t="s">
        <v>119</v>
      </c>
    </row>
    <row r="267" spans="1:17" x14ac:dyDescent="0.25">
      <c r="A267" t="s">
        <v>346</v>
      </c>
      <c r="B267" t="s">
        <v>77</v>
      </c>
      <c r="D267" t="s">
        <v>77</v>
      </c>
      <c r="E267">
        <v>1</v>
      </c>
    </row>
    <row r="268" spans="1:17" x14ac:dyDescent="0.25">
      <c r="A268" t="s">
        <v>347</v>
      </c>
      <c r="B268" t="s">
        <v>77</v>
      </c>
      <c r="D268" t="s">
        <v>77</v>
      </c>
      <c r="E268">
        <v>2</v>
      </c>
    </row>
    <row r="269" spans="1:17" x14ac:dyDescent="0.25">
      <c r="A269" t="s">
        <v>348</v>
      </c>
      <c r="B269" t="s">
        <v>77</v>
      </c>
      <c r="D269" t="s">
        <v>77</v>
      </c>
      <c r="E269">
        <v>3</v>
      </c>
    </row>
    <row r="270" spans="1:17" x14ac:dyDescent="0.25">
      <c r="A270" t="s">
        <v>349</v>
      </c>
      <c r="B270" t="s">
        <v>77</v>
      </c>
      <c r="D270" t="s">
        <v>77</v>
      </c>
      <c r="L270" t="s">
        <v>350</v>
      </c>
    </row>
    <row r="271" spans="1:17" hidden="1" x14ac:dyDescent="0.25">
      <c r="A271" t="s">
        <v>351</v>
      </c>
      <c r="B271" t="s">
        <v>16</v>
      </c>
    </row>
    <row r="272" spans="1:17" hidden="1" x14ac:dyDescent="0.25">
      <c r="A272" t="s">
        <v>352</v>
      </c>
      <c r="B272" t="s">
        <v>16</v>
      </c>
    </row>
    <row r="273" spans="1:8" hidden="1" x14ac:dyDescent="0.25">
      <c r="A273" t="s">
        <v>353</v>
      </c>
      <c r="B273" t="s">
        <v>16</v>
      </c>
    </row>
    <row r="274" spans="1:8" hidden="1" x14ac:dyDescent="0.25">
      <c r="A274" t="s">
        <v>354</v>
      </c>
      <c r="B274" t="s">
        <v>16</v>
      </c>
    </row>
    <row r="275" spans="1:8" hidden="1" x14ac:dyDescent="0.25">
      <c r="A275" t="s">
        <v>355</v>
      </c>
      <c r="B275" t="s">
        <v>16</v>
      </c>
    </row>
    <row r="276" spans="1:8" hidden="1" x14ac:dyDescent="0.25">
      <c r="A276" t="s">
        <v>356</v>
      </c>
      <c r="B276" t="s">
        <v>16</v>
      </c>
    </row>
    <row r="277" spans="1:8" hidden="1" x14ac:dyDescent="0.25">
      <c r="A277" t="s">
        <v>357</v>
      </c>
      <c r="B277" t="s">
        <v>16</v>
      </c>
    </row>
    <row r="278" spans="1:8" hidden="1" x14ac:dyDescent="0.25">
      <c r="A278" t="s">
        <v>358</v>
      </c>
      <c r="B278" t="s">
        <v>16</v>
      </c>
    </row>
    <row r="279" spans="1:8" hidden="1" x14ac:dyDescent="0.25">
      <c r="A279" t="s">
        <v>359</v>
      </c>
      <c r="B279" t="s">
        <v>16</v>
      </c>
    </row>
    <row r="280" spans="1:8" hidden="1" x14ac:dyDescent="0.25">
      <c r="A280" t="s">
        <v>360</v>
      </c>
      <c r="B280" t="s">
        <v>16</v>
      </c>
    </row>
    <row r="281" spans="1:8" hidden="1" x14ac:dyDescent="0.25">
      <c r="A281" t="s">
        <v>361</v>
      </c>
      <c r="B281" t="s">
        <v>16</v>
      </c>
    </row>
    <row r="282" spans="1:8" hidden="1" x14ac:dyDescent="0.25">
      <c r="A282" t="s">
        <v>362</v>
      </c>
      <c r="B282" t="s">
        <v>16</v>
      </c>
    </row>
    <row r="283" spans="1:8" hidden="1" x14ac:dyDescent="0.25">
      <c r="A283" t="s">
        <v>363</v>
      </c>
      <c r="B283" t="s">
        <v>16</v>
      </c>
    </row>
    <row r="284" spans="1:8" hidden="1" x14ac:dyDescent="0.25">
      <c r="A284" t="s">
        <v>364</v>
      </c>
      <c r="B284" t="s">
        <v>16</v>
      </c>
    </row>
    <row r="285" spans="1:8" hidden="1" x14ac:dyDescent="0.25">
      <c r="A285" t="s">
        <v>365</v>
      </c>
      <c r="B285" t="s">
        <v>16</v>
      </c>
    </row>
    <row r="286" spans="1:8" x14ac:dyDescent="0.25">
      <c r="A286" t="s">
        <v>366</v>
      </c>
      <c r="B286" t="s">
        <v>48</v>
      </c>
      <c r="D286" t="s">
        <v>49</v>
      </c>
      <c r="H286" t="s">
        <v>367</v>
      </c>
    </row>
    <row r="287" spans="1:8" x14ac:dyDescent="0.25">
      <c r="A287" t="s">
        <v>368</v>
      </c>
      <c r="B287" t="s">
        <v>48</v>
      </c>
      <c r="D287" t="s">
        <v>49</v>
      </c>
      <c r="H287" t="s">
        <v>369</v>
      </c>
    </row>
    <row r="288" spans="1:8" x14ac:dyDescent="0.25">
      <c r="A288" t="s">
        <v>370</v>
      </c>
      <c r="B288" t="s">
        <v>48</v>
      </c>
      <c r="D288" t="s">
        <v>49</v>
      </c>
      <c r="H288" t="s">
        <v>105</v>
      </c>
    </row>
    <row r="289" spans="1:18" x14ac:dyDescent="0.25">
      <c r="A289" t="s">
        <v>371</v>
      </c>
      <c r="B289" t="s">
        <v>48</v>
      </c>
      <c r="D289" t="s">
        <v>49</v>
      </c>
      <c r="H289" t="s">
        <v>372</v>
      </c>
    </row>
    <row r="290" spans="1:18" x14ac:dyDescent="0.25">
      <c r="A290" t="s">
        <v>373</v>
      </c>
      <c r="B290" t="s">
        <v>48</v>
      </c>
      <c r="D290" t="s">
        <v>49</v>
      </c>
      <c r="H290" t="s">
        <v>372</v>
      </c>
      <c r="R290" t="s">
        <v>106</v>
      </c>
    </row>
    <row r="291" spans="1:18" x14ac:dyDescent="0.25">
      <c r="A291" t="s">
        <v>374</v>
      </c>
      <c r="B291" t="s">
        <v>48</v>
      </c>
      <c r="D291" t="s">
        <v>49</v>
      </c>
      <c r="H291" t="s">
        <v>372</v>
      </c>
      <c r="R291" t="s">
        <v>108</v>
      </c>
    </row>
    <row r="292" spans="1:18" x14ac:dyDescent="0.25">
      <c r="A292" t="s">
        <v>375</v>
      </c>
      <c r="B292" t="s">
        <v>48</v>
      </c>
      <c r="D292" t="s">
        <v>49</v>
      </c>
      <c r="H292" t="s">
        <v>110</v>
      </c>
    </row>
    <row r="293" spans="1:18" x14ac:dyDescent="0.25">
      <c r="A293" t="s">
        <v>376</v>
      </c>
      <c r="B293" t="s">
        <v>46</v>
      </c>
      <c r="D293" t="s">
        <v>377</v>
      </c>
      <c r="R293" t="s">
        <v>106</v>
      </c>
    </row>
    <row r="294" spans="1:18" x14ac:dyDescent="0.25">
      <c r="A294" t="s">
        <v>378</v>
      </c>
      <c r="B294" t="s">
        <v>46</v>
      </c>
      <c r="D294" t="s">
        <v>377</v>
      </c>
      <c r="R294" t="s">
        <v>108</v>
      </c>
    </row>
    <row r="295" spans="1:18" x14ac:dyDescent="0.25">
      <c r="A295" t="s">
        <v>379</v>
      </c>
      <c r="B295" t="s">
        <v>46</v>
      </c>
      <c r="D295" t="s">
        <v>46</v>
      </c>
      <c r="J295">
        <v>76</v>
      </c>
      <c r="K295">
        <v>76</v>
      </c>
    </row>
    <row r="296" spans="1:18" x14ac:dyDescent="0.25">
      <c r="A296" t="s">
        <v>380</v>
      </c>
      <c r="B296" t="s">
        <v>46</v>
      </c>
      <c r="D296" t="s">
        <v>46</v>
      </c>
      <c r="J296">
        <v>46</v>
      </c>
      <c r="K296">
        <v>46</v>
      </c>
    </row>
    <row r="297" spans="1:18" x14ac:dyDescent="0.25">
      <c r="A297" t="s">
        <v>381</v>
      </c>
      <c r="B297" t="s">
        <v>77</v>
      </c>
      <c r="D297" t="s">
        <v>77</v>
      </c>
      <c r="J297">
        <v>76</v>
      </c>
      <c r="K297">
        <v>76</v>
      </c>
    </row>
    <row r="298" spans="1:18" x14ac:dyDescent="0.25">
      <c r="A298" t="s">
        <v>382</v>
      </c>
      <c r="B298" t="s">
        <v>77</v>
      </c>
      <c r="D298" t="s">
        <v>77</v>
      </c>
      <c r="J298">
        <v>46</v>
      </c>
      <c r="K298">
        <v>46</v>
      </c>
    </row>
    <row r="299" spans="1:18" x14ac:dyDescent="0.25">
      <c r="A299" t="s">
        <v>383</v>
      </c>
      <c r="B299" t="s">
        <v>77</v>
      </c>
      <c r="C299" t="s">
        <v>85</v>
      </c>
      <c r="D299" t="s">
        <v>77</v>
      </c>
      <c r="J299">
        <v>76</v>
      </c>
      <c r="K299">
        <v>76</v>
      </c>
    </row>
    <row r="300" spans="1:18" x14ac:dyDescent="0.25">
      <c r="A300" t="s">
        <v>384</v>
      </c>
      <c r="B300" t="s">
        <v>77</v>
      </c>
      <c r="C300" t="s">
        <v>85</v>
      </c>
      <c r="D300" t="s">
        <v>77</v>
      </c>
      <c r="J300">
        <v>46</v>
      </c>
      <c r="K300">
        <v>46</v>
      </c>
    </row>
    <row r="301" spans="1:18" x14ac:dyDescent="0.25">
      <c r="A301" t="s">
        <v>385</v>
      </c>
      <c r="B301" t="s">
        <v>77</v>
      </c>
      <c r="C301" t="s">
        <v>83</v>
      </c>
      <c r="D301" t="s">
        <v>77</v>
      </c>
      <c r="J301">
        <v>76</v>
      </c>
      <c r="K301">
        <v>76</v>
      </c>
    </row>
    <row r="302" spans="1:18" x14ac:dyDescent="0.25">
      <c r="A302" t="s">
        <v>386</v>
      </c>
      <c r="B302" t="s">
        <v>77</v>
      </c>
      <c r="C302" t="s">
        <v>83</v>
      </c>
      <c r="D302" t="s">
        <v>77</v>
      </c>
      <c r="J302">
        <v>46</v>
      </c>
      <c r="K302">
        <v>46</v>
      </c>
    </row>
    <row r="303" spans="1:18" x14ac:dyDescent="0.25">
      <c r="A303" t="s">
        <v>387</v>
      </c>
      <c r="B303" t="s">
        <v>46</v>
      </c>
      <c r="D303" t="s">
        <v>46</v>
      </c>
      <c r="J303">
        <v>68</v>
      </c>
      <c r="K303">
        <v>68</v>
      </c>
    </row>
    <row r="304" spans="1:18" x14ac:dyDescent="0.25">
      <c r="A304" t="s">
        <v>388</v>
      </c>
      <c r="B304" t="s">
        <v>46</v>
      </c>
      <c r="D304" t="s">
        <v>46</v>
      </c>
      <c r="J304">
        <v>56</v>
      </c>
      <c r="K304">
        <v>56</v>
      </c>
    </row>
    <row r="305" spans="1:19" x14ac:dyDescent="0.25">
      <c r="A305" t="s">
        <v>389</v>
      </c>
      <c r="B305" t="s">
        <v>46</v>
      </c>
      <c r="D305" t="s">
        <v>46</v>
      </c>
      <c r="J305">
        <v>48</v>
      </c>
      <c r="K305">
        <v>48</v>
      </c>
    </row>
    <row r="306" spans="1:19" x14ac:dyDescent="0.25">
      <c r="A306" t="s">
        <v>390</v>
      </c>
      <c r="B306" t="s">
        <v>77</v>
      </c>
      <c r="D306" t="s">
        <v>77</v>
      </c>
      <c r="J306">
        <v>68</v>
      </c>
      <c r="K306">
        <v>68</v>
      </c>
    </row>
    <row r="307" spans="1:19" x14ac:dyDescent="0.25">
      <c r="A307" t="s">
        <v>391</v>
      </c>
      <c r="B307" t="s">
        <v>77</v>
      </c>
      <c r="D307" t="s">
        <v>77</v>
      </c>
      <c r="J307">
        <v>48</v>
      </c>
      <c r="K307">
        <v>48</v>
      </c>
    </row>
    <row r="308" spans="1:19" x14ac:dyDescent="0.25">
      <c r="A308" t="s">
        <v>392</v>
      </c>
      <c r="B308" t="s">
        <v>77</v>
      </c>
      <c r="C308" t="s">
        <v>85</v>
      </c>
      <c r="D308" t="s">
        <v>77</v>
      </c>
      <c r="J308">
        <v>56</v>
      </c>
      <c r="K308">
        <v>56</v>
      </c>
    </row>
    <row r="309" spans="1:19" x14ac:dyDescent="0.25">
      <c r="A309" t="s">
        <v>393</v>
      </c>
      <c r="B309" t="s">
        <v>77</v>
      </c>
      <c r="C309" t="s">
        <v>85</v>
      </c>
      <c r="D309" t="s">
        <v>77</v>
      </c>
      <c r="J309">
        <v>48</v>
      </c>
      <c r="K309">
        <v>48</v>
      </c>
    </row>
    <row r="310" spans="1:19" x14ac:dyDescent="0.25">
      <c r="A310" t="s">
        <v>394</v>
      </c>
      <c r="B310" t="s">
        <v>77</v>
      </c>
      <c r="C310" t="s">
        <v>85</v>
      </c>
      <c r="D310" t="s">
        <v>77</v>
      </c>
      <c r="J310">
        <v>48</v>
      </c>
      <c r="K310">
        <v>48</v>
      </c>
      <c r="S310" t="s">
        <v>290</v>
      </c>
    </row>
    <row r="311" spans="1:19" x14ac:dyDescent="0.25">
      <c r="A311" t="s">
        <v>395</v>
      </c>
      <c r="B311" t="s">
        <v>77</v>
      </c>
      <c r="C311" t="s">
        <v>85</v>
      </c>
      <c r="D311" t="s">
        <v>77</v>
      </c>
      <c r="J311">
        <v>48</v>
      </c>
      <c r="K311">
        <v>48</v>
      </c>
      <c r="S311" t="s">
        <v>292</v>
      </c>
    </row>
    <row r="312" spans="1:19" hidden="1" x14ac:dyDescent="0.25">
      <c r="A312" t="s">
        <v>396</v>
      </c>
      <c r="B312" t="s">
        <v>95</v>
      </c>
    </row>
    <row r="313" spans="1:19" x14ac:dyDescent="0.25">
      <c r="A313" t="s">
        <v>397</v>
      </c>
      <c r="B313" t="s">
        <v>77</v>
      </c>
      <c r="C313" t="s">
        <v>83</v>
      </c>
      <c r="D313" t="s">
        <v>77</v>
      </c>
      <c r="J313">
        <v>68</v>
      </c>
      <c r="K313">
        <v>68</v>
      </c>
    </row>
    <row r="314" spans="1:19" x14ac:dyDescent="0.25">
      <c r="A314" t="s">
        <v>398</v>
      </c>
      <c r="B314" t="s">
        <v>77</v>
      </c>
      <c r="C314" t="s">
        <v>83</v>
      </c>
      <c r="D314" t="s">
        <v>77</v>
      </c>
      <c r="J314">
        <v>48</v>
      </c>
      <c r="K314">
        <v>48</v>
      </c>
    </row>
    <row r="315" spans="1:19" x14ac:dyDescent="0.25">
      <c r="A315" t="s">
        <v>399</v>
      </c>
      <c r="B315" t="s">
        <v>77</v>
      </c>
      <c r="D315" t="s">
        <v>77</v>
      </c>
      <c r="J315">
        <v>70</v>
      </c>
      <c r="K315">
        <v>70</v>
      </c>
    </row>
    <row r="316" spans="1:19" x14ac:dyDescent="0.25">
      <c r="A316" t="s">
        <v>400</v>
      </c>
      <c r="B316" t="s">
        <v>77</v>
      </c>
      <c r="D316" t="s">
        <v>77</v>
      </c>
      <c r="J316">
        <v>48</v>
      </c>
      <c r="K316">
        <v>48</v>
      </c>
    </row>
    <row r="317" spans="1:19" hidden="1" x14ac:dyDescent="0.25">
      <c r="A317" t="s">
        <v>401</v>
      </c>
      <c r="B317" t="s">
        <v>95</v>
      </c>
    </row>
    <row r="318" spans="1:19" x14ac:dyDescent="0.25">
      <c r="A318" t="s">
        <v>402</v>
      </c>
      <c r="B318" t="s">
        <v>87</v>
      </c>
      <c r="D318" t="s">
        <v>77</v>
      </c>
      <c r="M318">
        <v>4</v>
      </c>
      <c r="O318" t="s">
        <v>215</v>
      </c>
    </row>
    <row r="319" spans="1:19" x14ac:dyDescent="0.25">
      <c r="A319" t="s">
        <v>403</v>
      </c>
      <c r="B319" t="s">
        <v>77</v>
      </c>
      <c r="D319" t="s">
        <v>77</v>
      </c>
      <c r="E319">
        <v>4</v>
      </c>
    </row>
    <row r="320" spans="1:19" x14ac:dyDescent="0.25">
      <c r="A320" t="s">
        <v>404</v>
      </c>
      <c r="B320" t="s">
        <v>77</v>
      </c>
      <c r="D320" t="s">
        <v>77</v>
      </c>
      <c r="E320">
        <v>5</v>
      </c>
    </row>
    <row r="321" spans="1:19" x14ac:dyDescent="0.25">
      <c r="A321" t="s">
        <v>405</v>
      </c>
      <c r="B321" t="s">
        <v>77</v>
      </c>
      <c r="D321" t="s">
        <v>77</v>
      </c>
      <c r="I321" t="s">
        <v>187</v>
      </c>
    </row>
    <row r="322" spans="1:19" x14ac:dyDescent="0.25">
      <c r="A322" t="s">
        <v>406</v>
      </c>
      <c r="B322" t="s">
        <v>77</v>
      </c>
      <c r="D322" t="s">
        <v>77</v>
      </c>
      <c r="I322" t="s">
        <v>187</v>
      </c>
      <c r="R322" t="s">
        <v>106</v>
      </c>
    </row>
    <row r="323" spans="1:19" x14ac:dyDescent="0.25">
      <c r="A323" t="s">
        <v>407</v>
      </c>
      <c r="B323" t="s">
        <v>77</v>
      </c>
      <c r="D323" t="s">
        <v>77</v>
      </c>
      <c r="I323" t="s">
        <v>187</v>
      </c>
      <c r="R323" t="s">
        <v>108</v>
      </c>
    </row>
    <row r="324" spans="1:19" x14ac:dyDescent="0.25">
      <c r="A324" t="s">
        <v>408</v>
      </c>
      <c r="B324" t="s">
        <v>77</v>
      </c>
      <c r="D324" t="s">
        <v>77</v>
      </c>
      <c r="I324" t="s">
        <v>190</v>
      </c>
    </row>
    <row r="325" spans="1:19" x14ac:dyDescent="0.25">
      <c r="A325" t="s">
        <v>409</v>
      </c>
      <c r="B325" t="s">
        <v>77</v>
      </c>
      <c r="D325" t="s">
        <v>77</v>
      </c>
      <c r="I325" t="s">
        <v>190</v>
      </c>
      <c r="R325" t="s">
        <v>106</v>
      </c>
    </row>
    <row r="326" spans="1:19" x14ac:dyDescent="0.25">
      <c r="A326" t="s">
        <v>410</v>
      </c>
      <c r="B326" t="s">
        <v>77</v>
      </c>
      <c r="C326" t="s">
        <v>85</v>
      </c>
      <c r="D326" t="s">
        <v>77</v>
      </c>
      <c r="I326" t="s">
        <v>190</v>
      </c>
      <c r="R326" t="s">
        <v>106</v>
      </c>
      <c r="S326" t="s">
        <v>290</v>
      </c>
    </row>
    <row r="327" spans="1:19" x14ac:dyDescent="0.25">
      <c r="A327" t="s">
        <v>411</v>
      </c>
      <c r="B327" t="s">
        <v>77</v>
      </c>
      <c r="C327" t="s">
        <v>85</v>
      </c>
      <c r="D327" t="s">
        <v>77</v>
      </c>
      <c r="I327" t="s">
        <v>190</v>
      </c>
      <c r="R327" t="s">
        <v>106</v>
      </c>
      <c r="S327" t="s">
        <v>292</v>
      </c>
    </row>
    <row r="328" spans="1:19" x14ac:dyDescent="0.25">
      <c r="A328" t="s">
        <v>412</v>
      </c>
      <c r="B328" t="s">
        <v>77</v>
      </c>
      <c r="C328" t="s">
        <v>85</v>
      </c>
      <c r="D328" t="s">
        <v>77</v>
      </c>
      <c r="I328" t="s">
        <v>190</v>
      </c>
      <c r="R328" t="s">
        <v>106</v>
      </c>
      <c r="S328" t="s">
        <v>294</v>
      </c>
    </row>
    <row r="329" spans="1:19" x14ac:dyDescent="0.25">
      <c r="A329" t="s">
        <v>413</v>
      </c>
      <c r="B329" t="s">
        <v>77</v>
      </c>
      <c r="D329" t="s">
        <v>77</v>
      </c>
      <c r="I329" t="s">
        <v>190</v>
      </c>
      <c r="R329" t="s">
        <v>108</v>
      </c>
    </row>
    <row r="330" spans="1:19" x14ac:dyDescent="0.25">
      <c r="A330" t="s">
        <v>414</v>
      </c>
      <c r="B330" t="s">
        <v>77</v>
      </c>
      <c r="C330" t="s">
        <v>85</v>
      </c>
      <c r="D330" t="s">
        <v>77</v>
      </c>
      <c r="I330" t="s">
        <v>190</v>
      </c>
      <c r="R330" t="s">
        <v>108</v>
      </c>
      <c r="S330" t="s">
        <v>290</v>
      </c>
    </row>
    <row r="331" spans="1:19" x14ac:dyDescent="0.25">
      <c r="A331" t="s">
        <v>415</v>
      </c>
      <c r="B331" t="s">
        <v>77</v>
      </c>
      <c r="C331" t="s">
        <v>85</v>
      </c>
      <c r="D331" t="s">
        <v>77</v>
      </c>
      <c r="I331" t="s">
        <v>190</v>
      </c>
      <c r="R331" t="s">
        <v>108</v>
      </c>
      <c r="S331" t="s">
        <v>292</v>
      </c>
    </row>
    <row r="332" spans="1:19" x14ac:dyDescent="0.25">
      <c r="A332" t="s">
        <v>416</v>
      </c>
      <c r="B332" t="s">
        <v>77</v>
      </c>
      <c r="C332" t="s">
        <v>85</v>
      </c>
      <c r="D332" t="s">
        <v>77</v>
      </c>
      <c r="I332" t="s">
        <v>190</v>
      </c>
      <c r="R332" t="s">
        <v>108</v>
      </c>
      <c r="S332" t="s">
        <v>294</v>
      </c>
    </row>
    <row r="333" spans="1:19" hidden="1" x14ac:dyDescent="0.25">
      <c r="A333" t="s">
        <v>417</v>
      </c>
      <c r="B333" t="s">
        <v>16</v>
      </c>
    </row>
    <row r="334" spans="1:19" hidden="1" x14ac:dyDescent="0.25">
      <c r="A334" t="s">
        <v>418</v>
      </c>
      <c r="B334" t="s">
        <v>16</v>
      </c>
    </row>
    <row r="335" spans="1:19" x14ac:dyDescent="0.25">
      <c r="A335" t="s">
        <v>419</v>
      </c>
      <c r="B335" t="s">
        <v>46</v>
      </c>
      <c r="D335" t="s">
        <v>46</v>
      </c>
      <c r="J335">
        <v>55</v>
      </c>
      <c r="K335">
        <v>55</v>
      </c>
    </row>
    <row r="336" spans="1:19" x14ac:dyDescent="0.25">
      <c r="A336" t="s">
        <v>420</v>
      </c>
      <c r="B336" t="s">
        <v>46</v>
      </c>
      <c r="D336" t="s">
        <v>46</v>
      </c>
      <c r="J336">
        <v>60</v>
      </c>
      <c r="K336">
        <v>60</v>
      </c>
    </row>
    <row r="337" spans="1:11" x14ac:dyDescent="0.25">
      <c r="A337" t="s">
        <v>421</v>
      </c>
      <c r="B337" t="s">
        <v>46</v>
      </c>
      <c r="D337" t="s">
        <v>46</v>
      </c>
      <c r="J337">
        <v>64</v>
      </c>
      <c r="K337">
        <v>64</v>
      </c>
    </row>
    <row r="338" spans="1:11" x14ac:dyDescent="0.25">
      <c r="A338" t="s">
        <v>422</v>
      </c>
      <c r="B338" t="s">
        <v>77</v>
      </c>
      <c r="D338" t="s">
        <v>77</v>
      </c>
      <c r="J338">
        <v>55</v>
      </c>
      <c r="K338">
        <v>55</v>
      </c>
    </row>
    <row r="339" spans="1:11" x14ac:dyDescent="0.25">
      <c r="A339" t="s">
        <v>423</v>
      </c>
      <c r="B339" t="s">
        <v>77</v>
      </c>
      <c r="D339" t="s">
        <v>77</v>
      </c>
      <c r="J339">
        <v>64</v>
      </c>
      <c r="K339">
        <v>64</v>
      </c>
    </row>
    <row r="340" spans="1:11" hidden="1" x14ac:dyDescent="0.25">
      <c r="A340" t="s">
        <v>424</v>
      </c>
      <c r="B340" t="s">
        <v>16</v>
      </c>
    </row>
    <row r="341" spans="1:11" hidden="1" x14ac:dyDescent="0.25">
      <c r="A341" t="s">
        <v>425</v>
      </c>
      <c r="B341" t="s">
        <v>16</v>
      </c>
    </row>
    <row r="342" spans="1:11" hidden="1" x14ac:dyDescent="0.25">
      <c r="A342" t="s">
        <v>426</v>
      </c>
      <c r="B342" t="s">
        <v>16</v>
      </c>
    </row>
    <row r="343" spans="1:11" hidden="1" x14ac:dyDescent="0.25">
      <c r="A343" t="s">
        <v>427</v>
      </c>
      <c r="B343" t="s">
        <v>95</v>
      </c>
    </row>
    <row r="344" spans="1:11" hidden="1" x14ac:dyDescent="0.25">
      <c r="A344" t="s">
        <v>428</v>
      </c>
      <c r="B344" t="s">
        <v>95</v>
      </c>
    </row>
    <row r="345" spans="1:11" hidden="1" x14ac:dyDescent="0.25">
      <c r="A345" t="s">
        <v>429</v>
      </c>
      <c r="B345" t="s">
        <v>16</v>
      </c>
    </row>
    <row r="346" spans="1:11" hidden="1" x14ac:dyDescent="0.25">
      <c r="A346" t="s">
        <v>430</v>
      </c>
      <c r="B346" t="s">
        <v>16</v>
      </c>
    </row>
    <row r="347" spans="1:11" hidden="1" x14ac:dyDescent="0.25">
      <c r="A347" t="s">
        <v>431</v>
      </c>
      <c r="B347" t="s">
        <v>95</v>
      </c>
    </row>
    <row r="348" spans="1:11" hidden="1" x14ac:dyDescent="0.25">
      <c r="A348" t="s">
        <v>432</v>
      </c>
      <c r="B348" t="s">
        <v>16</v>
      </c>
    </row>
    <row r="349" spans="1:11" x14ac:dyDescent="0.25">
      <c r="A349" t="s">
        <v>433</v>
      </c>
      <c r="B349" t="s">
        <v>46</v>
      </c>
      <c r="D349" t="s">
        <v>46</v>
      </c>
      <c r="J349">
        <v>36</v>
      </c>
      <c r="K349">
        <v>36</v>
      </c>
    </row>
    <row r="350" spans="1:11" x14ac:dyDescent="0.25">
      <c r="A350" t="s">
        <v>434</v>
      </c>
      <c r="B350" t="s">
        <v>46</v>
      </c>
      <c r="D350" t="s">
        <v>46</v>
      </c>
      <c r="J350">
        <v>54</v>
      </c>
      <c r="K350">
        <v>54</v>
      </c>
    </row>
    <row r="351" spans="1:11" x14ac:dyDescent="0.25">
      <c r="A351" t="s">
        <v>435</v>
      </c>
      <c r="B351" t="s">
        <v>77</v>
      </c>
      <c r="D351" t="s">
        <v>77</v>
      </c>
      <c r="J351">
        <v>36</v>
      </c>
      <c r="K351">
        <v>36</v>
      </c>
    </row>
    <row r="352" spans="1:11" x14ac:dyDescent="0.25">
      <c r="A352" t="s">
        <v>436</v>
      </c>
      <c r="B352" t="s">
        <v>77</v>
      </c>
      <c r="C352" t="s">
        <v>85</v>
      </c>
      <c r="D352" t="s">
        <v>77</v>
      </c>
      <c r="J352">
        <v>36</v>
      </c>
      <c r="K352">
        <v>36</v>
      </c>
    </row>
    <row r="353" spans="1:16" x14ac:dyDescent="0.25">
      <c r="A353" t="s">
        <v>437</v>
      </c>
      <c r="B353" t="s">
        <v>77</v>
      </c>
      <c r="C353" t="s">
        <v>85</v>
      </c>
      <c r="D353" t="s">
        <v>77</v>
      </c>
      <c r="J353">
        <v>54</v>
      </c>
      <c r="K353">
        <v>54</v>
      </c>
    </row>
    <row r="354" spans="1:16" hidden="1" x14ac:dyDescent="0.25">
      <c r="A354" t="s">
        <v>438</v>
      </c>
      <c r="B354" t="s">
        <v>95</v>
      </c>
    </row>
    <row r="355" spans="1:16" hidden="1" x14ac:dyDescent="0.25">
      <c r="A355" t="s">
        <v>439</v>
      </c>
      <c r="B355" t="s">
        <v>95</v>
      </c>
    </row>
    <row r="356" spans="1:16" x14ac:dyDescent="0.25">
      <c r="A356" t="s">
        <v>440</v>
      </c>
      <c r="B356" t="s">
        <v>77</v>
      </c>
      <c r="D356" t="s">
        <v>77</v>
      </c>
      <c r="P356" t="s">
        <v>89</v>
      </c>
    </row>
    <row r="357" spans="1:16" x14ac:dyDescent="0.25">
      <c r="A357" t="s">
        <v>441</v>
      </c>
      <c r="B357" t="s">
        <v>77</v>
      </c>
      <c r="C357" t="s">
        <v>85</v>
      </c>
      <c r="D357" t="s">
        <v>77</v>
      </c>
      <c r="J357">
        <v>59.4</v>
      </c>
      <c r="K357">
        <v>59.4</v>
      </c>
    </row>
    <row r="358" spans="1:16" x14ac:dyDescent="0.25">
      <c r="A358" t="s">
        <v>442</v>
      </c>
      <c r="B358" t="s">
        <v>46</v>
      </c>
      <c r="D358" t="s">
        <v>46</v>
      </c>
      <c r="J358">
        <v>59.4</v>
      </c>
      <c r="K358">
        <v>59.4</v>
      </c>
    </row>
    <row r="359" spans="1:16" x14ac:dyDescent="0.25">
      <c r="A359" t="s">
        <v>443</v>
      </c>
      <c r="B359" t="s">
        <v>77</v>
      </c>
      <c r="D359" t="s">
        <v>77</v>
      </c>
      <c r="J359">
        <v>59.4</v>
      </c>
      <c r="K359">
        <v>59.4</v>
      </c>
    </row>
    <row r="360" spans="1:16" hidden="1" x14ac:dyDescent="0.25">
      <c r="A360" t="s">
        <v>444</v>
      </c>
      <c r="B360" t="s">
        <v>16</v>
      </c>
    </row>
    <row r="361" spans="1:16" hidden="1" x14ac:dyDescent="0.25">
      <c r="A361" t="s">
        <v>445</v>
      </c>
      <c r="B361" t="s">
        <v>16</v>
      </c>
    </row>
    <row r="362" spans="1:16" hidden="1" x14ac:dyDescent="0.25">
      <c r="A362" t="s">
        <v>446</v>
      </c>
      <c r="B362" t="s">
        <v>173</v>
      </c>
    </row>
    <row r="363" spans="1:16" x14ac:dyDescent="0.25">
      <c r="A363" t="s">
        <v>447</v>
      </c>
      <c r="B363" t="s">
        <v>20</v>
      </c>
      <c r="D363" t="s">
        <v>20</v>
      </c>
      <c r="E363">
        <v>1</v>
      </c>
      <c r="J363" t="s">
        <v>448</v>
      </c>
      <c r="K363">
        <v>27</v>
      </c>
    </row>
    <row r="364" spans="1:16" hidden="1" x14ac:dyDescent="0.25">
      <c r="A364" t="s">
        <v>449</v>
      </c>
      <c r="B364" t="s">
        <v>214</v>
      </c>
    </row>
    <row r="365" spans="1:16" x14ac:dyDescent="0.25">
      <c r="A365" t="s">
        <v>450</v>
      </c>
      <c r="B365" t="s">
        <v>77</v>
      </c>
      <c r="D365" t="s">
        <v>77</v>
      </c>
      <c r="E365">
        <v>1</v>
      </c>
      <c r="J365" t="s">
        <v>448</v>
      </c>
      <c r="K365">
        <v>27</v>
      </c>
    </row>
    <row r="366" spans="1:16" hidden="1" x14ac:dyDescent="0.25">
      <c r="A366" t="s">
        <v>451</v>
      </c>
      <c r="B366" t="s">
        <v>341</v>
      </c>
    </row>
    <row r="367" spans="1:16" hidden="1" x14ac:dyDescent="0.25">
      <c r="A367" t="s">
        <v>452</v>
      </c>
      <c r="B367" t="s">
        <v>341</v>
      </c>
    </row>
    <row r="368" spans="1:16" hidden="1" x14ac:dyDescent="0.25">
      <c r="A368" t="s">
        <v>145</v>
      </c>
      <c r="B368" t="s">
        <v>173</v>
      </c>
    </row>
    <row r="369" spans="1:11" hidden="1" x14ac:dyDescent="0.25">
      <c r="A369" t="s">
        <v>216</v>
      </c>
      <c r="B369" t="s">
        <v>173</v>
      </c>
    </row>
    <row r="370" spans="1:11" hidden="1" x14ac:dyDescent="0.25">
      <c r="A370" t="s">
        <v>453</v>
      </c>
      <c r="B370" t="s">
        <v>173</v>
      </c>
    </row>
    <row r="371" spans="1:11" hidden="1" x14ac:dyDescent="0.25">
      <c r="A371" t="s">
        <v>454</v>
      </c>
      <c r="B371" t="s">
        <v>173</v>
      </c>
    </row>
    <row r="372" spans="1:11" hidden="1" x14ac:dyDescent="0.25">
      <c r="A372" t="s">
        <v>455</v>
      </c>
      <c r="B372" t="s">
        <v>173</v>
      </c>
    </row>
    <row r="373" spans="1:11" hidden="1" x14ac:dyDescent="0.25">
      <c r="A373" t="s">
        <v>177</v>
      </c>
      <c r="B373" t="s">
        <v>173</v>
      </c>
    </row>
    <row r="374" spans="1:11" hidden="1" x14ac:dyDescent="0.25">
      <c r="A374" t="s">
        <v>176</v>
      </c>
      <c r="B374" t="s">
        <v>173</v>
      </c>
    </row>
    <row r="375" spans="1:11" hidden="1" x14ac:dyDescent="0.25">
      <c r="A375" t="s">
        <v>183</v>
      </c>
      <c r="B375" t="s">
        <v>173</v>
      </c>
    </row>
    <row r="376" spans="1:11" hidden="1" x14ac:dyDescent="0.25">
      <c r="A376" t="s">
        <v>182</v>
      </c>
      <c r="B376" t="s">
        <v>173</v>
      </c>
    </row>
    <row r="377" spans="1:11" hidden="1" x14ac:dyDescent="0.25">
      <c r="A377" t="s">
        <v>171</v>
      </c>
      <c r="B377" t="s">
        <v>173</v>
      </c>
    </row>
    <row r="378" spans="1:11" hidden="1" x14ac:dyDescent="0.25">
      <c r="A378" t="s">
        <v>170</v>
      </c>
      <c r="B378" t="s">
        <v>173</v>
      </c>
    </row>
    <row r="379" spans="1:11" hidden="1" x14ac:dyDescent="0.25">
      <c r="A379" t="s">
        <v>119</v>
      </c>
      <c r="B379" t="s">
        <v>173</v>
      </c>
    </row>
    <row r="380" spans="1:11" x14ac:dyDescent="0.25">
      <c r="A380" t="s">
        <v>456</v>
      </c>
      <c r="B380" t="s">
        <v>20</v>
      </c>
      <c r="D380" t="s">
        <v>20</v>
      </c>
      <c r="E380">
        <v>1</v>
      </c>
      <c r="J380" t="s">
        <v>457</v>
      </c>
      <c r="K380">
        <v>32.5</v>
      </c>
    </row>
    <row r="381" spans="1:11" x14ac:dyDescent="0.25">
      <c r="A381" t="s">
        <v>458</v>
      </c>
      <c r="B381" t="s">
        <v>77</v>
      </c>
      <c r="D381" t="s">
        <v>77</v>
      </c>
      <c r="E381">
        <v>1</v>
      </c>
      <c r="J381" t="s">
        <v>457</v>
      </c>
      <c r="K381">
        <v>32.5</v>
      </c>
    </row>
    <row r="382" spans="1:11" hidden="1" x14ac:dyDescent="0.25">
      <c r="A382" t="s">
        <v>459</v>
      </c>
      <c r="B382" t="s">
        <v>16</v>
      </c>
    </row>
    <row r="383" spans="1:11" hidden="1" x14ac:dyDescent="0.25">
      <c r="A383" t="s">
        <v>460</v>
      </c>
      <c r="B383" t="s">
        <v>16</v>
      </c>
    </row>
    <row r="384" spans="1:11" x14ac:dyDescent="0.25">
      <c r="A384" t="s">
        <v>461</v>
      </c>
      <c r="B384" t="s">
        <v>77</v>
      </c>
      <c r="D384" t="s">
        <v>77</v>
      </c>
      <c r="J384" t="s">
        <v>462</v>
      </c>
      <c r="K384">
        <v>48</v>
      </c>
    </row>
    <row r="385" spans="1:11" hidden="1" x14ac:dyDescent="0.25">
      <c r="A385" t="s">
        <v>463</v>
      </c>
      <c r="B385" t="s">
        <v>16</v>
      </c>
    </row>
    <row r="386" spans="1:11" hidden="1" x14ac:dyDescent="0.25">
      <c r="A386" t="s">
        <v>464</v>
      </c>
      <c r="B386" t="s">
        <v>341</v>
      </c>
    </row>
    <row r="387" spans="1:11" hidden="1" x14ac:dyDescent="0.25">
      <c r="A387" t="s">
        <v>465</v>
      </c>
      <c r="B387" t="s">
        <v>87</v>
      </c>
    </row>
    <row r="388" spans="1:11" hidden="1" x14ac:dyDescent="0.25">
      <c r="A388" t="s">
        <v>466</v>
      </c>
      <c r="B388" t="s">
        <v>467</v>
      </c>
    </row>
    <row r="389" spans="1:11" hidden="1" x14ac:dyDescent="0.25">
      <c r="A389" t="s">
        <v>468</v>
      </c>
      <c r="B389" t="s">
        <v>467</v>
      </c>
    </row>
    <row r="390" spans="1:11" hidden="1" x14ac:dyDescent="0.25">
      <c r="A390" t="s">
        <v>469</v>
      </c>
      <c r="B390" t="s">
        <v>341</v>
      </c>
    </row>
    <row r="391" spans="1:11" hidden="1" x14ac:dyDescent="0.25">
      <c r="A391" t="s">
        <v>470</v>
      </c>
      <c r="B391" t="s">
        <v>341</v>
      </c>
    </row>
    <row r="392" spans="1:11" hidden="1" x14ac:dyDescent="0.25">
      <c r="A392" t="s">
        <v>471</v>
      </c>
      <c r="B392" t="s">
        <v>341</v>
      </c>
    </row>
    <row r="393" spans="1:11" hidden="1" x14ac:dyDescent="0.25">
      <c r="A393" t="s">
        <v>472</v>
      </c>
      <c r="B393" t="s">
        <v>87</v>
      </c>
    </row>
    <row r="394" spans="1:11" hidden="1" x14ac:dyDescent="0.25">
      <c r="A394" t="s">
        <v>473</v>
      </c>
      <c r="B394" t="s">
        <v>87</v>
      </c>
    </row>
    <row r="395" spans="1:11" hidden="1" x14ac:dyDescent="0.25">
      <c r="A395" t="s">
        <v>474</v>
      </c>
      <c r="B395" t="s">
        <v>87</v>
      </c>
    </row>
    <row r="396" spans="1:11" hidden="1" x14ac:dyDescent="0.25">
      <c r="A396" t="s">
        <v>475</v>
      </c>
      <c r="B396" t="s">
        <v>87</v>
      </c>
    </row>
    <row r="397" spans="1:11" x14ac:dyDescent="0.25">
      <c r="A397" t="s">
        <v>476</v>
      </c>
      <c r="B397" t="s">
        <v>20</v>
      </c>
      <c r="D397" t="s">
        <v>20</v>
      </c>
      <c r="E397">
        <v>1</v>
      </c>
      <c r="J397" t="s">
        <v>448</v>
      </c>
      <c r="K397">
        <v>27</v>
      </c>
    </row>
    <row r="398" spans="1:11" x14ac:dyDescent="0.25">
      <c r="A398" t="s">
        <v>477</v>
      </c>
      <c r="B398" t="s">
        <v>20</v>
      </c>
      <c r="D398" t="s">
        <v>20</v>
      </c>
      <c r="E398">
        <v>2</v>
      </c>
      <c r="J398" t="s">
        <v>448</v>
      </c>
      <c r="K398">
        <v>27</v>
      </c>
    </row>
    <row r="399" spans="1:11" x14ac:dyDescent="0.25">
      <c r="A399" t="s">
        <v>478</v>
      </c>
      <c r="B399" t="s">
        <v>20</v>
      </c>
      <c r="D399" t="s">
        <v>20</v>
      </c>
      <c r="E399">
        <v>3</v>
      </c>
      <c r="J399" t="s">
        <v>448</v>
      </c>
      <c r="K399">
        <v>27</v>
      </c>
    </row>
    <row r="400" spans="1:11" x14ac:dyDescent="0.25">
      <c r="A400" t="s">
        <v>479</v>
      </c>
      <c r="B400" t="s">
        <v>20</v>
      </c>
      <c r="D400" t="s">
        <v>20</v>
      </c>
      <c r="E400">
        <v>4</v>
      </c>
      <c r="J400" t="s">
        <v>448</v>
      </c>
      <c r="K400">
        <v>27</v>
      </c>
    </row>
    <row r="401" spans="1:11" hidden="1" x14ac:dyDescent="0.25">
      <c r="A401" t="s">
        <v>480</v>
      </c>
      <c r="B401" t="s">
        <v>95</v>
      </c>
    </row>
    <row r="402" spans="1:11" x14ac:dyDescent="0.25">
      <c r="A402" t="s">
        <v>481</v>
      </c>
      <c r="B402" t="s">
        <v>77</v>
      </c>
      <c r="D402" t="s">
        <v>77</v>
      </c>
      <c r="E402">
        <v>1</v>
      </c>
      <c r="J402" t="s">
        <v>448</v>
      </c>
      <c r="K402">
        <v>27</v>
      </c>
    </row>
    <row r="403" spans="1:11" x14ac:dyDescent="0.25">
      <c r="A403" t="s">
        <v>482</v>
      </c>
      <c r="B403" t="s">
        <v>77</v>
      </c>
      <c r="D403" t="s">
        <v>77</v>
      </c>
      <c r="E403">
        <v>2</v>
      </c>
      <c r="J403" t="s">
        <v>448</v>
      </c>
      <c r="K403">
        <v>27</v>
      </c>
    </row>
    <row r="404" spans="1:11" x14ac:dyDescent="0.25">
      <c r="A404" t="s">
        <v>483</v>
      </c>
      <c r="B404" t="s">
        <v>77</v>
      </c>
      <c r="D404" t="s">
        <v>77</v>
      </c>
      <c r="E404">
        <v>3</v>
      </c>
      <c r="J404" t="s">
        <v>448</v>
      </c>
      <c r="K404">
        <v>27</v>
      </c>
    </row>
    <row r="405" spans="1:11" x14ac:dyDescent="0.25">
      <c r="A405" t="s">
        <v>484</v>
      </c>
      <c r="B405" t="s">
        <v>77</v>
      </c>
      <c r="D405" t="s">
        <v>77</v>
      </c>
      <c r="E405">
        <v>4</v>
      </c>
      <c r="J405" t="s">
        <v>448</v>
      </c>
      <c r="K405">
        <v>27</v>
      </c>
    </row>
    <row r="406" spans="1:11" x14ac:dyDescent="0.25">
      <c r="A406" t="s">
        <v>485</v>
      </c>
      <c r="B406" t="s">
        <v>20</v>
      </c>
      <c r="D406" t="s">
        <v>20</v>
      </c>
      <c r="E406">
        <v>1</v>
      </c>
      <c r="J406" t="s">
        <v>448</v>
      </c>
      <c r="K406">
        <v>27</v>
      </c>
    </row>
    <row r="407" spans="1:11" x14ac:dyDescent="0.25">
      <c r="A407" t="s">
        <v>486</v>
      </c>
      <c r="B407" t="s">
        <v>20</v>
      </c>
      <c r="D407" t="s">
        <v>20</v>
      </c>
      <c r="E407">
        <v>2</v>
      </c>
      <c r="J407" t="s">
        <v>448</v>
      </c>
      <c r="K407">
        <v>27</v>
      </c>
    </row>
    <row r="408" spans="1:11" x14ac:dyDescent="0.25">
      <c r="A408" t="s">
        <v>487</v>
      </c>
      <c r="B408" t="s">
        <v>20</v>
      </c>
      <c r="D408" t="s">
        <v>20</v>
      </c>
      <c r="E408">
        <v>3</v>
      </c>
      <c r="J408" t="s">
        <v>448</v>
      </c>
      <c r="K408">
        <v>27</v>
      </c>
    </row>
    <row r="409" spans="1:11" x14ac:dyDescent="0.25">
      <c r="A409" t="s">
        <v>488</v>
      </c>
      <c r="B409" t="s">
        <v>20</v>
      </c>
      <c r="D409" t="s">
        <v>20</v>
      </c>
      <c r="E409">
        <v>4</v>
      </c>
      <c r="J409" t="s">
        <v>448</v>
      </c>
      <c r="K409">
        <v>27</v>
      </c>
    </row>
    <row r="410" spans="1:11" x14ac:dyDescent="0.25">
      <c r="A410" t="s">
        <v>489</v>
      </c>
      <c r="B410" t="s">
        <v>20</v>
      </c>
      <c r="D410" t="s">
        <v>20</v>
      </c>
      <c r="E410">
        <v>5</v>
      </c>
      <c r="J410" t="s">
        <v>490</v>
      </c>
      <c r="K410">
        <v>24</v>
      </c>
    </row>
    <row r="411" spans="1:11" x14ac:dyDescent="0.25">
      <c r="A411" t="s">
        <v>491</v>
      </c>
      <c r="B411" t="s">
        <v>77</v>
      </c>
      <c r="D411" t="s">
        <v>77</v>
      </c>
      <c r="E411">
        <v>1</v>
      </c>
      <c r="J411" t="s">
        <v>448</v>
      </c>
      <c r="K411">
        <v>27</v>
      </c>
    </row>
    <row r="412" spans="1:11" x14ac:dyDescent="0.25">
      <c r="A412" t="s">
        <v>492</v>
      </c>
      <c r="B412" t="s">
        <v>77</v>
      </c>
      <c r="D412" t="s">
        <v>77</v>
      </c>
      <c r="E412">
        <v>2</v>
      </c>
      <c r="J412" t="s">
        <v>448</v>
      </c>
      <c r="K412">
        <v>27</v>
      </c>
    </row>
    <row r="413" spans="1:11" x14ac:dyDescent="0.25">
      <c r="A413" t="s">
        <v>493</v>
      </c>
      <c r="B413" t="s">
        <v>77</v>
      </c>
      <c r="D413" t="s">
        <v>77</v>
      </c>
      <c r="E413">
        <v>3</v>
      </c>
      <c r="J413" t="s">
        <v>448</v>
      </c>
      <c r="K413">
        <v>27</v>
      </c>
    </row>
    <row r="414" spans="1:11" x14ac:dyDescent="0.25">
      <c r="A414" t="s">
        <v>494</v>
      </c>
      <c r="B414" t="s">
        <v>77</v>
      </c>
      <c r="D414" t="s">
        <v>77</v>
      </c>
      <c r="E414">
        <v>4</v>
      </c>
      <c r="J414" t="s">
        <v>448</v>
      </c>
      <c r="K414">
        <v>27</v>
      </c>
    </row>
    <row r="415" spans="1:11" x14ac:dyDescent="0.25">
      <c r="A415" t="s">
        <v>495</v>
      </c>
      <c r="B415" t="s">
        <v>77</v>
      </c>
      <c r="D415" t="s">
        <v>77</v>
      </c>
      <c r="E415">
        <v>5</v>
      </c>
      <c r="J415" t="s">
        <v>490</v>
      </c>
      <c r="K415">
        <v>24</v>
      </c>
    </row>
    <row r="416" spans="1:11" x14ac:dyDescent="0.25">
      <c r="A416" t="s">
        <v>496</v>
      </c>
      <c r="B416" t="s">
        <v>20</v>
      </c>
      <c r="D416" t="s">
        <v>20</v>
      </c>
      <c r="E416">
        <v>6</v>
      </c>
      <c r="J416" t="s">
        <v>448</v>
      </c>
      <c r="K416">
        <v>27</v>
      </c>
    </row>
    <row r="417" spans="1:11" x14ac:dyDescent="0.25">
      <c r="A417" t="s">
        <v>497</v>
      </c>
      <c r="B417" t="s">
        <v>77</v>
      </c>
      <c r="D417" t="s">
        <v>77</v>
      </c>
      <c r="E417">
        <v>6</v>
      </c>
      <c r="J417" t="s">
        <v>448</v>
      </c>
      <c r="K417">
        <v>27</v>
      </c>
    </row>
    <row r="418" spans="1:11" x14ac:dyDescent="0.25">
      <c r="A418" t="s">
        <v>498</v>
      </c>
      <c r="B418" t="s">
        <v>77</v>
      </c>
      <c r="D418" t="s">
        <v>77</v>
      </c>
      <c r="E418">
        <v>5</v>
      </c>
      <c r="J418" t="s">
        <v>499</v>
      </c>
      <c r="K418">
        <v>25</v>
      </c>
    </row>
    <row r="419" spans="1:11" x14ac:dyDescent="0.25">
      <c r="A419" t="s">
        <v>500</v>
      </c>
      <c r="B419" t="s">
        <v>77</v>
      </c>
      <c r="D419" t="s">
        <v>77</v>
      </c>
      <c r="E419">
        <v>4</v>
      </c>
      <c r="J419" t="s">
        <v>499</v>
      </c>
      <c r="K419">
        <v>25</v>
      </c>
    </row>
    <row r="420" spans="1:11" x14ac:dyDescent="0.25">
      <c r="A420" t="s">
        <v>501</v>
      </c>
      <c r="B420" t="s">
        <v>77</v>
      </c>
      <c r="D420" t="s">
        <v>77</v>
      </c>
      <c r="E420">
        <v>3</v>
      </c>
      <c r="J420" t="s">
        <v>499</v>
      </c>
      <c r="K420">
        <v>25</v>
      </c>
    </row>
    <row r="421" spans="1:11" x14ac:dyDescent="0.25">
      <c r="A421" t="s">
        <v>502</v>
      </c>
      <c r="B421" t="s">
        <v>77</v>
      </c>
      <c r="D421" t="s">
        <v>77</v>
      </c>
      <c r="E421">
        <v>2</v>
      </c>
      <c r="J421" t="s">
        <v>499</v>
      </c>
      <c r="K421">
        <v>25</v>
      </c>
    </row>
    <row r="422" spans="1:11" x14ac:dyDescent="0.25">
      <c r="A422" t="s">
        <v>503</v>
      </c>
      <c r="B422" t="s">
        <v>77</v>
      </c>
      <c r="D422" t="s">
        <v>77</v>
      </c>
      <c r="E422">
        <v>1</v>
      </c>
      <c r="J422" t="s">
        <v>499</v>
      </c>
      <c r="K422">
        <v>25</v>
      </c>
    </row>
    <row r="423" spans="1:11" x14ac:dyDescent="0.25">
      <c r="A423" t="s">
        <v>504</v>
      </c>
      <c r="B423" t="s">
        <v>20</v>
      </c>
      <c r="D423" t="s">
        <v>20</v>
      </c>
      <c r="E423">
        <v>5</v>
      </c>
      <c r="J423" t="s">
        <v>499</v>
      </c>
      <c r="K423">
        <v>25</v>
      </c>
    </row>
    <row r="424" spans="1:11" x14ac:dyDescent="0.25">
      <c r="A424" t="s">
        <v>505</v>
      </c>
      <c r="B424" t="s">
        <v>20</v>
      </c>
      <c r="D424" t="s">
        <v>20</v>
      </c>
      <c r="E424">
        <v>4</v>
      </c>
      <c r="J424" t="s">
        <v>499</v>
      </c>
      <c r="K424">
        <v>25</v>
      </c>
    </row>
    <row r="425" spans="1:11" x14ac:dyDescent="0.25">
      <c r="A425" t="s">
        <v>506</v>
      </c>
      <c r="B425" t="s">
        <v>20</v>
      </c>
      <c r="D425" t="s">
        <v>20</v>
      </c>
      <c r="E425">
        <v>3</v>
      </c>
      <c r="J425" t="s">
        <v>499</v>
      </c>
      <c r="K425">
        <v>25</v>
      </c>
    </row>
    <row r="426" spans="1:11" x14ac:dyDescent="0.25">
      <c r="A426" t="s">
        <v>507</v>
      </c>
      <c r="B426" t="s">
        <v>20</v>
      </c>
      <c r="D426" t="s">
        <v>20</v>
      </c>
      <c r="E426">
        <v>2</v>
      </c>
      <c r="J426" t="s">
        <v>499</v>
      </c>
      <c r="K426">
        <v>25</v>
      </c>
    </row>
    <row r="427" spans="1:11" x14ac:dyDescent="0.25">
      <c r="A427" t="s">
        <v>508</v>
      </c>
      <c r="B427" t="s">
        <v>20</v>
      </c>
      <c r="D427" t="s">
        <v>20</v>
      </c>
      <c r="E427">
        <v>1</v>
      </c>
      <c r="J427" t="s">
        <v>499</v>
      </c>
      <c r="K427">
        <v>25</v>
      </c>
    </row>
    <row r="428" spans="1:11" hidden="1" x14ac:dyDescent="0.25">
      <c r="A428" t="s">
        <v>509</v>
      </c>
      <c r="B428" t="s">
        <v>341</v>
      </c>
    </row>
    <row r="429" spans="1:11" x14ac:dyDescent="0.25">
      <c r="A429" t="s">
        <v>510</v>
      </c>
      <c r="B429" t="s">
        <v>77</v>
      </c>
      <c r="D429" t="s">
        <v>77</v>
      </c>
      <c r="E429">
        <v>1</v>
      </c>
      <c r="J429" t="s">
        <v>511</v>
      </c>
      <c r="K429">
        <v>30</v>
      </c>
    </row>
    <row r="430" spans="1:11" hidden="1" x14ac:dyDescent="0.25">
      <c r="A430" t="s">
        <v>512</v>
      </c>
      <c r="B430" t="s">
        <v>16</v>
      </c>
    </row>
    <row r="431" spans="1:11" hidden="1" x14ac:dyDescent="0.25">
      <c r="A431" t="s">
        <v>513</v>
      </c>
      <c r="B431" t="s">
        <v>16</v>
      </c>
    </row>
    <row r="432" spans="1:11" hidden="1" x14ac:dyDescent="0.25">
      <c r="A432" t="s">
        <v>514</v>
      </c>
      <c r="B432" t="s">
        <v>87</v>
      </c>
    </row>
    <row r="433" spans="1:11" hidden="1" x14ac:dyDescent="0.25">
      <c r="A433" t="s">
        <v>515</v>
      </c>
      <c r="B433" t="s">
        <v>87</v>
      </c>
    </row>
    <row r="434" spans="1:11" hidden="1" x14ac:dyDescent="0.25">
      <c r="A434" t="s">
        <v>516</v>
      </c>
      <c r="B434" t="s">
        <v>87</v>
      </c>
    </row>
    <row r="435" spans="1:11" hidden="1" x14ac:dyDescent="0.25">
      <c r="A435" t="s">
        <v>471</v>
      </c>
      <c r="B435" t="s">
        <v>87</v>
      </c>
    </row>
    <row r="436" spans="1:11" hidden="1" x14ac:dyDescent="0.25">
      <c r="A436" t="s">
        <v>517</v>
      </c>
      <c r="B436" t="s">
        <v>87</v>
      </c>
    </row>
    <row r="437" spans="1:11" hidden="1" x14ac:dyDescent="0.25">
      <c r="A437" t="s">
        <v>518</v>
      </c>
      <c r="B437" t="s">
        <v>87</v>
      </c>
    </row>
    <row r="438" spans="1:11" hidden="1" x14ac:dyDescent="0.25">
      <c r="A438" t="s">
        <v>519</v>
      </c>
      <c r="B438" t="s">
        <v>87</v>
      </c>
    </row>
    <row r="439" spans="1:11" hidden="1" x14ac:dyDescent="0.25">
      <c r="A439" t="s">
        <v>520</v>
      </c>
      <c r="B439" t="s">
        <v>173</v>
      </c>
    </row>
    <row r="440" spans="1:11" hidden="1" x14ac:dyDescent="0.25">
      <c r="A440" t="s">
        <v>521</v>
      </c>
      <c r="B440" t="s">
        <v>87</v>
      </c>
    </row>
    <row r="441" spans="1:11" hidden="1" x14ac:dyDescent="0.25">
      <c r="A441" t="s">
        <v>522</v>
      </c>
      <c r="B441" t="s">
        <v>87</v>
      </c>
    </row>
    <row r="442" spans="1:11" hidden="1" x14ac:dyDescent="0.25">
      <c r="A442" t="s">
        <v>523</v>
      </c>
      <c r="B442" t="s">
        <v>87</v>
      </c>
    </row>
    <row r="443" spans="1:11" x14ac:dyDescent="0.25">
      <c r="A443" t="s">
        <v>524</v>
      </c>
      <c r="B443" t="s">
        <v>20</v>
      </c>
      <c r="D443" t="s">
        <v>20</v>
      </c>
      <c r="E443">
        <v>1</v>
      </c>
      <c r="J443" t="s">
        <v>525</v>
      </c>
      <c r="K443">
        <v>27</v>
      </c>
    </row>
    <row r="444" spans="1:11" x14ac:dyDescent="0.25">
      <c r="A444" t="s">
        <v>526</v>
      </c>
      <c r="B444" t="s">
        <v>20</v>
      </c>
      <c r="D444" t="s">
        <v>20</v>
      </c>
      <c r="E444">
        <v>2</v>
      </c>
      <c r="J444" t="s">
        <v>525</v>
      </c>
      <c r="K444">
        <v>27</v>
      </c>
    </row>
    <row r="445" spans="1:11" x14ac:dyDescent="0.25">
      <c r="A445" t="s">
        <v>527</v>
      </c>
      <c r="B445" t="s">
        <v>77</v>
      </c>
      <c r="D445" t="s">
        <v>77</v>
      </c>
      <c r="E445">
        <v>1</v>
      </c>
      <c r="J445" t="s">
        <v>525</v>
      </c>
      <c r="K445">
        <v>27</v>
      </c>
    </row>
    <row r="446" spans="1:11" x14ac:dyDescent="0.25">
      <c r="A446" t="s">
        <v>528</v>
      </c>
      <c r="B446" t="s">
        <v>77</v>
      </c>
      <c r="D446" t="s">
        <v>77</v>
      </c>
      <c r="E446">
        <v>2</v>
      </c>
      <c r="J446" t="s">
        <v>525</v>
      </c>
      <c r="K446">
        <v>27</v>
      </c>
    </row>
    <row r="447" spans="1:11" x14ac:dyDescent="0.25">
      <c r="A447" t="s">
        <v>529</v>
      </c>
      <c r="B447" t="s">
        <v>20</v>
      </c>
      <c r="D447" t="s">
        <v>20</v>
      </c>
      <c r="E447">
        <v>2</v>
      </c>
      <c r="J447" t="s">
        <v>530</v>
      </c>
      <c r="K447">
        <v>24</v>
      </c>
    </row>
    <row r="448" spans="1:11" x14ac:dyDescent="0.25">
      <c r="A448" t="s">
        <v>531</v>
      </c>
      <c r="B448" t="s">
        <v>20</v>
      </c>
      <c r="D448" t="s">
        <v>20</v>
      </c>
      <c r="E448">
        <v>1</v>
      </c>
      <c r="J448" t="s">
        <v>530</v>
      </c>
      <c r="K448">
        <v>24</v>
      </c>
    </row>
    <row r="449" spans="1:12" x14ac:dyDescent="0.25">
      <c r="A449" t="s">
        <v>532</v>
      </c>
      <c r="B449" t="s">
        <v>77</v>
      </c>
      <c r="D449" t="s">
        <v>77</v>
      </c>
      <c r="E449">
        <v>1</v>
      </c>
      <c r="J449" t="s">
        <v>530</v>
      </c>
      <c r="K449">
        <v>24</v>
      </c>
    </row>
    <row r="450" spans="1:12" x14ac:dyDescent="0.25">
      <c r="A450" t="s">
        <v>533</v>
      </c>
      <c r="B450" t="s">
        <v>77</v>
      </c>
      <c r="D450" t="s">
        <v>77</v>
      </c>
      <c r="E450">
        <v>2</v>
      </c>
      <c r="J450" t="s">
        <v>530</v>
      </c>
      <c r="K450">
        <v>24</v>
      </c>
    </row>
    <row r="451" spans="1:12" hidden="1" x14ac:dyDescent="0.25">
      <c r="A451" t="s">
        <v>534</v>
      </c>
      <c r="B451" t="s">
        <v>87</v>
      </c>
    </row>
    <row r="452" spans="1:12" hidden="1" x14ac:dyDescent="0.25">
      <c r="A452" t="s">
        <v>535</v>
      </c>
      <c r="B452" t="s">
        <v>87</v>
      </c>
    </row>
    <row r="453" spans="1:12" x14ac:dyDescent="0.25">
      <c r="A453" t="s">
        <v>536</v>
      </c>
      <c r="B453" t="s">
        <v>20</v>
      </c>
      <c r="D453" t="s">
        <v>20</v>
      </c>
      <c r="E453">
        <v>1</v>
      </c>
      <c r="J453" t="s">
        <v>537</v>
      </c>
      <c r="K453">
        <v>27</v>
      </c>
    </row>
    <row r="454" spans="1:12" x14ac:dyDescent="0.25">
      <c r="A454" t="s">
        <v>538</v>
      </c>
      <c r="B454" t="s">
        <v>20</v>
      </c>
      <c r="D454" t="s">
        <v>20</v>
      </c>
      <c r="E454">
        <v>2</v>
      </c>
      <c r="J454" t="s">
        <v>537</v>
      </c>
      <c r="K454">
        <v>27</v>
      </c>
    </row>
    <row r="455" spans="1:12" x14ac:dyDescent="0.25">
      <c r="A455" t="s">
        <v>539</v>
      </c>
      <c r="B455" t="s">
        <v>77</v>
      </c>
      <c r="D455" t="s">
        <v>77</v>
      </c>
      <c r="E455">
        <v>1</v>
      </c>
      <c r="J455" t="s">
        <v>537</v>
      </c>
      <c r="K455">
        <v>27</v>
      </c>
    </row>
    <row r="456" spans="1:12" x14ac:dyDescent="0.25">
      <c r="A456" t="s">
        <v>540</v>
      </c>
      <c r="B456" t="s">
        <v>77</v>
      </c>
      <c r="D456" t="s">
        <v>77</v>
      </c>
      <c r="E456">
        <v>2</v>
      </c>
      <c r="J456" t="s">
        <v>537</v>
      </c>
      <c r="K456">
        <v>27</v>
      </c>
    </row>
    <row r="457" spans="1:12" hidden="1" x14ac:dyDescent="0.25">
      <c r="A457" t="s">
        <v>541</v>
      </c>
      <c r="B457" t="s">
        <v>87</v>
      </c>
    </row>
    <row r="458" spans="1:12" hidden="1" x14ac:dyDescent="0.25">
      <c r="A458" t="s">
        <v>542</v>
      </c>
      <c r="B458" t="s">
        <v>87</v>
      </c>
    </row>
    <row r="459" spans="1:12" hidden="1" x14ac:dyDescent="0.25">
      <c r="A459" t="s">
        <v>543</v>
      </c>
      <c r="B459" t="s">
        <v>87</v>
      </c>
    </row>
    <row r="460" spans="1:12" hidden="1" x14ac:dyDescent="0.25">
      <c r="A460" t="s">
        <v>544</v>
      </c>
      <c r="B460" t="s">
        <v>87</v>
      </c>
    </row>
    <row r="461" spans="1:12" x14ac:dyDescent="0.25">
      <c r="A461" t="s">
        <v>545</v>
      </c>
      <c r="B461" t="s">
        <v>20</v>
      </c>
      <c r="D461" t="s">
        <v>20</v>
      </c>
      <c r="L461" t="s">
        <v>350</v>
      </c>
    </row>
    <row r="462" spans="1:12" hidden="1" x14ac:dyDescent="0.25">
      <c r="A462" t="s">
        <v>546</v>
      </c>
      <c r="B462" t="s">
        <v>87</v>
      </c>
    </row>
    <row r="463" spans="1:12" hidden="1" x14ac:dyDescent="0.25">
      <c r="A463" t="s">
        <v>204</v>
      </c>
      <c r="B463" t="s">
        <v>173</v>
      </c>
    </row>
    <row r="464" spans="1:12" hidden="1" x14ac:dyDescent="0.25">
      <c r="A464" t="s">
        <v>113</v>
      </c>
      <c r="B464" t="s">
        <v>173</v>
      </c>
    </row>
    <row r="465" spans="1:12" hidden="1" x14ac:dyDescent="0.25">
      <c r="A465" t="s">
        <v>547</v>
      </c>
      <c r="B465" t="s">
        <v>87</v>
      </c>
    </row>
    <row r="466" spans="1:12" hidden="1" x14ac:dyDescent="0.25">
      <c r="A466" t="s">
        <v>548</v>
      </c>
      <c r="B466" t="s">
        <v>87</v>
      </c>
    </row>
    <row r="467" spans="1:12" hidden="1" x14ac:dyDescent="0.25">
      <c r="A467" t="s">
        <v>549</v>
      </c>
      <c r="B467" t="s">
        <v>173</v>
      </c>
    </row>
    <row r="468" spans="1:12" hidden="1" x14ac:dyDescent="0.25">
      <c r="A468" t="s">
        <v>550</v>
      </c>
      <c r="B468" t="s">
        <v>87</v>
      </c>
    </row>
    <row r="469" spans="1:12" x14ac:dyDescent="0.25">
      <c r="A469" t="s">
        <v>551</v>
      </c>
      <c r="B469" t="s">
        <v>77</v>
      </c>
      <c r="C469" t="s">
        <v>85</v>
      </c>
      <c r="D469" t="s">
        <v>77</v>
      </c>
      <c r="L469" t="s">
        <v>552</v>
      </c>
    </row>
    <row r="470" spans="1:12" x14ac:dyDescent="0.25">
      <c r="A470" t="s">
        <v>553</v>
      </c>
      <c r="B470" t="s">
        <v>77</v>
      </c>
      <c r="C470" t="s">
        <v>85</v>
      </c>
      <c r="D470" t="s">
        <v>77</v>
      </c>
      <c r="E470">
        <v>2</v>
      </c>
    </row>
    <row r="471" spans="1:12" x14ac:dyDescent="0.25">
      <c r="A471" t="s">
        <v>554</v>
      </c>
      <c r="B471" t="s">
        <v>77</v>
      </c>
      <c r="C471" t="s">
        <v>85</v>
      </c>
      <c r="D471" t="s">
        <v>77</v>
      </c>
      <c r="E471">
        <v>1</v>
      </c>
    </row>
    <row r="472" spans="1:12" hidden="1" x14ac:dyDescent="0.25">
      <c r="A472" t="s">
        <v>208</v>
      </c>
      <c r="B472" t="s">
        <v>173</v>
      </c>
    </row>
    <row r="473" spans="1:12" hidden="1" x14ac:dyDescent="0.25">
      <c r="A473" t="s">
        <v>209</v>
      </c>
      <c r="B473" t="s">
        <v>173</v>
      </c>
    </row>
    <row r="474" spans="1:12" hidden="1" x14ac:dyDescent="0.25">
      <c r="A474" t="s">
        <v>555</v>
      </c>
      <c r="B474" t="s">
        <v>16</v>
      </c>
    </row>
    <row r="475" spans="1:12" x14ac:dyDescent="0.25">
      <c r="A475" t="s">
        <v>556</v>
      </c>
      <c r="B475" t="s">
        <v>20</v>
      </c>
      <c r="D475" t="s">
        <v>20</v>
      </c>
      <c r="E475">
        <v>8</v>
      </c>
      <c r="J475" t="s">
        <v>448</v>
      </c>
      <c r="K475">
        <v>27</v>
      </c>
    </row>
    <row r="476" spans="1:12" x14ac:dyDescent="0.25">
      <c r="A476" t="s">
        <v>557</v>
      </c>
      <c r="B476" t="s">
        <v>20</v>
      </c>
      <c r="D476" t="s">
        <v>20</v>
      </c>
      <c r="E476">
        <v>7</v>
      </c>
      <c r="J476" t="s">
        <v>448</v>
      </c>
      <c r="K476">
        <v>27</v>
      </c>
    </row>
    <row r="477" spans="1:12" x14ac:dyDescent="0.25">
      <c r="A477" t="s">
        <v>558</v>
      </c>
      <c r="B477" t="s">
        <v>77</v>
      </c>
      <c r="D477" t="s">
        <v>77</v>
      </c>
      <c r="E477">
        <v>5</v>
      </c>
      <c r="J477" t="s">
        <v>448</v>
      </c>
      <c r="K477">
        <v>27</v>
      </c>
    </row>
    <row r="478" spans="1:12" x14ac:dyDescent="0.25">
      <c r="A478" t="s">
        <v>559</v>
      </c>
      <c r="B478" t="s">
        <v>77</v>
      </c>
      <c r="D478" t="s">
        <v>77</v>
      </c>
      <c r="E478">
        <v>3</v>
      </c>
      <c r="J478" t="s">
        <v>560</v>
      </c>
      <c r="K478">
        <v>18</v>
      </c>
    </row>
    <row r="479" spans="1:12" x14ac:dyDescent="0.25">
      <c r="A479" t="s">
        <v>561</v>
      </c>
      <c r="B479" t="s">
        <v>20</v>
      </c>
      <c r="D479" t="s">
        <v>20</v>
      </c>
      <c r="E479">
        <v>5</v>
      </c>
      <c r="J479" t="s">
        <v>448</v>
      </c>
      <c r="K479">
        <v>27</v>
      </c>
    </row>
    <row r="480" spans="1:12" x14ac:dyDescent="0.25">
      <c r="A480" t="s">
        <v>562</v>
      </c>
      <c r="B480" t="s">
        <v>20</v>
      </c>
      <c r="D480" t="s">
        <v>20</v>
      </c>
      <c r="E480">
        <v>3</v>
      </c>
      <c r="J480" t="s">
        <v>560</v>
      </c>
      <c r="K480">
        <v>18</v>
      </c>
    </row>
    <row r="481" spans="1:17" x14ac:dyDescent="0.25">
      <c r="A481" t="s">
        <v>563</v>
      </c>
      <c r="B481" t="s">
        <v>77</v>
      </c>
      <c r="D481" t="s">
        <v>77</v>
      </c>
      <c r="E481">
        <v>7</v>
      </c>
      <c r="J481" t="s">
        <v>448</v>
      </c>
      <c r="K481">
        <v>27</v>
      </c>
    </row>
    <row r="482" spans="1:17" x14ac:dyDescent="0.25">
      <c r="A482" t="s">
        <v>564</v>
      </c>
      <c r="B482" t="s">
        <v>77</v>
      </c>
      <c r="D482" t="s">
        <v>77</v>
      </c>
      <c r="E482">
        <v>8</v>
      </c>
      <c r="J482" t="s">
        <v>448</v>
      </c>
      <c r="K482">
        <v>27</v>
      </c>
    </row>
    <row r="483" spans="1:17" x14ac:dyDescent="0.25">
      <c r="A483" t="s">
        <v>565</v>
      </c>
      <c r="B483" t="s">
        <v>20</v>
      </c>
      <c r="D483" t="s">
        <v>20</v>
      </c>
      <c r="E483">
        <v>9</v>
      </c>
      <c r="J483" t="s">
        <v>448</v>
      </c>
      <c r="K483">
        <v>27</v>
      </c>
    </row>
    <row r="484" spans="1:17" x14ac:dyDescent="0.25">
      <c r="A484" t="s">
        <v>566</v>
      </c>
      <c r="B484" t="s">
        <v>77</v>
      </c>
      <c r="D484" t="s">
        <v>77</v>
      </c>
      <c r="E484">
        <v>9</v>
      </c>
      <c r="J484" t="s">
        <v>567</v>
      </c>
      <c r="K484">
        <v>27</v>
      </c>
    </row>
    <row r="485" spans="1:17" hidden="1" x14ac:dyDescent="0.25">
      <c r="A485" t="s">
        <v>568</v>
      </c>
      <c r="B485" t="s">
        <v>95</v>
      </c>
    </row>
    <row r="486" spans="1:17" hidden="1" x14ac:dyDescent="0.25">
      <c r="A486" t="s">
        <v>569</v>
      </c>
      <c r="B486" t="s">
        <v>87</v>
      </c>
    </row>
    <row r="487" spans="1:17" x14ac:dyDescent="0.25">
      <c r="A487" t="s">
        <v>570</v>
      </c>
      <c r="B487" t="s">
        <v>77</v>
      </c>
      <c r="C487" t="s">
        <v>85</v>
      </c>
      <c r="D487" t="s">
        <v>77</v>
      </c>
      <c r="J487">
        <v>20</v>
      </c>
      <c r="K487">
        <v>20</v>
      </c>
    </row>
    <row r="488" spans="1:17" hidden="1" x14ac:dyDescent="0.25">
      <c r="A488" t="s">
        <v>571</v>
      </c>
      <c r="B488" t="s">
        <v>87</v>
      </c>
    </row>
    <row r="489" spans="1:17" hidden="1" x14ac:dyDescent="0.25">
      <c r="A489" t="s">
        <v>464</v>
      </c>
      <c r="B489" t="s">
        <v>87</v>
      </c>
    </row>
    <row r="490" spans="1:17" hidden="1" x14ac:dyDescent="0.25">
      <c r="A490" t="s">
        <v>572</v>
      </c>
      <c r="B490" t="s">
        <v>87</v>
      </c>
    </row>
    <row r="491" spans="1:17" hidden="1" x14ac:dyDescent="0.25">
      <c r="A491" t="s">
        <v>573</v>
      </c>
      <c r="B491" t="s">
        <v>87</v>
      </c>
    </row>
    <row r="492" spans="1:17" x14ac:dyDescent="0.25">
      <c r="A492" t="s">
        <v>574</v>
      </c>
      <c r="B492" t="s">
        <v>77</v>
      </c>
      <c r="D492" t="s">
        <v>77</v>
      </c>
      <c r="E492">
        <v>3</v>
      </c>
      <c r="J492" t="s">
        <v>511</v>
      </c>
      <c r="K492">
        <v>30</v>
      </c>
    </row>
    <row r="493" spans="1:17" x14ac:dyDescent="0.25">
      <c r="A493" t="s">
        <v>575</v>
      </c>
      <c r="B493" t="s">
        <v>77</v>
      </c>
      <c r="D493" t="s">
        <v>77</v>
      </c>
      <c r="E493">
        <v>2</v>
      </c>
      <c r="J493" t="s">
        <v>511</v>
      </c>
      <c r="K493">
        <v>30</v>
      </c>
    </row>
    <row r="494" spans="1:17" x14ac:dyDescent="0.25">
      <c r="A494" t="s">
        <v>576</v>
      </c>
      <c r="B494" t="s">
        <v>20</v>
      </c>
      <c r="D494" t="s">
        <v>20</v>
      </c>
      <c r="E494">
        <v>3</v>
      </c>
      <c r="Q494" t="s">
        <v>577</v>
      </c>
    </row>
    <row r="495" spans="1:17" x14ac:dyDescent="0.25">
      <c r="A495" t="s">
        <v>578</v>
      </c>
      <c r="B495" t="s">
        <v>46</v>
      </c>
      <c r="D495" t="s">
        <v>46</v>
      </c>
      <c r="E495">
        <v>2</v>
      </c>
    </row>
    <row r="496" spans="1:17" x14ac:dyDescent="0.25">
      <c r="A496" t="s">
        <v>579</v>
      </c>
      <c r="B496" t="s">
        <v>46</v>
      </c>
      <c r="D496" t="s">
        <v>46</v>
      </c>
      <c r="E496">
        <v>3</v>
      </c>
    </row>
    <row r="497" spans="1:17" x14ac:dyDescent="0.25">
      <c r="A497" t="s">
        <v>580</v>
      </c>
      <c r="B497" t="s">
        <v>77</v>
      </c>
      <c r="C497" t="s">
        <v>581</v>
      </c>
      <c r="D497" t="s">
        <v>77</v>
      </c>
      <c r="L497" t="s">
        <v>582</v>
      </c>
    </row>
    <row r="498" spans="1:17" x14ac:dyDescent="0.25">
      <c r="A498" t="s">
        <v>583</v>
      </c>
      <c r="B498" t="s">
        <v>77</v>
      </c>
      <c r="C498" t="s">
        <v>85</v>
      </c>
      <c r="D498" t="s">
        <v>77</v>
      </c>
      <c r="E498">
        <v>3</v>
      </c>
    </row>
    <row r="499" spans="1:17" x14ac:dyDescent="0.25">
      <c r="A499" t="s">
        <v>584</v>
      </c>
      <c r="B499" t="s">
        <v>77</v>
      </c>
      <c r="D499" t="s">
        <v>77</v>
      </c>
      <c r="E499">
        <v>1</v>
      </c>
      <c r="J499" t="s">
        <v>567</v>
      </c>
      <c r="K499">
        <v>27</v>
      </c>
    </row>
    <row r="500" spans="1:17" x14ac:dyDescent="0.25">
      <c r="A500" t="s">
        <v>585</v>
      </c>
      <c r="B500" t="s">
        <v>77</v>
      </c>
      <c r="D500" t="s">
        <v>77</v>
      </c>
      <c r="E500">
        <v>2</v>
      </c>
      <c r="J500" t="s">
        <v>567</v>
      </c>
      <c r="K500">
        <v>27</v>
      </c>
    </row>
    <row r="501" spans="1:17" hidden="1" x14ac:dyDescent="0.25">
      <c r="A501" t="s">
        <v>333</v>
      </c>
      <c r="B501" t="s">
        <v>173</v>
      </c>
    </row>
    <row r="502" spans="1:17" hidden="1" x14ac:dyDescent="0.25">
      <c r="A502" t="s">
        <v>157</v>
      </c>
      <c r="B502" t="s">
        <v>173</v>
      </c>
    </row>
    <row r="503" spans="1:17" hidden="1" x14ac:dyDescent="0.25">
      <c r="A503" t="s">
        <v>143</v>
      </c>
      <c r="B503" t="s">
        <v>173</v>
      </c>
    </row>
    <row r="504" spans="1:17" hidden="1" x14ac:dyDescent="0.25">
      <c r="A504" t="s">
        <v>142</v>
      </c>
      <c r="B504" t="s">
        <v>173</v>
      </c>
    </row>
    <row r="505" spans="1:17" hidden="1" x14ac:dyDescent="0.25">
      <c r="A505" t="s">
        <v>144</v>
      </c>
      <c r="B505" t="s">
        <v>173</v>
      </c>
    </row>
    <row r="506" spans="1:17" hidden="1" x14ac:dyDescent="0.25">
      <c r="A506" t="s">
        <v>156</v>
      </c>
      <c r="B506" t="s">
        <v>173</v>
      </c>
    </row>
    <row r="507" spans="1:17" hidden="1" x14ac:dyDescent="0.25">
      <c r="A507" t="s">
        <v>146</v>
      </c>
      <c r="B507" t="s">
        <v>173</v>
      </c>
    </row>
    <row r="508" spans="1:17" x14ac:dyDescent="0.25">
      <c r="A508" t="s">
        <v>586</v>
      </c>
      <c r="B508" t="s">
        <v>46</v>
      </c>
      <c r="D508" t="s">
        <v>46</v>
      </c>
      <c r="Q508" t="s">
        <v>587</v>
      </c>
    </row>
    <row r="509" spans="1:17" x14ac:dyDescent="0.25">
      <c r="A509" t="s">
        <v>588</v>
      </c>
      <c r="B509" t="s">
        <v>77</v>
      </c>
      <c r="D509" t="s">
        <v>77</v>
      </c>
      <c r="Q509" t="s">
        <v>587</v>
      </c>
    </row>
    <row r="510" spans="1:17" x14ac:dyDescent="0.25">
      <c r="A510" t="s">
        <v>589</v>
      </c>
      <c r="B510" t="s">
        <v>20</v>
      </c>
      <c r="D510" t="s">
        <v>20</v>
      </c>
      <c r="Q510" t="s">
        <v>587</v>
      </c>
    </row>
    <row r="511" spans="1:17" x14ac:dyDescent="0.25">
      <c r="A511" t="s">
        <v>590</v>
      </c>
      <c r="B511" t="s">
        <v>46</v>
      </c>
      <c r="D511" t="s">
        <v>46</v>
      </c>
      <c r="Q511" t="s">
        <v>591</v>
      </c>
    </row>
    <row r="512" spans="1:17" x14ac:dyDescent="0.25">
      <c r="A512" t="s">
        <v>592</v>
      </c>
      <c r="B512" t="s">
        <v>20</v>
      </c>
      <c r="D512" t="s">
        <v>20</v>
      </c>
      <c r="Q512" t="s">
        <v>591</v>
      </c>
    </row>
    <row r="513" spans="1:17" x14ac:dyDescent="0.25">
      <c r="A513" t="s">
        <v>593</v>
      </c>
      <c r="B513" t="s">
        <v>77</v>
      </c>
      <c r="D513" t="s">
        <v>77</v>
      </c>
      <c r="Q513" t="s">
        <v>591</v>
      </c>
    </row>
    <row r="514" spans="1:17" hidden="1" x14ac:dyDescent="0.25">
      <c r="A514" t="s">
        <v>594</v>
      </c>
      <c r="B514" t="s">
        <v>95</v>
      </c>
    </row>
    <row r="515" spans="1:17" hidden="1" x14ac:dyDescent="0.25">
      <c r="A515" t="s">
        <v>595</v>
      </c>
      <c r="B515" t="s">
        <v>341</v>
      </c>
    </row>
    <row r="516" spans="1:17" hidden="1" x14ac:dyDescent="0.25">
      <c r="A516" t="s">
        <v>596</v>
      </c>
      <c r="B516" t="s">
        <v>87</v>
      </c>
    </row>
    <row r="517" spans="1:17" hidden="1" x14ac:dyDescent="0.25">
      <c r="A517" t="s">
        <v>597</v>
      </c>
      <c r="B517" t="s">
        <v>16</v>
      </c>
    </row>
    <row r="518" spans="1:17" x14ac:dyDescent="0.25">
      <c r="A518" t="s">
        <v>598</v>
      </c>
      <c r="B518" t="s">
        <v>20</v>
      </c>
      <c r="D518" t="s">
        <v>20</v>
      </c>
      <c r="E518">
        <v>2</v>
      </c>
      <c r="J518" t="s">
        <v>599</v>
      </c>
      <c r="K518">
        <v>20</v>
      </c>
    </row>
    <row r="519" spans="1:17" x14ac:dyDescent="0.25">
      <c r="A519" t="s">
        <v>600</v>
      </c>
      <c r="B519" t="s">
        <v>77</v>
      </c>
      <c r="D519" t="s">
        <v>77</v>
      </c>
      <c r="E519">
        <v>1</v>
      </c>
      <c r="J519" t="s">
        <v>599</v>
      </c>
      <c r="K519">
        <v>20</v>
      </c>
    </row>
    <row r="520" spans="1:17" x14ac:dyDescent="0.25">
      <c r="A520" t="s">
        <v>601</v>
      </c>
      <c r="B520" t="s">
        <v>77</v>
      </c>
      <c r="D520" t="s">
        <v>77</v>
      </c>
      <c r="E520">
        <v>2</v>
      </c>
      <c r="J520" t="s">
        <v>599</v>
      </c>
      <c r="K520">
        <v>20</v>
      </c>
    </row>
    <row r="521" spans="1:17" hidden="1" x14ac:dyDescent="0.25">
      <c r="A521" t="s">
        <v>602</v>
      </c>
      <c r="B521" t="s">
        <v>87</v>
      </c>
    </row>
    <row r="522" spans="1:17" hidden="1" x14ac:dyDescent="0.25">
      <c r="A522" t="s">
        <v>603</v>
      </c>
      <c r="B522" t="s">
        <v>341</v>
      </c>
    </row>
    <row r="523" spans="1:17" x14ac:dyDescent="0.25">
      <c r="A523" t="s">
        <v>224</v>
      </c>
      <c r="B523" t="s">
        <v>173</v>
      </c>
      <c r="D523" t="s">
        <v>20</v>
      </c>
      <c r="E523">
        <v>4</v>
      </c>
    </row>
    <row r="524" spans="1:17" x14ac:dyDescent="0.25">
      <c r="A524" t="s">
        <v>604</v>
      </c>
      <c r="B524" t="s">
        <v>173</v>
      </c>
      <c r="D524" t="s">
        <v>20</v>
      </c>
      <c r="L524" t="s">
        <v>605</v>
      </c>
    </row>
    <row r="525" spans="1:17" hidden="1" x14ac:dyDescent="0.25">
      <c r="A525" t="s">
        <v>606</v>
      </c>
      <c r="B525" t="s">
        <v>87</v>
      </c>
    </row>
    <row r="526" spans="1:17" hidden="1" x14ac:dyDescent="0.25">
      <c r="A526" t="s">
        <v>607</v>
      </c>
      <c r="B526" t="s">
        <v>87</v>
      </c>
    </row>
    <row r="527" spans="1:17" hidden="1" x14ac:dyDescent="0.25">
      <c r="A527" t="s">
        <v>608</v>
      </c>
      <c r="B527" t="s">
        <v>87</v>
      </c>
    </row>
    <row r="528" spans="1:17" hidden="1" x14ac:dyDescent="0.25">
      <c r="A528" t="s">
        <v>609</v>
      </c>
      <c r="B528" t="s">
        <v>214</v>
      </c>
    </row>
    <row r="529" spans="1:11" hidden="1" x14ac:dyDescent="0.25">
      <c r="A529" t="s">
        <v>610</v>
      </c>
      <c r="B529" t="s">
        <v>95</v>
      </c>
    </row>
    <row r="530" spans="1:11" x14ac:dyDescent="0.25">
      <c r="A530" t="s">
        <v>611</v>
      </c>
      <c r="B530" t="s">
        <v>77</v>
      </c>
      <c r="D530" t="s">
        <v>77</v>
      </c>
      <c r="E530">
        <v>2</v>
      </c>
      <c r="J530" t="s">
        <v>612</v>
      </c>
      <c r="K530">
        <v>21</v>
      </c>
    </row>
    <row r="531" spans="1:11" x14ac:dyDescent="0.25">
      <c r="A531" t="s">
        <v>613</v>
      </c>
      <c r="B531" t="s">
        <v>77</v>
      </c>
      <c r="D531" t="s">
        <v>77</v>
      </c>
      <c r="E531">
        <v>3</v>
      </c>
      <c r="J531" t="s">
        <v>612</v>
      </c>
      <c r="K531">
        <v>21</v>
      </c>
    </row>
    <row r="532" spans="1:11" x14ac:dyDescent="0.25">
      <c r="A532" t="s">
        <v>614</v>
      </c>
      <c r="B532" t="s">
        <v>77</v>
      </c>
      <c r="D532" t="s">
        <v>77</v>
      </c>
      <c r="E532">
        <v>4</v>
      </c>
      <c r="J532" t="s">
        <v>612</v>
      </c>
      <c r="K532">
        <v>21</v>
      </c>
    </row>
    <row r="533" spans="1:11" hidden="1" x14ac:dyDescent="0.25">
      <c r="A533" t="s">
        <v>615</v>
      </c>
    </row>
    <row r="534" spans="1:11" hidden="1" x14ac:dyDescent="0.25">
      <c r="A534" t="s">
        <v>616</v>
      </c>
      <c r="B534" t="s">
        <v>173</v>
      </c>
    </row>
    <row r="535" spans="1:11" hidden="1" x14ac:dyDescent="0.25">
      <c r="A535" t="s">
        <v>269</v>
      </c>
      <c r="B535" t="s">
        <v>173</v>
      </c>
    </row>
    <row r="536" spans="1:11" hidden="1" x14ac:dyDescent="0.25">
      <c r="A536" t="s">
        <v>270</v>
      </c>
      <c r="B536" t="s">
        <v>173</v>
      </c>
    </row>
    <row r="537" spans="1:11" hidden="1" x14ac:dyDescent="0.25">
      <c r="A537" t="s">
        <v>617</v>
      </c>
      <c r="B537" t="s">
        <v>341</v>
      </c>
    </row>
    <row r="538" spans="1:11" x14ac:dyDescent="0.25">
      <c r="A538" t="s">
        <v>618</v>
      </c>
      <c r="B538" t="s">
        <v>46</v>
      </c>
      <c r="C538" t="s">
        <v>85</v>
      </c>
      <c r="D538" t="s">
        <v>46</v>
      </c>
    </row>
    <row r="539" spans="1:11" hidden="1" x14ac:dyDescent="0.25">
      <c r="A539" t="s">
        <v>619</v>
      </c>
      <c r="B539" t="s">
        <v>341</v>
      </c>
    </row>
    <row r="540" spans="1:11" hidden="1" x14ac:dyDescent="0.25">
      <c r="A540" t="s">
        <v>620</v>
      </c>
      <c r="B540" t="s">
        <v>341</v>
      </c>
    </row>
    <row r="541" spans="1:11" hidden="1" x14ac:dyDescent="0.25">
      <c r="A541" t="s">
        <v>165</v>
      </c>
      <c r="B541" t="s">
        <v>173</v>
      </c>
    </row>
    <row r="542" spans="1:11" hidden="1" x14ac:dyDescent="0.25">
      <c r="A542" t="s">
        <v>282</v>
      </c>
      <c r="B542" t="s">
        <v>173</v>
      </c>
    </row>
    <row r="543" spans="1:11" hidden="1" x14ac:dyDescent="0.25">
      <c r="A543" t="s">
        <v>621</v>
      </c>
      <c r="B543" t="s">
        <v>95</v>
      </c>
    </row>
    <row r="544" spans="1:11" x14ac:dyDescent="0.25">
      <c r="A544" t="s">
        <v>622</v>
      </c>
      <c r="B544" t="s">
        <v>173</v>
      </c>
      <c r="D544" t="s">
        <v>77</v>
      </c>
      <c r="J544" t="s">
        <v>623</v>
      </c>
      <c r="K544">
        <v>40</v>
      </c>
    </row>
    <row r="545" spans="1:11" x14ac:dyDescent="0.25">
      <c r="A545" t="s">
        <v>624</v>
      </c>
      <c r="B545" t="s">
        <v>20</v>
      </c>
      <c r="D545" t="s">
        <v>20</v>
      </c>
      <c r="I545" t="s">
        <v>625</v>
      </c>
    </row>
    <row r="546" spans="1:11" hidden="1" x14ac:dyDescent="0.25">
      <c r="A546" t="s">
        <v>626</v>
      </c>
      <c r="B546" t="s">
        <v>16</v>
      </c>
    </row>
    <row r="547" spans="1:11" hidden="1" x14ac:dyDescent="0.25">
      <c r="A547" t="s">
        <v>627</v>
      </c>
      <c r="B547" t="s">
        <v>87</v>
      </c>
    </row>
    <row r="548" spans="1:11" hidden="1" x14ac:dyDescent="0.25">
      <c r="A548" t="s">
        <v>628</v>
      </c>
      <c r="B548" t="s">
        <v>87</v>
      </c>
    </row>
    <row r="549" spans="1:11" hidden="1" x14ac:dyDescent="0.25">
      <c r="A549" t="s">
        <v>629</v>
      </c>
      <c r="B549" t="s">
        <v>87</v>
      </c>
    </row>
    <row r="550" spans="1:11" hidden="1" x14ac:dyDescent="0.25">
      <c r="A550" t="s">
        <v>630</v>
      </c>
      <c r="B550" t="s">
        <v>87</v>
      </c>
    </row>
    <row r="551" spans="1:11" hidden="1" x14ac:dyDescent="0.25">
      <c r="A551" t="s">
        <v>631</v>
      </c>
      <c r="B551" t="s">
        <v>87</v>
      </c>
    </row>
    <row r="552" spans="1:11" hidden="1" x14ac:dyDescent="0.25">
      <c r="A552" t="s">
        <v>632</v>
      </c>
      <c r="B552" t="s">
        <v>87</v>
      </c>
    </row>
    <row r="553" spans="1:11" hidden="1" x14ac:dyDescent="0.25">
      <c r="A553" t="s">
        <v>633</v>
      </c>
      <c r="B553" t="s">
        <v>87</v>
      </c>
    </row>
    <row r="554" spans="1:11" x14ac:dyDescent="0.25">
      <c r="A554" t="s">
        <v>634</v>
      </c>
      <c r="B554" t="s">
        <v>173</v>
      </c>
      <c r="D554" t="s">
        <v>46</v>
      </c>
      <c r="J554" t="s">
        <v>623</v>
      </c>
      <c r="K554">
        <v>40</v>
      </c>
    </row>
    <row r="555" spans="1:11" x14ac:dyDescent="0.25">
      <c r="A555" t="s">
        <v>635</v>
      </c>
      <c r="B555" t="s">
        <v>173</v>
      </c>
      <c r="D555" t="s">
        <v>46</v>
      </c>
      <c r="J555" t="s">
        <v>636</v>
      </c>
      <c r="K555">
        <v>60</v>
      </c>
    </row>
    <row r="556" spans="1:11" x14ac:dyDescent="0.25">
      <c r="A556" t="s">
        <v>637</v>
      </c>
      <c r="B556" t="s">
        <v>173</v>
      </c>
      <c r="D556" t="s">
        <v>77</v>
      </c>
      <c r="J556" t="s">
        <v>636</v>
      </c>
      <c r="K556">
        <v>60</v>
      </c>
    </row>
    <row r="557" spans="1:11" x14ac:dyDescent="0.25">
      <c r="A557" t="s">
        <v>638</v>
      </c>
      <c r="B557" t="s">
        <v>173</v>
      </c>
      <c r="D557" t="s">
        <v>46</v>
      </c>
      <c r="J557" t="s">
        <v>639</v>
      </c>
      <c r="K557">
        <v>54</v>
      </c>
    </row>
    <row r="558" spans="1:11" x14ac:dyDescent="0.25">
      <c r="A558" t="s">
        <v>640</v>
      </c>
      <c r="B558" t="s">
        <v>173</v>
      </c>
      <c r="D558" t="s">
        <v>77</v>
      </c>
      <c r="J558" t="s">
        <v>639</v>
      </c>
      <c r="K558">
        <v>54</v>
      </c>
    </row>
    <row r="559" spans="1:11" hidden="1" x14ac:dyDescent="0.25">
      <c r="A559" t="s">
        <v>641</v>
      </c>
      <c r="B559" t="s">
        <v>87</v>
      </c>
    </row>
    <row r="560" spans="1:11" hidden="1" x14ac:dyDescent="0.25">
      <c r="A560" t="s">
        <v>642</v>
      </c>
      <c r="B560" t="s">
        <v>87</v>
      </c>
    </row>
    <row r="561" spans="1:19" hidden="1" x14ac:dyDescent="0.25">
      <c r="A561" t="s">
        <v>459</v>
      </c>
      <c r="B561" t="s">
        <v>173</v>
      </c>
    </row>
    <row r="562" spans="1:19" hidden="1" x14ac:dyDescent="0.25">
      <c r="A562" t="s">
        <v>460</v>
      </c>
      <c r="B562" t="s">
        <v>173</v>
      </c>
    </row>
    <row r="563" spans="1:19" hidden="1" x14ac:dyDescent="0.25">
      <c r="A563" t="s">
        <v>257</v>
      </c>
      <c r="B563" t="s">
        <v>173</v>
      </c>
    </row>
    <row r="564" spans="1:19" hidden="1" x14ac:dyDescent="0.25">
      <c r="A564" t="s">
        <v>643</v>
      </c>
      <c r="B564" t="s">
        <v>173</v>
      </c>
    </row>
    <row r="565" spans="1:19" hidden="1" x14ac:dyDescent="0.25">
      <c r="A565" t="s">
        <v>644</v>
      </c>
      <c r="B565" t="s">
        <v>173</v>
      </c>
    </row>
    <row r="566" spans="1:19" x14ac:dyDescent="0.25">
      <c r="A566" t="s">
        <v>645</v>
      </c>
      <c r="B566" t="s">
        <v>46</v>
      </c>
      <c r="D566" t="s">
        <v>46</v>
      </c>
      <c r="J566">
        <v>64</v>
      </c>
      <c r="K566">
        <v>64</v>
      </c>
      <c r="R566" t="s">
        <v>108</v>
      </c>
    </row>
    <row r="567" spans="1:19" hidden="1" x14ac:dyDescent="0.25">
      <c r="A567" t="s">
        <v>646</v>
      </c>
      <c r="B567" t="s">
        <v>173</v>
      </c>
    </row>
    <row r="568" spans="1:19" hidden="1" x14ac:dyDescent="0.25">
      <c r="A568" t="s">
        <v>647</v>
      </c>
      <c r="B568" t="s">
        <v>173</v>
      </c>
    </row>
    <row r="569" spans="1:19" x14ac:dyDescent="0.25">
      <c r="A569" t="s">
        <v>648</v>
      </c>
      <c r="B569" t="s">
        <v>173</v>
      </c>
      <c r="D569" t="s">
        <v>20</v>
      </c>
      <c r="M569">
        <v>1</v>
      </c>
      <c r="O569" t="s">
        <v>215</v>
      </c>
      <c r="S569" t="s">
        <v>294</v>
      </c>
    </row>
    <row r="570" spans="1:19" x14ac:dyDescent="0.25">
      <c r="A570" t="s">
        <v>649</v>
      </c>
      <c r="B570" t="s">
        <v>77</v>
      </c>
      <c r="D570" t="s">
        <v>77</v>
      </c>
      <c r="J570">
        <v>48</v>
      </c>
      <c r="K570">
        <v>48</v>
      </c>
      <c r="R570" t="s">
        <v>108</v>
      </c>
    </row>
    <row r="571" spans="1:19" x14ac:dyDescent="0.25">
      <c r="A571" t="s">
        <v>650</v>
      </c>
      <c r="B571" t="s">
        <v>77</v>
      </c>
      <c r="D571" t="s">
        <v>77</v>
      </c>
      <c r="J571">
        <v>64</v>
      </c>
      <c r="K571">
        <v>64</v>
      </c>
      <c r="R571" t="s">
        <v>108</v>
      </c>
    </row>
    <row r="572" spans="1:19" x14ac:dyDescent="0.25">
      <c r="A572" t="s">
        <v>651</v>
      </c>
      <c r="B572" t="s">
        <v>46</v>
      </c>
      <c r="D572" t="s">
        <v>46</v>
      </c>
      <c r="J572">
        <v>48</v>
      </c>
      <c r="K572">
        <v>48</v>
      </c>
      <c r="R572" t="s">
        <v>108</v>
      </c>
    </row>
    <row r="573" spans="1:19" hidden="1" x14ac:dyDescent="0.25">
      <c r="A573" t="s">
        <v>652</v>
      </c>
      <c r="B573" t="s">
        <v>87</v>
      </c>
    </row>
    <row r="574" spans="1:19" x14ac:dyDescent="0.25">
      <c r="A574" t="s">
        <v>653</v>
      </c>
      <c r="B574" t="s">
        <v>77</v>
      </c>
      <c r="C574" t="s">
        <v>85</v>
      </c>
      <c r="D574" t="s">
        <v>77</v>
      </c>
      <c r="J574">
        <v>64</v>
      </c>
      <c r="K574">
        <v>64</v>
      </c>
      <c r="R574" t="s">
        <v>108</v>
      </c>
    </row>
    <row r="575" spans="1:19" x14ac:dyDescent="0.25">
      <c r="A575" t="s">
        <v>654</v>
      </c>
      <c r="B575" t="s">
        <v>77</v>
      </c>
      <c r="C575" t="s">
        <v>85</v>
      </c>
      <c r="D575" t="s">
        <v>77</v>
      </c>
      <c r="J575">
        <v>48</v>
      </c>
      <c r="K575">
        <v>48</v>
      </c>
      <c r="R575" t="s">
        <v>108</v>
      </c>
      <c r="S575" t="s">
        <v>292</v>
      </c>
    </row>
    <row r="576" spans="1:19" x14ac:dyDescent="0.25">
      <c r="A576" t="s">
        <v>655</v>
      </c>
      <c r="B576" t="s">
        <v>77</v>
      </c>
      <c r="C576" t="s">
        <v>85</v>
      </c>
      <c r="D576" t="s">
        <v>77</v>
      </c>
      <c r="J576">
        <v>48</v>
      </c>
      <c r="K576">
        <v>48</v>
      </c>
      <c r="R576" t="s">
        <v>108</v>
      </c>
      <c r="S576" t="s">
        <v>290</v>
      </c>
    </row>
    <row r="577" spans="1:11" hidden="1" x14ac:dyDescent="0.25">
      <c r="A577" t="s">
        <v>656</v>
      </c>
    </row>
    <row r="578" spans="1:11" hidden="1" x14ac:dyDescent="0.25">
      <c r="A578" t="s">
        <v>657</v>
      </c>
      <c r="B578" t="s">
        <v>341</v>
      </c>
    </row>
    <row r="579" spans="1:11" hidden="1" x14ac:dyDescent="0.25">
      <c r="A579" t="s">
        <v>658</v>
      </c>
      <c r="B579" t="s">
        <v>87</v>
      </c>
    </row>
    <row r="580" spans="1:11" hidden="1" x14ac:dyDescent="0.25">
      <c r="A580" t="s">
        <v>659</v>
      </c>
      <c r="B580" t="s">
        <v>341</v>
      </c>
    </row>
    <row r="581" spans="1:11" hidden="1" x14ac:dyDescent="0.25">
      <c r="A581" t="s">
        <v>335</v>
      </c>
      <c r="B581" t="s">
        <v>173</v>
      </c>
    </row>
    <row r="582" spans="1:11" hidden="1" x14ac:dyDescent="0.25">
      <c r="A582" t="s">
        <v>660</v>
      </c>
      <c r="B582" t="s">
        <v>173</v>
      </c>
    </row>
    <row r="583" spans="1:11" hidden="1" x14ac:dyDescent="0.25">
      <c r="A583" t="s">
        <v>661</v>
      </c>
      <c r="B583" t="s">
        <v>95</v>
      </c>
    </row>
    <row r="584" spans="1:11" hidden="1" x14ac:dyDescent="0.25">
      <c r="A584" t="s">
        <v>264</v>
      </c>
      <c r="B584" t="s">
        <v>173</v>
      </c>
    </row>
    <row r="585" spans="1:11" hidden="1" x14ac:dyDescent="0.25">
      <c r="A585" t="s">
        <v>265</v>
      </c>
      <c r="B585" t="s">
        <v>173</v>
      </c>
    </row>
    <row r="586" spans="1:11" hidden="1" x14ac:dyDescent="0.25">
      <c r="A586" t="s">
        <v>266</v>
      </c>
      <c r="B586" t="s">
        <v>173</v>
      </c>
    </row>
    <row r="587" spans="1:11" hidden="1" x14ac:dyDescent="0.25">
      <c r="A587" t="s">
        <v>333</v>
      </c>
      <c r="B587" t="s">
        <v>48</v>
      </c>
    </row>
    <row r="588" spans="1:11" x14ac:dyDescent="0.25">
      <c r="A588" t="s">
        <v>662</v>
      </c>
      <c r="B588" t="s">
        <v>77</v>
      </c>
      <c r="D588" t="s">
        <v>77</v>
      </c>
      <c r="J588" t="s">
        <v>663</v>
      </c>
      <c r="K588">
        <v>30.8</v>
      </c>
    </row>
    <row r="589" spans="1:11" hidden="1" x14ac:dyDescent="0.25">
      <c r="A589" t="s">
        <v>664</v>
      </c>
      <c r="B589" t="s">
        <v>16</v>
      </c>
    </row>
    <row r="590" spans="1:11" hidden="1" x14ac:dyDescent="0.25">
      <c r="A590" t="s">
        <v>665</v>
      </c>
      <c r="B590" t="s">
        <v>16</v>
      </c>
    </row>
    <row r="591" spans="1:11" hidden="1" x14ac:dyDescent="0.25">
      <c r="A591" t="s">
        <v>666</v>
      </c>
      <c r="B591" t="s">
        <v>87</v>
      </c>
    </row>
    <row r="592" spans="1:11" hidden="1" x14ac:dyDescent="0.25">
      <c r="A592" t="s">
        <v>667</v>
      </c>
      <c r="B592" t="s">
        <v>87</v>
      </c>
    </row>
    <row r="593" spans="1:19" hidden="1" x14ac:dyDescent="0.25">
      <c r="A593" t="s">
        <v>668</v>
      </c>
      <c r="B593" t="s">
        <v>87</v>
      </c>
    </row>
    <row r="594" spans="1:19" hidden="1" x14ac:dyDescent="0.25">
      <c r="A594" t="s">
        <v>669</v>
      </c>
      <c r="B594" t="s">
        <v>87</v>
      </c>
    </row>
    <row r="595" spans="1:19" hidden="1" x14ac:dyDescent="0.25">
      <c r="A595" t="s">
        <v>670</v>
      </c>
      <c r="B595" t="s">
        <v>87</v>
      </c>
    </row>
    <row r="596" spans="1:19" hidden="1" x14ac:dyDescent="0.25">
      <c r="A596" t="s">
        <v>671</v>
      </c>
      <c r="B596" t="s">
        <v>87</v>
      </c>
    </row>
    <row r="597" spans="1:19" x14ac:dyDescent="0.25">
      <c r="A597" t="s">
        <v>672</v>
      </c>
      <c r="B597" t="s">
        <v>77</v>
      </c>
      <c r="C597" t="s">
        <v>85</v>
      </c>
      <c r="D597" t="s">
        <v>77</v>
      </c>
      <c r="S597" t="s">
        <v>292</v>
      </c>
    </row>
    <row r="598" spans="1:19" x14ac:dyDescent="0.25">
      <c r="A598" t="s">
        <v>673</v>
      </c>
      <c r="B598" t="s">
        <v>77</v>
      </c>
      <c r="C598" t="s">
        <v>85</v>
      </c>
      <c r="D598" t="s">
        <v>77</v>
      </c>
      <c r="S598" t="s">
        <v>290</v>
      </c>
    </row>
    <row r="599" spans="1:19" hidden="1" x14ac:dyDescent="0.25">
      <c r="A599" t="s">
        <v>674</v>
      </c>
      <c r="B599" t="s">
        <v>173</v>
      </c>
    </row>
    <row r="600" spans="1:19" x14ac:dyDescent="0.25">
      <c r="A600" t="s">
        <v>675</v>
      </c>
      <c r="B600" t="s">
        <v>77</v>
      </c>
      <c r="C600" t="s">
        <v>85</v>
      </c>
      <c r="D600" t="s">
        <v>77</v>
      </c>
      <c r="S600" t="s">
        <v>294</v>
      </c>
    </row>
    <row r="601" spans="1:19" hidden="1" x14ac:dyDescent="0.25">
      <c r="A601" t="s">
        <v>676</v>
      </c>
      <c r="B601" t="s">
        <v>173</v>
      </c>
    </row>
    <row r="602" spans="1:19" x14ac:dyDescent="0.25">
      <c r="A602" t="s">
        <v>677</v>
      </c>
      <c r="B602" t="s">
        <v>77</v>
      </c>
      <c r="C602" t="s">
        <v>85</v>
      </c>
      <c r="D602" t="s">
        <v>77</v>
      </c>
      <c r="S602" t="s">
        <v>290</v>
      </c>
    </row>
    <row r="603" spans="1:19" x14ac:dyDescent="0.25">
      <c r="A603" t="s">
        <v>678</v>
      </c>
      <c r="B603" t="s">
        <v>77</v>
      </c>
      <c r="C603" t="s">
        <v>85</v>
      </c>
      <c r="D603" t="s">
        <v>77</v>
      </c>
      <c r="S603" t="s">
        <v>292</v>
      </c>
    </row>
    <row r="604" spans="1:19" hidden="1" x14ac:dyDescent="0.25">
      <c r="A604" t="s">
        <v>679</v>
      </c>
      <c r="B604" t="s">
        <v>87</v>
      </c>
    </row>
    <row r="605" spans="1:19" hidden="1" x14ac:dyDescent="0.25">
      <c r="A605" t="s">
        <v>680</v>
      </c>
      <c r="B605" t="s">
        <v>87</v>
      </c>
    </row>
    <row r="606" spans="1:19" hidden="1" x14ac:dyDescent="0.25">
      <c r="A606" t="s">
        <v>681</v>
      </c>
      <c r="B606" t="s">
        <v>87</v>
      </c>
    </row>
    <row r="607" spans="1:19" hidden="1" x14ac:dyDescent="0.25">
      <c r="A607" t="s">
        <v>682</v>
      </c>
      <c r="B607" t="s">
        <v>87</v>
      </c>
    </row>
    <row r="608" spans="1:19" x14ac:dyDescent="0.25">
      <c r="A608" t="s">
        <v>683</v>
      </c>
      <c r="B608" t="s">
        <v>20</v>
      </c>
      <c r="D608" t="s">
        <v>20</v>
      </c>
      <c r="E608">
        <v>1</v>
      </c>
      <c r="J608" t="s">
        <v>684</v>
      </c>
      <c r="K608">
        <v>24</v>
      </c>
    </row>
    <row r="609" spans="1:19" x14ac:dyDescent="0.25">
      <c r="A609" t="s">
        <v>685</v>
      </c>
      <c r="B609" t="s">
        <v>20</v>
      </c>
      <c r="D609" t="s">
        <v>20</v>
      </c>
      <c r="E609">
        <v>2</v>
      </c>
      <c r="J609" t="s">
        <v>686</v>
      </c>
      <c r="K609">
        <v>21</v>
      </c>
    </row>
    <row r="610" spans="1:19" x14ac:dyDescent="0.25">
      <c r="A610" t="s">
        <v>687</v>
      </c>
      <c r="B610" t="s">
        <v>20</v>
      </c>
      <c r="D610" t="s">
        <v>20</v>
      </c>
      <c r="E610">
        <v>3</v>
      </c>
      <c r="J610" t="s">
        <v>684</v>
      </c>
      <c r="K610">
        <v>24</v>
      </c>
    </row>
    <row r="611" spans="1:19" x14ac:dyDescent="0.25">
      <c r="A611" t="s">
        <v>688</v>
      </c>
      <c r="B611" t="s">
        <v>20</v>
      </c>
      <c r="D611" t="s">
        <v>20</v>
      </c>
      <c r="E611">
        <v>4</v>
      </c>
      <c r="J611" t="s">
        <v>684</v>
      </c>
      <c r="K611">
        <v>24</v>
      </c>
    </row>
    <row r="612" spans="1:19" x14ac:dyDescent="0.25">
      <c r="A612" t="s">
        <v>689</v>
      </c>
      <c r="B612" t="s">
        <v>20</v>
      </c>
      <c r="D612" t="s">
        <v>20</v>
      </c>
      <c r="E612">
        <v>5</v>
      </c>
      <c r="J612" t="s">
        <v>684</v>
      </c>
      <c r="K612">
        <v>24</v>
      </c>
    </row>
    <row r="613" spans="1:19" x14ac:dyDescent="0.25">
      <c r="A613" t="s">
        <v>690</v>
      </c>
      <c r="B613" t="s">
        <v>77</v>
      </c>
      <c r="D613" t="s">
        <v>77</v>
      </c>
      <c r="E613">
        <v>1</v>
      </c>
      <c r="J613" t="s">
        <v>684</v>
      </c>
      <c r="K613">
        <v>24</v>
      </c>
    </row>
    <row r="614" spans="1:19" x14ac:dyDescent="0.25">
      <c r="A614" t="s">
        <v>691</v>
      </c>
      <c r="B614" t="s">
        <v>77</v>
      </c>
      <c r="D614" t="s">
        <v>77</v>
      </c>
      <c r="E614">
        <v>2</v>
      </c>
      <c r="J614" t="s">
        <v>686</v>
      </c>
      <c r="K614">
        <v>21</v>
      </c>
    </row>
    <row r="615" spans="1:19" x14ac:dyDescent="0.25">
      <c r="A615" t="s">
        <v>692</v>
      </c>
      <c r="B615" t="s">
        <v>77</v>
      </c>
      <c r="D615" t="s">
        <v>77</v>
      </c>
      <c r="E615">
        <v>3</v>
      </c>
      <c r="J615" t="s">
        <v>684</v>
      </c>
      <c r="K615">
        <v>24</v>
      </c>
    </row>
    <row r="616" spans="1:19" x14ac:dyDescent="0.25">
      <c r="A616" t="s">
        <v>693</v>
      </c>
      <c r="B616" t="s">
        <v>77</v>
      </c>
      <c r="D616" t="s">
        <v>77</v>
      </c>
      <c r="E616">
        <v>4</v>
      </c>
      <c r="J616" t="s">
        <v>684</v>
      </c>
      <c r="K616">
        <v>24</v>
      </c>
    </row>
    <row r="617" spans="1:19" x14ac:dyDescent="0.25">
      <c r="A617" t="s">
        <v>694</v>
      </c>
      <c r="B617" t="s">
        <v>77</v>
      </c>
      <c r="D617" t="s">
        <v>77</v>
      </c>
      <c r="E617">
        <v>5</v>
      </c>
      <c r="J617" t="s">
        <v>684</v>
      </c>
      <c r="K617">
        <v>24</v>
      </c>
    </row>
    <row r="618" spans="1:19" hidden="1" x14ac:dyDescent="0.25">
      <c r="A618" t="s">
        <v>695</v>
      </c>
      <c r="B618" t="s">
        <v>87</v>
      </c>
    </row>
    <row r="619" spans="1:19" hidden="1" x14ac:dyDescent="0.25">
      <c r="A619" t="s">
        <v>696</v>
      </c>
      <c r="B619" t="s">
        <v>173</v>
      </c>
    </row>
    <row r="620" spans="1:19" x14ac:dyDescent="0.25">
      <c r="A620" t="s">
        <v>697</v>
      </c>
      <c r="B620" t="s">
        <v>46</v>
      </c>
      <c r="D620" t="s">
        <v>46</v>
      </c>
      <c r="J620">
        <v>48</v>
      </c>
      <c r="K620">
        <v>48</v>
      </c>
    </row>
    <row r="621" spans="1:19" x14ac:dyDescent="0.25">
      <c r="A621" t="s">
        <v>698</v>
      </c>
      <c r="B621" t="s">
        <v>46</v>
      </c>
      <c r="D621" t="s">
        <v>46</v>
      </c>
      <c r="J621">
        <v>68</v>
      </c>
      <c r="K621">
        <v>68</v>
      </c>
    </row>
    <row r="622" spans="1:19" x14ac:dyDescent="0.25">
      <c r="A622" t="s">
        <v>699</v>
      </c>
      <c r="B622" t="s">
        <v>77</v>
      </c>
      <c r="C622" t="s">
        <v>85</v>
      </c>
      <c r="D622" t="s">
        <v>77</v>
      </c>
      <c r="J622">
        <v>48</v>
      </c>
      <c r="K622">
        <v>48</v>
      </c>
    </row>
    <row r="623" spans="1:19" x14ac:dyDescent="0.25">
      <c r="A623" t="s">
        <v>700</v>
      </c>
      <c r="B623" t="s">
        <v>77</v>
      </c>
      <c r="C623" t="s">
        <v>85</v>
      </c>
      <c r="D623" t="s">
        <v>77</v>
      </c>
      <c r="J623">
        <v>48</v>
      </c>
      <c r="K623">
        <v>48</v>
      </c>
      <c r="S623" t="s">
        <v>290</v>
      </c>
    </row>
    <row r="624" spans="1:19" x14ac:dyDescent="0.25">
      <c r="A624" t="s">
        <v>701</v>
      </c>
      <c r="B624" t="s">
        <v>77</v>
      </c>
      <c r="C624" t="s">
        <v>85</v>
      </c>
      <c r="D624" t="s">
        <v>77</v>
      </c>
      <c r="J624">
        <v>48</v>
      </c>
      <c r="K624">
        <v>48</v>
      </c>
      <c r="S624" t="s">
        <v>292</v>
      </c>
    </row>
    <row r="625" spans="1:19" x14ac:dyDescent="0.25">
      <c r="A625" t="s">
        <v>702</v>
      </c>
      <c r="B625" t="s">
        <v>77</v>
      </c>
      <c r="D625" t="s">
        <v>77</v>
      </c>
      <c r="J625">
        <v>56</v>
      </c>
      <c r="K625">
        <v>56</v>
      </c>
    </row>
    <row r="626" spans="1:19" x14ac:dyDescent="0.25">
      <c r="A626" t="s">
        <v>703</v>
      </c>
      <c r="B626" t="s">
        <v>77</v>
      </c>
      <c r="D626" t="s">
        <v>77</v>
      </c>
      <c r="J626">
        <v>68</v>
      </c>
      <c r="K626">
        <v>68</v>
      </c>
    </row>
    <row r="627" spans="1:19" x14ac:dyDescent="0.25">
      <c r="A627" t="s">
        <v>704</v>
      </c>
      <c r="B627" t="s">
        <v>77</v>
      </c>
      <c r="C627" t="s">
        <v>85</v>
      </c>
      <c r="D627" t="s">
        <v>77</v>
      </c>
      <c r="J627">
        <v>56</v>
      </c>
      <c r="K627">
        <v>56</v>
      </c>
    </row>
    <row r="628" spans="1:19" hidden="1" x14ac:dyDescent="0.25">
      <c r="A628" t="s">
        <v>705</v>
      </c>
      <c r="B628" t="s">
        <v>341</v>
      </c>
    </row>
    <row r="629" spans="1:19" hidden="1" x14ac:dyDescent="0.25">
      <c r="A629" t="s">
        <v>706</v>
      </c>
      <c r="B629" t="s">
        <v>341</v>
      </c>
    </row>
    <row r="630" spans="1:19" hidden="1" x14ac:dyDescent="0.25">
      <c r="A630" t="s">
        <v>707</v>
      </c>
      <c r="B630" t="s">
        <v>341</v>
      </c>
    </row>
    <row r="631" spans="1:19" hidden="1" x14ac:dyDescent="0.25">
      <c r="A631" t="s">
        <v>708</v>
      </c>
      <c r="B631" t="s">
        <v>341</v>
      </c>
    </row>
    <row r="632" spans="1:19" x14ac:dyDescent="0.25">
      <c r="A632" t="s">
        <v>709</v>
      </c>
      <c r="B632" t="s">
        <v>77</v>
      </c>
      <c r="C632" t="s">
        <v>85</v>
      </c>
      <c r="D632" t="s">
        <v>77</v>
      </c>
      <c r="J632">
        <v>48</v>
      </c>
      <c r="K632">
        <v>48</v>
      </c>
      <c r="S632" t="s">
        <v>294</v>
      </c>
    </row>
    <row r="633" spans="1:19" x14ac:dyDescent="0.25">
      <c r="A633" t="s">
        <v>710</v>
      </c>
      <c r="B633" t="s">
        <v>20</v>
      </c>
      <c r="D633" t="s">
        <v>20</v>
      </c>
      <c r="E633">
        <v>1</v>
      </c>
      <c r="J633" t="s">
        <v>490</v>
      </c>
      <c r="K633">
        <v>24</v>
      </c>
    </row>
    <row r="634" spans="1:19" x14ac:dyDescent="0.25">
      <c r="A634" t="s">
        <v>711</v>
      </c>
      <c r="B634" t="s">
        <v>20</v>
      </c>
      <c r="D634" t="s">
        <v>20</v>
      </c>
      <c r="E634">
        <v>2</v>
      </c>
      <c r="J634" t="s">
        <v>490</v>
      </c>
      <c r="K634">
        <v>24</v>
      </c>
    </row>
    <row r="635" spans="1:19" x14ac:dyDescent="0.25">
      <c r="A635" t="s">
        <v>712</v>
      </c>
      <c r="B635" t="s">
        <v>77</v>
      </c>
      <c r="D635" t="s">
        <v>77</v>
      </c>
      <c r="E635">
        <v>1</v>
      </c>
      <c r="J635" t="s">
        <v>490</v>
      </c>
      <c r="K635">
        <v>24</v>
      </c>
    </row>
    <row r="636" spans="1:19" x14ac:dyDescent="0.25">
      <c r="A636" t="s">
        <v>713</v>
      </c>
      <c r="B636" t="s">
        <v>77</v>
      </c>
      <c r="D636" t="s">
        <v>77</v>
      </c>
      <c r="E636">
        <v>2</v>
      </c>
      <c r="J636" t="s">
        <v>490</v>
      </c>
      <c r="K636">
        <v>24</v>
      </c>
    </row>
    <row r="637" spans="1:19" hidden="1" x14ac:dyDescent="0.25">
      <c r="A637" t="s">
        <v>714</v>
      </c>
      <c r="B637" t="s">
        <v>87</v>
      </c>
    </row>
    <row r="638" spans="1:19" hidden="1" x14ac:dyDescent="0.25">
      <c r="A638" t="s">
        <v>715</v>
      </c>
      <c r="B638" t="s">
        <v>87</v>
      </c>
    </row>
    <row r="639" spans="1:19" hidden="1" x14ac:dyDescent="0.25">
      <c r="A639" t="s">
        <v>716</v>
      </c>
      <c r="B639" t="s">
        <v>87</v>
      </c>
    </row>
    <row r="640" spans="1:19" hidden="1" x14ac:dyDescent="0.25">
      <c r="A640" t="s">
        <v>717</v>
      </c>
      <c r="B640" t="s">
        <v>87</v>
      </c>
    </row>
    <row r="641" spans="1:11" hidden="1" x14ac:dyDescent="0.25">
      <c r="A641" t="s">
        <v>718</v>
      </c>
      <c r="B641" t="s">
        <v>87</v>
      </c>
    </row>
    <row r="642" spans="1:11" hidden="1" x14ac:dyDescent="0.25">
      <c r="A642" t="s">
        <v>719</v>
      </c>
      <c r="B642" t="s">
        <v>87</v>
      </c>
    </row>
    <row r="643" spans="1:11" hidden="1" x14ac:dyDescent="0.25">
      <c r="A643" t="s">
        <v>720</v>
      </c>
      <c r="B643" t="s">
        <v>341</v>
      </c>
    </row>
    <row r="644" spans="1:11" hidden="1" x14ac:dyDescent="0.25">
      <c r="A644" t="s">
        <v>470</v>
      </c>
      <c r="B644" t="s">
        <v>87</v>
      </c>
    </row>
    <row r="645" spans="1:11" hidden="1" x14ac:dyDescent="0.25">
      <c r="A645" t="s">
        <v>721</v>
      </c>
      <c r="B645" t="s">
        <v>95</v>
      </c>
    </row>
    <row r="646" spans="1:11" x14ac:dyDescent="0.25">
      <c r="A646" t="s">
        <v>722</v>
      </c>
      <c r="B646" t="s">
        <v>77</v>
      </c>
      <c r="D646" t="s">
        <v>77</v>
      </c>
    </row>
    <row r="647" spans="1:11" hidden="1" x14ac:dyDescent="0.25">
      <c r="A647" t="s">
        <v>723</v>
      </c>
      <c r="B647" t="s">
        <v>87</v>
      </c>
    </row>
    <row r="648" spans="1:11" hidden="1" x14ac:dyDescent="0.25">
      <c r="A648" t="s">
        <v>724</v>
      </c>
      <c r="B648" t="s">
        <v>87</v>
      </c>
    </row>
    <row r="649" spans="1:11" hidden="1" x14ac:dyDescent="0.25">
      <c r="A649" t="s">
        <v>725</v>
      </c>
      <c r="B649" t="s">
        <v>87</v>
      </c>
    </row>
    <row r="650" spans="1:11" x14ac:dyDescent="0.25">
      <c r="A650" t="s">
        <v>726</v>
      </c>
      <c r="B650" t="s">
        <v>77</v>
      </c>
      <c r="D650" t="s">
        <v>77</v>
      </c>
      <c r="J650" t="s">
        <v>727</v>
      </c>
      <c r="K650">
        <v>20</v>
      </c>
    </row>
    <row r="651" spans="1:11" x14ac:dyDescent="0.25">
      <c r="A651" t="s">
        <v>728</v>
      </c>
      <c r="B651" t="s">
        <v>77</v>
      </c>
      <c r="D651" t="s">
        <v>77</v>
      </c>
      <c r="E651">
        <v>12</v>
      </c>
    </row>
    <row r="652" spans="1:11" hidden="1" x14ac:dyDescent="0.25">
      <c r="A652" t="s">
        <v>729</v>
      </c>
      <c r="B652" t="s">
        <v>87</v>
      </c>
    </row>
    <row r="653" spans="1:11" hidden="1" x14ac:dyDescent="0.25">
      <c r="A653" t="s">
        <v>730</v>
      </c>
      <c r="B653" t="s">
        <v>87</v>
      </c>
    </row>
    <row r="654" spans="1:11" hidden="1" x14ac:dyDescent="0.25">
      <c r="A654" t="s">
        <v>731</v>
      </c>
      <c r="B654" t="s">
        <v>95</v>
      </c>
    </row>
    <row r="655" spans="1:11" hidden="1" x14ac:dyDescent="0.25">
      <c r="A655" t="s">
        <v>732</v>
      </c>
      <c r="B655" t="s">
        <v>341</v>
      </c>
    </row>
    <row r="656" spans="1:11" x14ac:dyDescent="0.25">
      <c r="A656" t="s">
        <v>733</v>
      </c>
      <c r="B656" t="s">
        <v>77</v>
      </c>
      <c r="D656" t="s">
        <v>77</v>
      </c>
      <c r="E656">
        <v>1</v>
      </c>
      <c r="J656" t="s">
        <v>560</v>
      </c>
      <c r="K656">
        <v>18</v>
      </c>
    </row>
    <row r="657" spans="1:11" x14ac:dyDescent="0.25">
      <c r="A657" t="s">
        <v>734</v>
      </c>
      <c r="B657" t="s">
        <v>77</v>
      </c>
      <c r="D657" t="s">
        <v>77</v>
      </c>
      <c r="E657">
        <v>2</v>
      </c>
      <c r="J657" t="s">
        <v>560</v>
      </c>
      <c r="K657">
        <v>18</v>
      </c>
    </row>
    <row r="658" spans="1:11" x14ac:dyDescent="0.25">
      <c r="A658" t="s">
        <v>735</v>
      </c>
      <c r="B658" t="s">
        <v>77</v>
      </c>
      <c r="D658" t="s">
        <v>77</v>
      </c>
      <c r="E658">
        <v>4</v>
      </c>
      <c r="J658" t="s">
        <v>560</v>
      </c>
      <c r="K658">
        <v>18</v>
      </c>
    </row>
    <row r="659" spans="1:11" x14ac:dyDescent="0.25">
      <c r="A659" t="s">
        <v>736</v>
      </c>
      <c r="B659" t="s">
        <v>77</v>
      </c>
      <c r="D659" t="s">
        <v>77</v>
      </c>
      <c r="E659">
        <v>5</v>
      </c>
      <c r="J659" t="s">
        <v>612</v>
      </c>
      <c r="K659">
        <v>21</v>
      </c>
    </row>
    <row r="660" spans="1:11" x14ac:dyDescent="0.25">
      <c r="A660" t="s">
        <v>737</v>
      </c>
      <c r="B660" t="s">
        <v>77</v>
      </c>
      <c r="D660" t="s">
        <v>77</v>
      </c>
      <c r="E660">
        <v>6</v>
      </c>
      <c r="J660" t="s">
        <v>612</v>
      </c>
      <c r="K660">
        <v>21</v>
      </c>
    </row>
    <row r="661" spans="1:11" x14ac:dyDescent="0.25">
      <c r="A661" t="s">
        <v>738</v>
      </c>
      <c r="B661" t="s">
        <v>20</v>
      </c>
      <c r="D661" t="s">
        <v>20</v>
      </c>
      <c r="E661">
        <v>7</v>
      </c>
      <c r="J661" t="s">
        <v>739</v>
      </c>
      <c r="K661">
        <v>21</v>
      </c>
    </row>
    <row r="662" spans="1:11" x14ac:dyDescent="0.25">
      <c r="A662" t="s">
        <v>740</v>
      </c>
      <c r="B662" t="s">
        <v>20</v>
      </c>
      <c r="D662" t="s">
        <v>20</v>
      </c>
      <c r="E662">
        <v>8</v>
      </c>
    </row>
    <row r="663" spans="1:11" x14ac:dyDescent="0.25">
      <c r="A663" t="s">
        <v>741</v>
      </c>
      <c r="B663" t="s">
        <v>20</v>
      </c>
      <c r="D663" t="s">
        <v>20</v>
      </c>
      <c r="E663">
        <v>9</v>
      </c>
    </row>
    <row r="664" spans="1:11" x14ac:dyDescent="0.25">
      <c r="A664" t="s">
        <v>742</v>
      </c>
      <c r="B664" t="s">
        <v>20</v>
      </c>
      <c r="D664" t="s">
        <v>20</v>
      </c>
      <c r="E664">
        <v>10</v>
      </c>
    </row>
    <row r="665" spans="1:11" x14ac:dyDescent="0.25">
      <c r="A665" t="s">
        <v>743</v>
      </c>
      <c r="B665" t="s">
        <v>20</v>
      </c>
      <c r="D665" t="s">
        <v>20</v>
      </c>
      <c r="E665">
        <v>11</v>
      </c>
    </row>
    <row r="666" spans="1:11" x14ac:dyDescent="0.25">
      <c r="A666" t="s">
        <v>744</v>
      </c>
      <c r="B666" t="s">
        <v>77</v>
      </c>
      <c r="D666" t="s">
        <v>77</v>
      </c>
      <c r="E666">
        <v>7</v>
      </c>
      <c r="J666" t="s">
        <v>612</v>
      </c>
      <c r="K666">
        <v>21</v>
      </c>
    </row>
    <row r="667" spans="1:11" x14ac:dyDescent="0.25">
      <c r="A667" t="s">
        <v>745</v>
      </c>
      <c r="B667" t="s">
        <v>77</v>
      </c>
      <c r="D667" t="s">
        <v>77</v>
      </c>
      <c r="E667">
        <v>8</v>
      </c>
      <c r="J667" t="s">
        <v>612</v>
      </c>
      <c r="K667">
        <v>21</v>
      </c>
    </row>
    <row r="668" spans="1:11" x14ac:dyDescent="0.25">
      <c r="A668" t="s">
        <v>746</v>
      </c>
      <c r="B668" t="s">
        <v>77</v>
      </c>
      <c r="D668" t="s">
        <v>77</v>
      </c>
      <c r="E668">
        <v>9</v>
      </c>
      <c r="J668" t="s">
        <v>612</v>
      </c>
      <c r="K668">
        <v>21</v>
      </c>
    </row>
    <row r="669" spans="1:11" x14ac:dyDescent="0.25">
      <c r="A669" t="s">
        <v>747</v>
      </c>
      <c r="B669" t="s">
        <v>77</v>
      </c>
      <c r="D669" t="s">
        <v>77</v>
      </c>
      <c r="E669">
        <v>10</v>
      </c>
      <c r="J669" t="s">
        <v>612</v>
      </c>
      <c r="K669">
        <v>21</v>
      </c>
    </row>
    <row r="670" spans="1:11" x14ac:dyDescent="0.25">
      <c r="A670" t="s">
        <v>748</v>
      </c>
      <c r="B670" t="s">
        <v>77</v>
      </c>
      <c r="D670" t="s">
        <v>77</v>
      </c>
      <c r="E670">
        <v>11</v>
      </c>
      <c r="J670" t="s">
        <v>612</v>
      </c>
      <c r="K670">
        <v>21</v>
      </c>
    </row>
    <row r="671" spans="1:11" x14ac:dyDescent="0.25">
      <c r="A671" t="s">
        <v>749</v>
      </c>
      <c r="B671" t="s">
        <v>20</v>
      </c>
      <c r="D671" t="s">
        <v>20</v>
      </c>
      <c r="E671">
        <v>12</v>
      </c>
    </row>
    <row r="672" spans="1:11" x14ac:dyDescent="0.25">
      <c r="A672" t="s">
        <v>750</v>
      </c>
      <c r="B672" t="s">
        <v>77</v>
      </c>
      <c r="D672" t="s">
        <v>77</v>
      </c>
      <c r="E672">
        <v>12</v>
      </c>
      <c r="J672" t="s">
        <v>612</v>
      </c>
      <c r="K672">
        <v>21</v>
      </c>
    </row>
    <row r="673" spans="1:11" hidden="1" x14ac:dyDescent="0.25">
      <c r="A673" t="s">
        <v>751</v>
      </c>
      <c r="B673" t="s">
        <v>341</v>
      </c>
    </row>
    <row r="674" spans="1:11" hidden="1" x14ac:dyDescent="0.25">
      <c r="A674" t="s">
        <v>752</v>
      </c>
      <c r="B674" t="s">
        <v>341</v>
      </c>
    </row>
    <row r="675" spans="1:11" hidden="1" x14ac:dyDescent="0.25">
      <c r="A675" t="s">
        <v>753</v>
      </c>
      <c r="B675" t="s">
        <v>341</v>
      </c>
    </row>
    <row r="676" spans="1:11" hidden="1" x14ac:dyDescent="0.25">
      <c r="A676" t="s">
        <v>754</v>
      </c>
      <c r="B676" t="s">
        <v>87</v>
      </c>
    </row>
    <row r="677" spans="1:11" hidden="1" x14ac:dyDescent="0.25">
      <c r="A677" t="s">
        <v>755</v>
      </c>
      <c r="B677" t="s">
        <v>87</v>
      </c>
    </row>
    <row r="678" spans="1:11" hidden="1" x14ac:dyDescent="0.25">
      <c r="A678" t="s">
        <v>334</v>
      </c>
      <c r="B678" t="s">
        <v>173</v>
      </c>
    </row>
    <row r="679" spans="1:11" hidden="1" x14ac:dyDescent="0.25">
      <c r="A679" t="s">
        <v>756</v>
      </c>
      <c r="B679" t="s">
        <v>173</v>
      </c>
    </row>
    <row r="680" spans="1:11" hidden="1" x14ac:dyDescent="0.25">
      <c r="A680" t="s">
        <v>757</v>
      </c>
      <c r="B680" t="s">
        <v>173</v>
      </c>
    </row>
    <row r="681" spans="1:11" x14ac:dyDescent="0.25">
      <c r="A681" t="s">
        <v>758</v>
      </c>
      <c r="B681" t="s">
        <v>77</v>
      </c>
      <c r="D681" t="s">
        <v>77</v>
      </c>
      <c r="E681">
        <v>4</v>
      </c>
      <c r="J681" t="s">
        <v>490</v>
      </c>
      <c r="K681">
        <v>24</v>
      </c>
    </row>
    <row r="682" spans="1:11" x14ac:dyDescent="0.25">
      <c r="A682" t="s">
        <v>759</v>
      </c>
      <c r="B682" t="s">
        <v>77</v>
      </c>
      <c r="D682" t="s">
        <v>77</v>
      </c>
      <c r="I682" t="s">
        <v>249</v>
      </c>
    </row>
    <row r="683" spans="1:11" hidden="1" x14ac:dyDescent="0.25">
      <c r="A683" t="s">
        <v>760</v>
      </c>
      <c r="B683" t="s">
        <v>95</v>
      </c>
    </row>
    <row r="684" spans="1:11" hidden="1" x14ac:dyDescent="0.25">
      <c r="A684" t="s">
        <v>761</v>
      </c>
      <c r="B684" t="s">
        <v>173</v>
      </c>
    </row>
    <row r="685" spans="1:11" hidden="1" x14ac:dyDescent="0.25">
      <c r="A685" t="s">
        <v>762</v>
      </c>
      <c r="B685" t="s">
        <v>341</v>
      </c>
    </row>
    <row r="686" spans="1:11" hidden="1" x14ac:dyDescent="0.25">
      <c r="A686" t="s">
        <v>763</v>
      </c>
      <c r="B686" t="s">
        <v>16</v>
      </c>
    </row>
    <row r="687" spans="1:11" hidden="1" x14ac:dyDescent="0.25">
      <c r="A687" t="s">
        <v>764</v>
      </c>
      <c r="B687" t="s">
        <v>16</v>
      </c>
    </row>
    <row r="688" spans="1:11" hidden="1" x14ac:dyDescent="0.25">
      <c r="A688" t="s">
        <v>201</v>
      </c>
      <c r="B688" t="s">
        <v>173</v>
      </c>
    </row>
    <row r="689" spans="1:11" hidden="1" x14ac:dyDescent="0.25">
      <c r="A689" t="s">
        <v>200</v>
      </c>
      <c r="B689" t="s">
        <v>173</v>
      </c>
    </row>
    <row r="690" spans="1:11" hidden="1" x14ac:dyDescent="0.25">
      <c r="A690" t="s">
        <v>765</v>
      </c>
      <c r="B690" t="s">
        <v>173</v>
      </c>
    </row>
    <row r="691" spans="1:11" x14ac:dyDescent="0.25">
      <c r="A691" t="s">
        <v>766</v>
      </c>
      <c r="B691" t="s">
        <v>20</v>
      </c>
      <c r="D691" t="s">
        <v>20</v>
      </c>
      <c r="E691">
        <v>2</v>
      </c>
      <c r="J691" t="s">
        <v>684</v>
      </c>
      <c r="K691">
        <v>24</v>
      </c>
    </row>
    <row r="692" spans="1:11" hidden="1" x14ac:dyDescent="0.25">
      <c r="A692" t="s">
        <v>767</v>
      </c>
      <c r="B692" t="s">
        <v>173</v>
      </c>
    </row>
    <row r="693" spans="1:11" hidden="1" x14ac:dyDescent="0.25">
      <c r="A693" t="s">
        <v>768</v>
      </c>
      <c r="B693" t="s">
        <v>173</v>
      </c>
    </row>
    <row r="694" spans="1:11" hidden="1" x14ac:dyDescent="0.25">
      <c r="A694" t="s">
        <v>769</v>
      </c>
      <c r="B694" t="s">
        <v>87</v>
      </c>
    </row>
    <row r="695" spans="1:11" hidden="1" x14ac:dyDescent="0.25">
      <c r="A695" t="s">
        <v>770</v>
      </c>
      <c r="B695" t="s">
        <v>87</v>
      </c>
    </row>
    <row r="696" spans="1:11" x14ac:dyDescent="0.25">
      <c r="A696" t="s">
        <v>771</v>
      </c>
      <c r="B696" t="s">
        <v>77</v>
      </c>
      <c r="D696" t="s">
        <v>77</v>
      </c>
      <c r="J696" t="s">
        <v>772</v>
      </c>
      <c r="K696">
        <v>16</v>
      </c>
    </row>
    <row r="697" spans="1:11" hidden="1" x14ac:dyDescent="0.25">
      <c r="A697" t="s">
        <v>773</v>
      </c>
    </row>
    <row r="698" spans="1:11" hidden="1" x14ac:dyDescent="0.25">
      <c r="A698" t="s">
        <v>774</v>
      </c>
      <c r="B698" t="s">
        <v>87</v>
      </c>
    </row>
    <row r="699" spans="1:11" hidden="1" x14ac:dyDescent="0.25">
      <c r="A699" t="s">
        <v>775</v>
      </c>
      <c r="B699" t="s">
        <v>87</v>
      </c>
    </row>
    <row r="700" spans="1:11" x14ac:dyDescent="0.25">
      <c r="A700" t="s">
        <v>776</v>
      </c>
      <c r="B700" t="s">
        <v>20</v>
      </c>
      <c r="D700" t="s">
        <v>20</v>
      </c>
      <c r="E700">
        <v>3</v>
      </c>
      <c r="J700" t="s">
        <v>448</v>
      </c>
      <c r="K700">
        <v>27</v>
      </c>
    </row>
    <row r="701" spans="1:11" x14ac:dyDescent="0.25">
      <c r="A701" t="s">
        <v>777</v>
      </c>
      <c r="B701" t="s">
        <v>20</v>
      </c>
      <c r="D701" t="s">
        <v>20</v>
      </c>
      <c r="E701">
        <v>2</v>
      </c>
      <c r="J701" t="s">
        <v>448</v>
      </c>
      <c r="K701">
        <v>27</v>
      </c>
    </row>
    <row r="702" spans="1:11" x14ac:dyDescent="0.25">
      <c r="A702" t="s">
        <v>778</v>
      </c>
      <c r="B702" t="s">
        <v>20</v>
      </c>
      <c r="D702" t="s">
        <v>20</v>
      </c>
      <c r="E702">
        <v>1</v>
      </c>
      <c r="J702" t="s">
        <v>448</v>
      </c>
      <c r="K702">
        <v>27</v>
      </c>
    </row>
    <row r="703" spans="1:11" x14ac:dyDescent="0.25">
      <c r="A703" t="s">
        <v>779</v>
      </c>
      <c r="B703" t="s">
        <v>77</v>
      </c>
      <c r="D703" t="s">
        <v>77</v>
      </c>
      <c r="E703">
        <v>1</v>
      </c>
      <c r="J703" t="s">
        <v>448</v>
      </c>
      <c r="K703">
        <v>27</v>
      </c>
    </row>
    <row r="704" spans="1:11" x14ac:dyDescent="0.25">
      <c r="A704" t="s">
        <v>780</v>
      </c>
      <c r="B704" t="s">
        <v>77</v>
      </c>
      <c r="D704" t="s">
        <v>77</v>
      </c>
      <c r="E704">
        <v>2</v>
      </c>
      <c r="J704" t="s">
        <v>448</v>
      </c>
      <c r="K704">
        <v>27</v>
      </c>
    </row>
    <row r="705" spans="1:11" hidden="1" x14ac:dyDescent="0.25">
      <c r="A705" t="s">
        <v>781</v>
      </c>
      <c r="B705" t="s">
        <v>87</v>
      </c>
    </row>
    <row r="706" spans="1:11" hidden="1" x14ac:dyDescent="0.25">
      <c r="A706" t="s">
        <v>396</v>
      </c>
      <c r="B706" t="s">
        <v>173</v>
      </c>
    </row>
    <row r="707" spans="1:11" x14ac:dyDescent="0.25">
      <c r="A707" t="s">
        <v>782</v>
      </c>
      <c r="B707" t="s">
        <v>20</v>
      </c>
      <c r="D707" t="s">
        <v>20</v>
      </c>
      <c r="E707">
        <v>1</v>
      </c>
      <c r="J707" t="s">
        <v>448</v>
      </c>
      <c r="K707">
        <v>27</v>
      </c>
    </row>
    <row r="708" spans="1:11" x14ac:dyDescent="0.25">
      <c r="A708" t="s">
        <v>783</v>
      </c>
      <c r="B708" t="s">
        <v>77</v>
      </c>
      <c r="D708" t="s">
        <v>77</v>
      </c>
      <c r="E708">
        <v>1</v>
      </c>
      <c r="J708" t="s">
        <v>448</v>
      </c>
      <c r="K708">
        <v>27</v>
      </c>
    </row>
    <row r="709" spans="1:11" x14ac:dyDescent="0.25">
      <c r="A709" t="s">
        <v>784</v>
      </c>
      <c r="B709" t="s">
        <v>20</v>
      </c>
      <c r="D709" t="s">
        <v>20</v>
      </c>
      <c r="E709">
        <v>2</v>
      </c>
      <c r="J709" t="s">
        <v>448</v>
      </c>
      <c r="K709">
        <v>27</v>
      </c>
    </row>
    <row r="710" spans="1:11" x14ac:dyDescent="0.25">
      <c r="A710" t="s">
        <v>785</v>
      </c>
      <c r="B710" t="s">
        <v>77</v>
      </c>
      <c r="D710" t="s">
        <v>77</v>
      </c>
      <c r="E710">
        <v>2</v>
      </c>
      <c r="J710" t="s">
        <v>448</v>
      </c>
      <c r="K710">
        <v>27</v>
      </c>
    </row>
    <row r="711" spans="1:11" x14ac:dyDescent="0.25">
      <c r="A711" t="s">
        <v>786</v>
      </c>
      <c r="B711" t="s">
        <v>77</v>
      </c>
      <c r="D711" t="s">
        <v>77</v>
      </c>
      <c r="E711">
        <v>2</v>
      </c>
      <c r="J711" t="s">
        <v>684</v>
      </c>
      <c r="K711">
        <v>24</v>
      </c>
    </row>
    <row r="712" spans="1:11" x14ac:dyDescent="0.25">
      <c r="A712" t="s">
        <v>787</v>
      </c>
      <c r="B712" t="s">
        <v>20</v>
      </c>
      <c r="D712" t="s">
        <v>20</v>
      </c>
      <c r="E712">
        <v>1</v>
      </c>
      <c r="J712" t="s">
        <v>788</v>
      </c>
      <c r="K712">
        <v>35</v>
      </c>
    </row>
    <row r="713" spans="1:11" x14ac:dyDescent="0.25">
      <c r="A713" t="s">
        <v>789</v>
      </c>
      <c r="B713" t="s">
        <v>77</v>
      </c>
      <c r="D713" t="s">
        <v>77</v>
      </c>
      <c r="E713">
        <v>1</v>
      </c>
      <c r="J713" t="s">
        <v>788</v>
      </c>
      <c r="K713">
        <v>35</v>
      </c>
    </row>
    <row r="714" spans="1:11" hidden="1" x14ac:dyDescent="0.25">
      <c r="A714" t="s">
        <v>790</v>
      </c>
      <c r="B714" t="s">
        <v>173</v>
      </c>
    </row>
    <row r="715" spans="1:11" hidden="1" x14ac:dyDescent="0.25">
      <c r="A715" t="s">
        <v>791</v>
      </c>
      <c r="B715" t="s">
        <v>173</v>
      </c>
    </row>
    <row r="716" spans="1:11" hidden="1" x14ac:dyDescent="0.25">
      <c r="A716" t="s">
        <v>792</v>
      </c>
      <c r="B716" t="s">
        <v>173</v>
      </c>
    </row>
    <row r="717" spans="1:11" hidden="1" x14ac:dyDescent="0.25">
      <c r="A717" t="s">
        <v>793</v>
      </c>
      <c r="B717" t="s">
        <v>173</v>
      </c>
    </row>
    <row r="718" spans="1:11" hidden="1" x14ac:dyDescent="0.25">
      <c r="A718" t="s">
        <v>794</v>
      </c>
      <c r="B718" t="s">
        <v>173</v>
      </c>
    </row>
    <row r="719" spans="1:11" hidden="1" x14ac:dyDescent="0.25">
      <c r="A719" t="s">
        <v>795</v>
      </c>
      <c r="B719" t="s">
        <v>173</v>
      </c>
    </row>
    <row r="720" spans="1:11" hidden="1" x14ac:dyDescent="0.25">
      <c r="A720" t="s">
        <v>796</v>
      </c>
      <c r="B720" t="s">
        <v>173</v>
      </c>
    </row>
    <row r="721" spans="1:18" hidden="1" x14ac:dyDescent="0.25">
      <c r="A721" t="s">
        <v>797</v>
      </c>
      <c r="B721" t="s">
        <v>173</v>
      </c>
    </row>
    <row r="722" spans="1:18" hidden="1" x14ac:dyDescent="0.25">
      <c r="A722" t="s">
        <v>798</v>
      </c>
      <c r="B722" t="s">
        <v>341</v>
      </c>
    </row>
    <row r="723" spans="1:18" hidden="1" x14ac:dyDescent="0.25">
      <c r="A723" t="s">
        <v>799</v>
      </c>
      <c r="B723" t="s">
        <v>341</v>
      </c>
    </row>
    <row r="724" spans="1:18" hidden="1" x14ac:dyDescent="0.25">
      <c r="A724" t="s">
        <v>800</v>
      </c>
      <c r="B724" t="s">
        <v>341</v>
      </c>
    </row>
    <row r="725" spans="1:18" hidden="1" x14ac:dyDescent="0.25">
      <c r="A725" t="s">
        <v>801</v>
      </c>
      <c r="B725" t="s">
        <v>341</v>
      </c>
    </row>
    <row r="726" spans="1:18" x14ac:dyDescent="0.25">
      <c r="A726" t="s">
        <v>802</v>
      </c>
      <c r="B726" t="s">
        <v>77</v>
      </c>
      <c r="C726" t="s">
        <v>85</v>
      </c>
      <c r="D726" t="s">
        <v>77</v>
      </c>
      <c r="J726">
        <v>60</v>
      </c>
      <c r="K726">
        <v>60</v>
      </c>
    </row>
    <row r="727" spans="1:18" hidden="1" x14ac:dyDescent="0.25">
      <c r="A727" t="s">
        <v>803</v>
      </c>
      <c r="B727" t="s">
        <v>173</v>
      </c>
    </row>
    <row r="728" spans="1:18" hidden="1" x14ac:dyDescent="0.25">
      <c r="A728" t="s">
        <v>804</v>
      </c>
      <c r="B728" t="s">
        <v>87</v>
      </c>
    </row>
    <row r="729" spans="1:18" x14ac:dyDescent="0.25">
      <c r="A729" t="s">
        <v>805</v>
      </c>
      <c r="B729" t="s">
        <v>46</v>
      </c>
      <c r="D729" t="s">
        <v>46</v>
      </c>
      <c r="J729">
        <v>54</v>
      </c>
      <c r="K729">
        <v>54</v>
      </c>
      <c r="R729" t="s">
        <v>108</v>
      </c>
    </row>
    <row r="730" spans="1:18" x14ac:dyDescent="0.25">
      <c r="A730" t="s">
        <v>806</v>
      </c>
      <c r="B730" t="s">
        <v>77</v>
      </c>
      <c r="D730" t="s">
        <v>77</v>
      </c>
      <c r="J730">
        <v>54</v>
      </c>
      <c r="K730">
        <v>54</v>
      </c>
      <c r="R730" t="s">
        <v>108</v>
      </c>
    </row>
    <row r="731" spans="1:18" hidden="1" x14ac:dyDescent="0.25">
      <c r="A731" t="s">
        <v>807</v>
      </c>
      <c r="B731" t="s">
        <v>87</v>
      </c>
    </row>
    <row r="732" spans="1:18" hidden="1" x14ac:dyDescent="0.25">
      <c r="A732" t="s">
        <v>808</v>
      </c>
      <c r="B732" t="s">
        <v>173</v>
      </c>
    </row>
    <row r="733" spans="1:18" x14ac:dyDescent="0.25">
      <c r="A733" t="s">
        <v>809</v>
      </c>
      <c r="B733" t="s">
        <v>87</v>
      </c>
      <c r="D733" t="s">
        <v>77</v>
      </c>
      <c r="E733">
        <v>1</v>
      </c>
      <c r="M733">
        <v>20</v>
      </c>
      <c r="O733" t="s">
        <v>215</v>
      </c>
    </row>
    <row r="734" spans="1:18" x14ac:dyDescent="0.25">
      <c r="A734" t="s">
        <v>810</v>
      </c>
      <c r="B734" t="s">
        <v>46</v>
      </c>
      <c r="D734" t="s">
        <v>45</v>
      </c>
      <c r="E734">
        <v>1</v>
      </c>
    </row>
    <row r="735" spans="1:18" x14ac:dyDescent="0.25">
      <c r="A735" t="s">
        <v>811</v>
      </c>
      <c r="B735" t="s">
        <v>20</v>
      </c>
      <c r="D735" t="s">
        <v>20</v>
      </c>
      <c r="E735">
        <v>1</v>
      </c>
      <c r="Q735" t="s">
        <v>43</v>
      </c>
    </row>
    <row r="736" spans="1:18" x14ac:dyDescent="0.25">
      <c r="A736" t="s">
        <v>812</v>
      </c>
      <c r="B736" t="s">
        <v>20</v>
      </c>
      <c r="D736" t="s">
        <v>20</v>
      </c>
      <c r="E736">
        <v>1</v>
      </c>
      <c r="Q736" t="s">
        <v>41</v>
      </c>
    </row>
    <row r="737" spans="1:17" x14ac:dyDescent="0.25">
      <c r="A737" t="s">
        <v>813</v>
      </c>
      <c r="B737" t="s">
        <v>20</v>
      </c>
      <c r="D737" t="s">
        <v>20</v>
      </c>
      <c r="E737">
        <v>1</v>
      </c>
    </row>
    <row r="738" spans="1:17" x14ac:dyDescent="0.25">
      <c r="A738" t="s">
        <v>814</v>
      </c>
      <c r="B738" t="s">
        <v>20</v>
      </c>
      <c r="D738" t="s">
        <v>20</v>
      </c>
      <c r="E738">
        <v>1</v>
      </c>
    </row>
    <row r="739" spans="1:17" hidden="1" x14ac:dyDescent="0.25">
      <c r="A739" t="s">
        <v>815</v>
      </c>
      <c r="B739" t="s">
        <v>341</v>
      </c>
    </row>
    <row r="740" spans="1:17" hidden="1" x14ac:dyDescent="0.25">
      <c r="A740" t="s">
        <v>816</v>
      </c>
      <c r="B740" t="s">
        <v>95</v>
      </c>
    </row>
    <row r="741" spans="1:17" x14ac:dyDescent="0.25">
      <c r="A741" t="s">
        <v>817</v>
      </c>
      <c r="B741" t="s">
        <v>20</v>
      </c>
      <c r="D741" t="s">
        <v>20</v>
      </c>
      <c r="E741">
        <v>2</v>
      </c>
      <c r="Q741" t="s">
        <v>41</v>
      </c>
    </row>
    <row r="742" spans="1:17" x14ac:dyDescent="0.25">
      <c r="A742" t="s">
        <v>818</v>
      </c>
      <c r="B742" t="s">
        <v>20</v>
      </c>
      <c r="D742" t="s">
        <v>20</v>
      </c>
      <c r="E742">
        <v>2</v>
      </c>
      <c r="Q742" t="s">
        <v>43</v>
      </c>
    </row>
    <row r="743" spans="1:17" x14ac:dyDescent="0.25">
      <c r="A743" t="s">
        <v>819</v>
      </c>
      <c r="B743" t="s">
        <v>20</v>
      </c>
      <c r="D743" t="s">
        <v>20</v>
      </c>
      <c r="E743">
        <v>2</v>
      </c>
    </row>
    <row r="744" spans="1:17" x14ac:dyDescent="0.25">
      <c r="A744" t="s">
        <v>820</v>
      </c>
      <c r="B744" t="s">
        <v>20</v>
      </c>
      <c r="D744" t="s">
        <v>20</v>
      </c>
      <c r="E744">
        <v>2</v>
      </c>
    </row>
    <row r="745" spans="1:17" x14ac:dyDescent="0.25">
      <c r="A745" t="s">
        <v>821</v>
      </c>
      <c r="B745" t="s">
        <v>20</v>
      </c>
      <c r="D745" t="s">
        <v>44</v>
      </c>
      <c r="E745">
        <v>2</v>
      </c>
    </row>
    <row r="746" spans="1:17" x14ac:dyDescent="0.25">
      <c r="A746" t="s">
        <v>822</v>
      </c>
      <c r="B746" t="s">
        <v>46</v>
      </c>
      <c r="D746" t="s">
        <v>45</v>
      </c>
      <c r="E746">
        <v>2</v>
      </c>
    </row>
    <row r="747" spans="1:17" x14ac:dyDescent="0.25">
      <c r="A747" t="s">
        <v>823</v>
      </c>
      <c r="B747" t="s">
        <v>77</v>
      </c>
      <c r="D747" t="s">
        <v>77</v>
      </c>
      <c r="E747">
        <v>2</v>
      </c>
    </row>
    <row r="748" spans="1:17" x14ac:dyDescent="0.25">
      <c r="A748" t="s">
        <v>824</v>
      </c>
      <c r="B748" t="s">
        <v>87</v>
      </c>
      <c r="D748" t="s">
        <v>77</v>
      </c>
      <c r="E748">
        <v>2</v>
      </c>
      <c r="M748">
        <v>20</v>
      </c>
      <c r="O748" t="s">
        <v>215</v>
      </c>
    </row>
    <row r="749" spans="1:17" hidden="1" x14ac:dyDescent="0.25">
      <c r="A749" t="s">
        <v>825</v>
      </c>
      <c r="B749" t="s">
        <v>95</v>
      </c>
    </row>
    <row r="750" spans="1:17" hidden="1" x14ac:dyDescent="0.25">
      <c r="A750" t="s">
        <v>826</v>
      </c>
      <c r="B750" t="s">
        <v>341</v>
      </c>
    </row>
    <row r="751" spans="1:17" hidden="1" x14ac:dyDescent="0.25">
      <c r="A751" t="s">
        <v>827</v>
      </c>
      <c r="B751" t="s">
        <v>341</v>
      </c>
    </row>
    <row r="752" spans="1:17" hidden="1" x14ac:dyDescent="0.25">
      <c r="A752" t="s">
        <v>828</v>
      </c>
      <c r="B752" t="s">
        <v>341</v>
      </c>
    </row>
    <row r="753" spans="1:17" hidden="1" x14ac:dyDescent="0.25">
      <c r="A753" t="s">
        <v>829</v>
      </c>
      <c r="B753" t="s">
        <v>341</v>
      </c>
    </row>
    <row r="754" spans="1:17" hidden="1" x14ac:dyDescent="0.25">
      <c r="A754" t="s">
        <v>830</v>
      </c>
      <c r="B754" t="s">
        <v>341</v>
      </c>
    </row>
    <row r="755" spans="1:17" hidden="1" x14ac:dyDescent="0.25">
      <c r="A755" t="s">
        <v>831</v>
      </c>
      <c r="B755" t="s">
        <v>341</v>
      </c>
    </row>
    <row r="756" spans="1:17" hidden="1" x14ac:dyDescent="0.25">
      <c r="A756" t="s">
        <v>832</v>
      </c>
      <c r="B756" t="s">
        <v>341</v>
      </c>
    </row>
    <row r="757" spans="1:17" hidden="1" x14ac:dyDescent="0.25">
      <c r="A757" t="s">
        <v>833</v>
      </c>
      <c r="B757" t="s">
        <v>173</v>
      </c>
    </row>
    <row r="758" spans="1:17" hidden="1" x14ac:dyDescent="0.25">
      <c r="A758" t="s">
        <v>834</v>
      </c>
      <c r="B758" t="s">
        <v>173</v>
      </c>
    </row>
    <row r="759" spans="1:17" hidden="1" x14ac:dyDescent="0.25">
      <c r="A759" t="s">
        <v>835</v>
      </c>
      <c r="B759" t="s">
        <v>87</v>
      </c>
    </row>
    <row r="760" spans="1:17" hidden="1" x14ac:dyDescent="0.25">
      <c r="A760" t="s">
        <v>836</v>
      </c>
      <c r="B760" t="s">
        <v>87</v>
      </c>
    </row>
    <row r="761" spans="1:17" hidden="1" x14ac:dyDescent="0.25">
      <c r="A761" t="s">
        <v>837</v>
      </c>
      <c r="B761" t="s">
        <v>16</v>
      </c>
    </row>
    <row r="762" spans="1:17" x14ac:dyDescent="0.25">
      <c r="A762" t="s">
        <v>838</v>
      </c>
      <c r="B762" t="s">
        <v>77</v>
      </c>
      <c r="D762" t="s">
        <v>77</v>
      </c>
      <c r="I762" t="s">
        <v>249</v>
      </c>
    </row>
    <row r="763" spans="1:17" hidden="1" x14ac:dyDescent="0.25">
      <c r="A763" t="s">
        <v>761</v>
      </c>
      <c r="B763" t="s">
        <v>16</v>
      </c>
    </row>
    <row r="764" spans="1:17" hidden="1" x14ac:dyDescent="0.25">
      <c r="A764" t="s">
        <v>839</v>
      </c>
      <c r="B764" t="s">
        <v>16</v>
      </c>
    </row>
    <row r="765" spans="1:17" hidden="1" x14ac:dyDescent="0.25">
      <c r="A765" t="s">
        <v>840</v>
      </c>
      <c r="B765" t="s">
        <v>16</v>
      </c>
    </row>
    <row r="766" spans="1:17" hidden="1" x14ac:dyDescent="0.25">
      <c r="A766" t="s">
        <v>841</v>
      </c>
      <c r="B766" t="s">
        <v>341</v>
      </c>
    </row>
    <row r="767" spans="1:17" x14ac:dyDescent="0.25">
      <c r="A767" t="s">
        <v>842</v>
      </c>
      <c r="B767" t="s">
        <v>173</v>
      </c>
      <c r="D767" t="s">
        <v>77</v>
      </c>
      <c r="Q767" t="s">
        <v>83</v>
      </c>
    </row>
    <row r="768" spans="1:17" hidden="1" x14ac:dyDescent="0.25">
      <c r="A768" t="s">
        <v>843</v>
      </c>
      <c r="B768" t="s">
        <v>341</v>
      </c>
    </row>
    <row r="769" spans="1:17" hidden="1" x14ac:dyDescent="0.25">
      <c r="A769" t="s">
        <v>658</v>
      </c>
      <c r="B769" t="s">
        <v>341</v>
      </c>
    </row>
    <row r="770" spans="1:17" hidden="1" x14ac:dyDescent="0.25">
      <c r="A770" t="s">
        <v>844</v>
      </c>
      <c r="B770" t="s">
        <v>87</v>
      </c>
    </row>
    <row r="771" spans="1:17" hidden="1" x14ac:dyDescent="0.25">
      <c r="A771" t="s">
        <v>845</v>
      </c>
      <c r="B771" t="s">
        <v>87</v>
      </c>
    </row>
    <row r="772" spans="1:17" hidden="1" x14ac:dyDescent="0.25">
      <c r="A772" t="s">
        <v>846</v>
      </c>
      <c r="B772" t="s">
        <v>87</v>
      </c>
    </row>
    <row r="773" spans="1:17" hidden="1" x14ac:dyDescent="0.25">
      <c r="A773" t="s">
        <v>847</v>
      </c>
      <c r="B773" t="s">
        <v>87</v>
      </c>
    </row>
    <row r="774" spans="1:17" x14ac:dyDescent="0.25">
      <c r="A774" t="s">
        <v>848</v>
      </c>
      <c r="B774" t="s">
        <v>77</v>
      </c>
      <c r="D774" t="s">
        <v>77</v>
      </c>
      <c r="E774">
        <v>2</v>
      </c>
      <c r="J774" t="s">
        <v>788</v>
      </c>
      <c r="K774">
        <v>35</v>
      </c>
    </row>
    <row r="775" spans="1:17" x14ac:dyDescent="0.25">
      <c r="A775" t="s">
        <v>849</v>
      </c>
      <c r="B775" t="s">
        <v>77</v>
      </c>
      <c r="C775" t="s">
        <v>85</v>
      </c>
      <c r="D775" t="s">
        <v>77</v>
      </c>
      <c r="Q775" t="s">
        <v>850</v>
      </c>
    </row>
    <row r="776" spans="1:17" hidden="1" x14ac:dyDescent="0.25">
      <c r="A776" t="s">
        <v>752</v>
      </c>
      <c r="B776" t="s">
        <v>87</v>
      </c>
    </row>
    <row r="777" spans="1:17" hidden="1" x14ac:dyDescent="0.25">
      <c r="A777" t="s">
        <v>851</v>
      </c>
      <c r="B777" t="s">
        <v>87</v>
      </c>
    </row>
    <row r="778" spans="1:17" x14ac:dyDescent="0.25">
      <c r="A778" t="s">
        <v>852</v>
      </c>
      <c r="B778" t="s">
        <v>77</v>
      </c>
      <c r="D778" t="s">
        <v>77</v>
      </c>
      <c r="I778" t="s">
        <v>249</v>
      </c>
    </row>
    <row r="779" spans="1:17" hidden="1" x14ac:dyDescent="0.25">
      <c r="A779" t="s">
        <v>720</v>
      </c>
      <c r="B779" t="s">
        <v>87</v>
      </c>
    </row>
    <row r="780" spans="1:17" hidden="1" x14ac:dyDescent="0.25">
      <c r="A780" t="s">
        <v>853</v>
      </c>
      <c r="B780" t="s">
        <v>87</v>
      </c>
    </row>
    <row r="781" spans="1:17" hidden="1" x14ac:dyDescent="0.25">
      <c r="A781" t="s">
        <v>515</v>
      </c>
      <c r="B781" t="s">
        <v>341</v>
      </c>
    </row>
    <row r="782" spans="1:17" hidden="1" x14ac:dyDescent="0.25">
      <c r="A782" t="s">
        <v>469</v>
      </c>
      <c r="B782" t="s">
        <v>87</v>
      </c>
    </row>
    <row r="783" spans="1:17" hidden="1" x14ac:dyDescent="0.25">
      <c r="A783" t="s">
        <v>854</v>
      </c>
      <c r="B783" t="s">
        <v>87</v>
      </c>
    </row>
    <row r="784" spans="1:17" hidden="1" x14ac:dyDescent="0.25">
      <c r="A784" t="s">
        <v>855</v>
      </c>
      <c r="B784" t="s">
        <v>341</v>
      </c>
    </row>
    <row r="785" spans="1:17" hidden="1" x14ac:dyDescent="0.25">
      <c r="A785" t="s">
        <v>856</v>
      </c>
      <c r="B785" t="s">
        <v>87</v>
      </c>
    </row>
    <row r="786" spans="1:17" x14ac:dyDescent="0.25">
      <c r="A786" t="s">
        <v>842</v>
      </c>
      <c r="B786" t="s">
        <v>77</v>
      </c>
      <c r="D786" t="s">
        <v>77</v>
      </c>
      <c r="Q786" t="s">
        <v>83</v>
      </c>
    </row>
    <row r="787" spans="1:17" x14ac:dyDescent="0.25">
      <c r="A787" t="s">
        <v>857</v>
      </c>
      <c r="B787" t="s">
        <v>48</v>
      </c>
      <c r="D787" t="s">
        <v>46</v>
      </c>
      <c r="I787" t="s">
        <v>858</v>
      </c>
      <c r="Q787" t="s">
        <v>859</v>
      </c>
    </row>
    <row r="788" spans="1:17" x14ac:dyDescent="0.25">
      <c r="A788" t="s">
        <v>860</v>
      </c>
      <c r="B788" t="s">
        <v>77</v>
      </c>
      <c r="D788" t="s">
        <v>77</v>
      </c>
      <c r="I788" t="s">
        <v>858</v>
      </c>
      <c r="Q788" t="s">
        <v>859</v>
      </c>
    </row>
    <row r="789" spans="1:17" hidden="1" x14ac:dyDescent="0.25">
      <c r="A789" t="s">
        <v>861</v>
      </c>
      <c r="B789" t="s">
        <v>173</v>
      </c>
    </row>
    <row r="790" spans="1:17" hidden="1" x14ac:dyDescent="0.25">
      <c r="A790" t="s">
        <v>862</v>
      </c>
    </row>
    <row r="791" spans="1:17" hidden="1" x14ac:dyDescent="0.25">
      <c r="A791" t="s">
        <v>863</v>
      </c>
      <c r="B791" t="s">
        <v>95</v>
      </c>
    </row>
    <row r="792" spans="1:17" hidden="1" x14ac:dyDescent="0.25">
      <c r="A792" t="s">
        <v>864</v>
      </c>
      <c r="B792" t="s">
        <v>87</v>
      </c>
    </row>
    <row r="793" spans="1:17" hidden="1" x14ac:dyDescent="0.25">
      <c r="A793" t="s">
        <v>865</v>
      </c>
      <c r="B793" t="s">
        <v>87</v>
      </c>
    </row>
    <row r="794" spans="1:17" hidden="1" x14ac:dyDescent="0.25">
      <c r="A794" t="s">
        <v>341</v>
      </c>
      <c r="B794" t="s">
        <v>341</v>
      </c>
    </row>
    <row r="795" spans="1:17" hidden="1" x14ac:dyDescent="0.25">
      <c r="A795" t="s">
        <v>866</v>
      </c>
      <c r="B795" t="s">
        <v>341</v>
      </c>
    </row>
    <row r="796" spans="1:17" x14ac:dyDescent="0.25">
      <c r="A796" t="s">
        <v>867</v>
      </c>
      <c r="B796" t="s">
        <v>77</v>
      </c>
      <c r="D796" t="s">
        <v>77</v>
      </c>
      <c r="J796">
        <v>24</v>
      </c>
      <c r="K796">
        <v>24</v>
      </c>
    </row>
    <row r="797" spans="1:17" hidden="1" x14ac:dyDescent="0.25">
      <c r="A797" t="s">
        <v>868</v>
      </c>
      <c r="B797" t="s">
        <v>87</v>
      </c>
    </row>
    <row r="798" spans="1:17" hidden="1" x14ac:dyDescent="0.25">
      <c r="A798" t="s">
        <v>869</v>
      </c>
      <c r="B798" t="s">
        <v>87</v>
      </c>
    </row>
    <row r="799" spans="1:17" hidden="1" x14ac:dyDescent="0.25">
      <c r="A799" t="s">
        <v>870</v>
      </c>
      <c r="B799" t="s">
        <v>87</v>
      </c>
    </row>
    <row r="800" spans="1:17" hidden="1" x14ac:dyDescent="0.25">
      <c r="A800" t="s">
        <v>871</v>
      </c>
      <c r="B800" t="s">
        <v>95</v>
      </c>
    </row>
    <row r="801" spans="1:19" x14ac:dyDescent="0.25">
      <c r="A801" t="s">
        <v>872</v>
      </c>
      <c r="B801" t="s">
        <v>77</v>
      </c>
      <c r="D801" t="s">
        <v>77</v>
      </c>
      <c r="R801" t="s">
        <v>873</v>
      </c>
    </row>
    <row r="802" spans="1:19" x14ac:dyDescent="0.25">
      <c r="A802" t="s">
        <v>874</v>
      </c>
      <c r="B802" t="s">
        <v>77</v>
      </c>
      <c r="C802" t="s">
        <v>85</v>
      </c>
      <c r="D802" t="s">
        <v>77</v>
      </c>
      <c r="R802" t="s">
        <v>873</v>
      </c>
    </row>
    <row r="803" spans="1:19" x14ac:dyDescent="0.25">
      <c r="A803" t="s">
        <v>875</v>
      </c>
      <c r="B803" t="s">
        <v>46</v>
      </c>
      <c r="D803" t="s">
        <v>45</v>
      </c>
      <c r="R803" t="s">
        <v>873</v>
      </c>
    </row>
    <row r="804" spans="1:19" x14ac:dyDescent="0.25">
      <c r="A804" t="s">
        <v>876</v>
      </c>
      <c r="B804" t="s">
        <v>20</v>
      </c>
      <c r="D804" t="s">
        <v>44</v>
      </c>
      <c r="R804" t="s">
        <v>873</v>
      </c>
    </row>
    <row r="805" spans="1:19" x14ac:dyDescent="0.25">
      <c r="A805" t="s">
        <v>877</v>
      </c>
      <c r="B805" t="s">
        <v>77</v>
      </c>
      <c r="C805" t="s">
        <v>85</v>
      </c>
      <c r="D805" t="s">
        <v>77</v>
      </c>
      <c r="R805" t="s">
        <v>878</v>
      </c>
    </row>
    <row r="806" spans="1:19" x14ac:dyDescent="0.25">
      <c r="A806" t="s">
        <v>879</v>
      </c>
      <c r="B806" t="s">
        <v>20</v>
      </c>
      <c r="D806" t="s">
        <v>44</v>
      </c>
      <c r="R806" t="s">
        <v>878</v>
      </c>
    </row>
    <row r="807" spans="1:19" x14ac:dyDescent="0.25">
      <c r="A807" t="s">
        <v>880</v>
      </c>
      <c r="B807" t="s">
        <v>46</v>
      </c>
      <c r="D807" t="s">
        <v>45</v>
      </c>
      <c r="R807" t="s">
        <v>878</v>
      </c>
    </row>
    <row r="808" spans="1:19" x14ac:dyDescent="0.25">
      <c r="A808" t="s">
        <v>881</v>
      </c>
      <c r="B808" t="s">
        <v>77</v>
      </c>
      <c r="D808" t="s">
        <v>77</v>
      </c>
      <c r="R808" t="s">
        <v>878</v>
      </c>
    </row>
    <row r="809" spans="1:19" hidden="1" x14ac:dyDescent="0.25">
      <c r="A809" t="s">
        <v>882</v>
      </c>
      <c r="B809" t="s">
        <v>87</v>
      </c>
    </row>
    <row r="810" spans="1:19" hidden="1" x14ac:dyDescent="0.25">
      <c r="A810" t="s">
        <v>514</v>
      </c>
      <c r="B810" t="s">
        <v>341</v>
      </c>
    </row>
    <row r="811" spans="1:19" hidden="1" x14ac:dyDescent="0.25">
      <c r="A811" t="s">
        <v>883</v>
      </c>
      <c r="B811" t="s">
        <v>87</v>
      </c>
    </row>
    <row r="812" spans="1:19" hidden="1" x14ac:dyDescent="0.25">
      <c r="A812" t="s">
        <v>146</v>
      </c>
      <c r="B812" t="s">
        <v>95</v>
      </c>
    </row>
    <row r="813" spans="1:19" x14ac:dyDescent="0.25">
      <c r="A813" t="s">
        <v>133</v>
      </c>
      <c r="B813" t="s">
        <v>884</v>
      </c>
      <c r="D813" t="s">
        <v>48</v>
      </c>
      <c r="H813" t="s">
        <v>134</v>
      </c>
    </row>
    <row r="814" spans="1:19" x14ac:dyDescent="0.25">
      <c r="A814" t="s">
        <v>885</v>
      </c>
      <c r="B814" t="s">
        <v>77</v>
      </c>
      <c r="D814" t="s">
        <v>77</v>
      </c>
      <c r="Q814" t="s">
        <v>83</v>
      </c>
      <c r="S814" t="s">
        <v>294</v>
      </c>
    </row>
    <row r="815" spans="1:19" hidden="1" x14ac:dyDescent="0.25">
      <c r="A815" t="s">
        <v>445</v>
      </c>
      <c r="B815" t="s">
        <v>95</v>
      </c>
    </row>
    <row r="816" spans="1:19" hidden="1" x14ac:dyDescent="0.25">
      <c r="A816" t="s">
        <v>886</v>
      </c>
    </row>
    <row r="817" spans="1:19" x14ac:dyDescent="0.25">
      <c r="A817" t="s">
        <v>887</v>
      </c>
      <c r="B817" t="s">
        <v>46</v>
      </c>
      <c r="D817" t="s">
        <v>46</v>
      </c>
      <c r="J817">
        <v>63</v>
      </c>
      <c r="K817">
        <v>63</v>
      </c>
    </row>
    <row r="818" spans="1:19" x14ac:dyDescent="0.25">
      <c r="A818" t="s">
        <v>888</v>
      </c>
      <c r="B818" t="s">
        <v>48</v>
      </c>
      <c r="D818" t="s">
        <v>20</v>
      </c>
      <c r="I818" t="s">
        <v>79</v>
      </c>
      <c r="P818" t="s">
        <v>889</v>
      </c>
    </row>
    <row r="819" spans="1:19" x14ac:dyDescent="0.25">
      <c r="A819" t="s">
        <v>890</v>
      </c>
      <c r="B819" t="s">
        <v>20</v>
      </c>
      <c r="D819" t="s">
        <v>20</v>
      </c>
      <c r="I819" t="s">
        <v>235</v>
      </c>
    </row>
    <row r="820" spans="1:19" hidden="1" x14ac:dyDescent="0.25">
      <c r="A820" t="s">
        <v>891</v>
      </c>
      <c r="B820" t="s">
        <v>77</v>
      </c>
    </row>
    <row r="821" spans="1:19" x14ac:dyDescent="0.25">
      <c r="A821" t="s">
        <v>892</v>
      </c>
      <c r="B821" t="s">
        <v>77</v>
      </c>
      <c r="C821" t="s">
        <v>85</v>
      </c>
      <c r="D821" t="s">
        <v>77</v>
      </c>
      <c r="J821">
        <v>63</v>
      </c>
      <c r="K821">
        <v>63</v>
      </c>
      <c r="R821" t="s">
        <v>106</v>
      </c>
      <c r="S821" t="s">
        <v>290</v>
      </c>
    </row>
    <row r="822" spans="1:19" x14ac:dyDescent="0.25">
      <c r="A822" t="s">
        <v>893</v>
      </c>
      <c r="B822" t="s">
        <v>77</v>
      </c>
      <c r="C822" t="s">
        <v>85</v>
      </c>
      <c r="D822" t="s">
        <v>77</v>
      </c>
      <c r="J822">
        <v>63</v>
      </c>
      <c r="K822">
        <v>63</v>
      </c>
      <c r="R822" t="s">
        <v>106</v>
      </c>
      <c r="S822" t="s">
        <v>292</v>
      </c>
    </row>
    <row r="823" spans="1:19" x14ac:dyDescent="0.25">
      <c r="A823" t="s">
        <v>894</v>
      </c>
      <c r="B823" t="s">
        <v>77</v>
      </c>
      <c r="C823" t="s">
        <v>85</v>
      </c>
      <c r="D823" t="s">
        <v>77</v>
      </c>
      <c r="J823">
        <v>63</v>
      </c>
      <c r="K823">
        <v>63</v>
      </c>
      <c r="R823" t="s">
        <v>108</v>
      </c>
      <c r="S823" t="s">
        <v>292</v>
      </c>
    </row>
    <row r="824" spans="1:19" hidden="1" x14ac:dyDescent="0.25">
      <c r="A824" t="s">
        <v>895</v>
      </c>
      <c r="B824" t="s">
        <v>341</v>
      </c>
    </row>
    <row r="825" spans="1:19" hidden="1" x14ac:dyDescent="0.25">
      <c r="A825" t="s">
        <v>896</v>
      </c>
      <c r="B825" t="s">
        <v>341</v>
      </c>
    </row>
    <row r="826" spans="1:19" hidden="1" x14ac:dyDescent="0.25">
      <c r="A826" t="s">
        <v>897</v>
      </c>
      <c r="B826" t="s">
        <v>87</v>
      </c>
    </row>
    <row r="827" spans="1:19" hidden="1" x14ac:dyDescent="0.25">
      <c r="A827" t="s">
        <v>898</v>
      </c>
      <c r="B827" t="s">
        <v>87</v>
      </c>
    </row>
    <row r="828" spans="1:19" hidden="1" x14ac:dyDescent="0.25">
      <c r="A828" t="s">
        <v>899</v>
      </c>
      <c r="B828" t="s">
        <v>87</v>
      </c>
    </row>
    <row r="829" spans="1:19" hidden="1" x14ac:dyDescent="0.25">
      <c r="A829" t="s">
        <v>900</v>
      </c>
      <c r="B829" t="s">
        <v>87</v>
      </c>
    </row>
    <row r="830" spans="1:19" hidden="1" x14ac:dyDescent="0.25">
      <c r="A830" t="s">
        <v>149</v>
      </c>
      <c r="B830" t="s">
        <v>173</v>
      </c>
    </row>
    <row r="831" spans="1:19" hidden="1" x14ac:dyDescent="0.25">
      <c r="A831" t="s">
        <v>901</v>
      </c>
      <c r="B831" t="s">
        <v>173</v>
      </c>
    </row>
    <row r="832" spans="1:19" hidden="1" x14ac:dyDescent="0.25">
      <c r="A832" t="s">
        <v>902</v>
      </c>
      <c r="B832" t="s">
        <v>173</v>
      </c>
    </row>
    <row r="833" spans="1:19" x14ac:dyDescent="0.25">
      <c r="A833" t="s">
        <v>903</v>
      </c>
      <c r="B833" t="s">
        <v>77</v>
      </c>
      <c r="C833" t="s">
        <v>85</v>
      </c>
      <c r="D833" t="s">
        <v>77</v>
      </c>
      <c r="S833" t="s">
        <v>292</v>
      </c>
    </row>
    <row r="834" spans="1:19" x14ac:dyDescent="0.25">
      <c r="A834" t="s">
        <v>904</v>
      </c>
      <c r="B834" t="s">
        <v>77</v>
      </c>
      <c r="C834" t="s">
        <v>85</v>
      </c>
      <c r="D834" t="s">
        <v>77</v>
      </c>
      <c r="S834" t="s">
        <v>290</v>
      </c>
    </row>
    <row r="835" spans="1:19" hidden="1" x14ac:dyDescent="0.25">
      <c r="A835" t="s">
        <v>905</v>
      </c>
      <c r="B835" t="s">
        <v>95</v>
      </c>
    </row>
    <row r="836" spans="1:19" hidden="1" x14ac:dyDescent="0.25">
      <c r="A836" t="s">
        <v>906</v>
      </c>
      <c r="B836" t="s">
        <v>16</v>
      </c>
    </row>
    <row r="837" spans="1:19" hidden="1" x14ac:dyDescent="0.25">
      <c r="A837" t="s">
        <v>907</v>
      </c>
      <c r="B837" t="s">
        <v>173</v>
      </c>
    </row>
    <row r="838" spans="1:19" hidden="1" x14ac:dyDescent="0.25">
      <c r="A838" t="s">
        <v>112</v>
      </c>
      <c r="B838" t="s">
        <v>173</v>
      </c>
    </row>
    <row r="839" spans="1:19" hidden="1" x14ac:dyDescent="0.25">
      <c r="A839" t="s">
        <v>908</v>
      </c>
      <c r="B839" t="s">
        <v>173</v>
      </c>
    </row>
    <row r="840" spans="1:19" x14ac:dyDescent="0.25">
      <c r="A840" t="s">
        <v>909</v>
      </c>
      <c r="B840" t="s">
        <v>46</v>
      </c>
      <c r="D840" t="s">
        <v>46</v>
      </c>
      <c r="I840" t="s">
        <v>235</v>
      </c>
      <c r="Q840" t="s">
        <v>910</v>
      </c>
    </row>
    <row r="841" spans="1:19" x14ac:dyDescent="0.25">
      <c r="A841" t="s">
        <v>377</v>
      </c>
      <c r="B841" t="s">
        <v>48</v>
      </c>
      <c r="D841" t="s">
        <v>377</v>
      </c>
    </row>
    <row r="842" spans="1:19" x14ac:dyDescent="0.25">
      <c r="A842" t="s">
        <v>911</v>
      </c>
      <c r="B842" t="s">
        <v>48</v>
      </c>
      <c r="D842" t="s">
        <v>46</v>
      </c>
      <c r="Q842" t="s">
        <v>912</v>
      </c>
    </row>
    <row r="843" spans="1:19" hidden="1" x14ac:dyDescent="0.25">
      <c r="A843" t="s">
        <v>913</v>
      </c>
      <c r="B843" t="s">
        <v>48</v>
      </c>
    </row>
    <row r="844" spans="1:19" x14ac:dyDescent="0.25">
      <c r="A844" t="s">
        <v>914</v>
      </c>
      <c r="B844" t="s">
        <v>77</v>
      </c>
      <c r="C844" t="s">
        <v>83</v>
      </c>
      <c r="D844" t="s">
        <v>77</v>
      </c>
      <c r="J844">
        <v>36</v>
      </c>
      <c r="K844">
        <v>36</v>
      </c>
    </row>
    <row r="845" spans="1:19" hidden="1" x14ac:dyDescent="0.25">
      <c r="A845" t="s">
        <v>915</v>
      </c>
      <c r="B845" t="s">
        <v>341</v>
      </c>
    </row>
    <row r="846" spans="1:19" hidden="1" x14ac:dyDescent="0.25">
      <c r="A846" t="s">
        <v>518</v>
      </c>
      <c r="B846" t="s">
        <v>341</v>
      </c>
    </row>
    <row r="847" spans="1:19" hidden="1" x14ac:dyDescent="0.25">
      <c r="A847" t="s">
        <v>916</v>
      </c>
      <c r="B847" t="s">
        <v>341</v>
      </c>
    </row>
    <row r="848" spans="1:19" hidden="1" x14ac:dyDescent="0.25">
      <c r="A848" t="s">
        <v>917</v>
      </c>
      <c r="B848" t="s">
        <v>173</v>
      </c>
    </row>
    <row r="849" spans="1:11" hidden="1" x14ac:dyDescent="0.25">
      <c r="A849" t="s">
        <v>918</v>
      </c>
      <c r="B849" t="s">
        <v>95</v>
      </c>
    </row>
    <row r="850" spans="1:11" x14ac:dyDescent="0.25">
      <c r="A850" t="s">
        <v>919</v>
      </c>
      <c r="B850" t="s">
        <v>173</v>
      </c>
      <c r="D850" t="s">
        <v>46</v>
      </c>
      <c r="J850">
        <v>59.4</v>
      </c>
      <c r="K850">
        <v>59.4</v>
      </c>
    </row>
    <row r="851" spans="1:11" x14ac:dyDescent="0.25">
      <c r="A851" t="s">
        <v>920</v>
      </c>
      <c r="B851" t="s">
        <v>173</v>
      </c>
      <c r="D851" t="s">
        <v>46</v>
      </c>
      <c r="I851" t="s">
        <v>858</v>
      </c>
    </row>
    <row r="852" spans="1:11" x14ac:dyDescent="0.25">
      <c r="A852" t="s">
        <v>49</v>
      </c>
      <c r="B852" t="s">
        <v>48</v>
      </c>
      <c r="D852" t="s">
        <v>49</v>
      </c>
    </row>
    <row r="853" spans="1:11" hidden="1" x14ac:dyDescent="0.25">
      <c r="A853" t="s">
        <v>240</v>
      </c>
      <c r="B853" t="s">
        <v>77</v>
      </c>
    </row>
    <row r="854" spans="1:11" x14ac:dyDescent="0.25">
      <c r="A854" t="s">
        <v>921</v>
      </c>
      <c r="B854" t="s">
        <v>173</v>
      </c>
      <c r="D854" t="s">
        <v>77</v>
      </c>
      <c r="J854">
        <v>59.4</v>
      </c>
      <c r="K854">
        <v>59.4</v>
      </c>
    </row>
    <row r="855" spans="1:11" hidden="1" x14ac:dyDescent="0.25">
      <c r="A855" t="s">
        <v>922</v>
      </c>
    </row>
    <row r="856" spans="1:11" hidden="1" x14ac:dyDescent="0.25">
      <c r="A856" t="s">
        <v>923</v>
      </c>
    </row>
    <row r="857" spans="1:11" hidden="1" x14ac:dyDescent="0.25">
      <c r="A857" t="s">
        <v>924</v>
      </c>
      <c r="B857" t="s">
        <v>95</v>
      </c>
    </row>
    <row r="858" spans="1:11" hidden="1" x14ac:dyDescent="0.25">
      <c r="A858" t="s">
        <v>925</v>
      </c>
      <c r="B858" t="s">
        <v>173</v>
      </c>
    </row>
    <row r="859" spans="1:11" hidden="1" x14ac:dyDescent="0.25">
      <c r="A859" t="s">
        <v>926</v>
      </c>
    </row>
    <row r="860" spans="1:11" hidden="1" x14ac:dyDescent="0.25">
      <c r="A860" t="s">
        <v>927</v>
      </c>
    </row>
    <row r="861" spans="1:11" hidden="1" x14ac:dyDescent="0.25">
      <c r="A861" t="s">
        <v>928</v>
      </c>
      <c r="B861" t="s">
        <v>173</v>
      </c>
    </row>
    <row r="862" spans="1:11" x14ac:dyDescent="0.25">
      <c r="A862" t="s">
        <v>929</v>
      </c>
      <c r="B862" t="s">
        <v>20</v>
      </c>
      <c r="D862" t="s">
        <v>20</v>
      </c>
      <c r="E862">
        <v>1</v>
      </c>
      <c r="J862" t="s">
        <v>930</v>
      </c>
      <c r="K862">
        <v>30</v>
      </c>
    </row>
    <row r="863" spans="1:11" x14ac:dyDescent="0.25">
      <c r="A863" t="s">
        <v>931</v>
      </c>
      <c r="B863" t="s">
        <v>20</v>
      </c>
      <c r="D863" t="s">
        <v>20</v>
      </c>
      <c r="E863">
        <v>2</v>
      </c>
      <c r="J863" t="s">
        <v>932</v>
      </c>
      <c r="K863">
        <v>22.5</v>
      </c>
    </row>
    <row r="864" spans="1:11" x14ac:dyDescent="0.25">
      <c r="A864" t="s">
        <v>933</v>
      </c>
      <c r="B864" t="s">
        <v>20</v>
      </c>
      <c r="D864" t="s">
        <v>20</v>
      </c>
      <c r="E864">
        <v>3</v>
      </c>
      <c r="J864" t="s">
        <v>932</v>
      </c>
      <c r="K864">
        <v>22.5</v>
      </c>
    </row>
    <row r="865" spans="1:11" x14ac:dyDescent="0.25">
      <c r="A865" t="s">
        <v>934</v>
      </c>
      <c r="B865" t="s">
        <v>20</v>
      </c>
      <c r="D865" t="s">
        <v>20</v>
      </c>
      <c r="E865">
        <v>4</v>
      </c>
      <c r="J865" t="s">
        <v>932</v>
      </c>
      <c r="K865">
        <v>22.5</v>
      </c>
    </row>
    <row r="866" spans="1:11" x14ac:dyDescent="0.25">
      <c r="A866" t="s">
        <v>935</v>
      </c>
      <c r="B866" t="s">
        <v>20</v>
      </c>
      <c r="D866" t="s">
        <v>20</v>
      </c>
      <c r="E866">
        <v>5</v>
      </c>
      <c r="J866" t="s">
        <v>932</v>
      </c>
      <c r="K866">
        <v>22.5</v>
      </c>
    </row>
    <row r="867" spans="1:11" x14ac:dyDescent="0.25">
      <c r="A867" t="s">
        <v>936</v>
      </c>
      <c r="B867" t="s">
        <v>77</v>
      </c>
      <c r="D867" t="s">
        <v>77</v>
      </c>
      <c r="E867">
        <v>1</v>
      </c>
      <c r="J867" t="s">
        <v>930</v>
      </c>
      <c r="K867">
        <v>30</v>
      </c>
    </row>
    <row r="868" spans="1:11" x14ac:dyDescent="0.25">
      <c r="A868" t="s">
        <v>937</v>
      </c>
      <c r="B868" t="s">
        <v>77</v>
      </c>
      <c r="D868" t="s">
        <v>77</v>
      </c>
      <c r="E868">
        <v>2</v>
      </c>
      <c r="J868" t="s">
        <v>932</v>
      </c>
      <c r="K868">
        <v>22.5</v>
      </c>
    </row>
    <row r="869" spans="1:11" x14ac:dyDescent="0.25">
      <c r="A869" t="s">
        <v>938</v>
      </c>
      <c r="B869" t="s">
        <v>77</v>
      </c>
      <c r="D869" t="s">
        <v>77</v>
      </c>
      <c r="E869">
        <v>3</v>
      </c>
      <c r="J869" t="s">
        <v>932</v>
      </c>
      <c r="K869">
        <v>22.5</v>
      </c>
    </row>
    <row r="870" spans="1:11" x14ac:dyDescent="0.25">
      <c r="A870" t="s">
        <v>939</v>
      </c>
      <c r="B870" t="s">
        <v>77</v>
      </c>
      <c r="D870" t="s">
        <v>77</v>
      </c>
      <c r="E870">
        <v>4</v>
      </c>
      <c r="J870" t="s">
        <v>932</v>
      </c>
      <c r="K870">
        <v>22.5</v>
      </c>
    </row>
    <row r="871" spans="1:11" x14ac:dyDescent="0.25">
      <c r="A871" t="s">
        <v>940</v>
      </c>
      <c r="B871" t="s">
        <v>77</v>
      </c>
      <c r="D871" t="s">
        <v>77</v>
      </c>
      <c r="E871">
        <v>5</v>
      </c>
      <c r="J871" t="s">
        <v>932</v>
      </c>
      <c r="K871">
        <v>22.5</v>
      </c>
    </row>
    <row r="872" spans="1:11" hidden="1" x14ac:dyDescent="0.25">
      <c r="A872" t="s">
        <v>808</v>
      </c>
      <c r="B872" t="s">
        <v>87</v>
      </c>
    </row>
    <row r="873" spans="1:11" hidden="1" x14ac:dyDescent="0.25">
      <c r="A873" t="s">
        <v>941</v>
      </c>
      <c r="B873" t="s">
        <v>87</v>
      </c>
    </row>
    <row r="874" spans="1:11" x14ac:dyDescent="0.25">
      <c r="A874" t="s">
        <v>942</v>
      </c>
      <c r="B874" t="s">
        <v>46</v>
      </c>
      <c r="D874" t="s">
        <v>46</v>
      </c>
      <c r="J874">
        <v>56</v>
      </c>
      <c r="K874">
        <v>56</v>
      </c>
    </row>
    <row r="875" spans="1:11" hidden="1" x14ac:dyDescent="0.25">
      <c r="A875" t="s">
        <v>943</v>
      </c>
      <c r="B875" t="s">
        <v>173</v>
      </c>
    </row>
    <row r="876" spans="1:11" x14ac:dyDescent="0.25">
      <c r="A876" t="s">
        <v>48</v>
      </c>
      <c r="B876" t="s">
        <v>173</v>
      </c>
      <c r="D876" t="s">
        <v>48</v>
      </c>
    </row>
    <row r="877" spans="1:11" hidden="1" x14ac:dyDescent="0.25">
      <c r="A877" t="s">
        <v>944</v>
      </c>
      <c r="B877" t="s">
        <v>87</v>
      </c>
    </row>
    <row r="878" spans="1:11" hidden="1" x14ac:dyDescent="0.25">
      <c r="A878" t="s">
        <v>945</v>
      </c>
      <c r="B878" t="s">
        <v>87</v>
      </c>
    </row>
    <row r="879" spans="1:11" hidden="1" x14ac:dyDescent="0.25">
      <c r="A879" t="s">
        <v>946</v>
      </c>
      <c r="B879" t="s">
        <v>16</v>
      </c>
    </row>
    <row r="880" spans="1:11" x14ac:dyDescent="0.25">
      <c r="A880" t="s">
        <v>947</v>
      </c>
      <c r="B880" t="s">
        <v>46</v>
      </c>
      <c r="D880" t="s">
        <v>46</v>
      </c>
      <c r="I880" t="s">
        <v>79</v>
      </c>
    </row>
    <row r="881" spans="1:18" x14ac:dyDescent="0.25">
      <c r="A881" t="s">
        <v>948</v>
      </c>
      <c r="B881" t="s">
        <v>46</v>
      </c>
      <c r="D881" t="s">
        <v>46</v>
      </c>
      <c r="I881" t="s">
        <v>79</v>
      </c>
      <c r="J881">
        <v>70</v>
      </c>
      <c r="K881">
        <v>70</v>
      </c>
    </row>
    <row r="882" spans="1:18" x14ac:dyDescent="0.25">
      <c r="A882" t="s">
        <v>949</v>
      </c>
      <c r="B882" t="s">
        <v>46</v>
      </c>
      <c r="D882" t="s">
        <v>46</v>
      </c>
      <c r="I882" t="s">
        <v>79</v>
      </c>
      <c r="R882" t="s">
        <v>106</v>
      </c>
    </row>
    <row r="883" spans="1:18" x14ac:dyDescent="0.25">
      <c r="A883" t="s">
        <v>950</v>
      </c>
      <c r="B883" t="s">
        <v>20</v>
      </c>
      <c r="D883" t="s">
        <v>20</v>
      </c>
      <c r="I883" t="s">
        <v>79</v>
      </c>
    </row>
    <row r="884" spans="1:18" x14ac:dyDescent="0.25">
      <c r="A884" t="s">
        <v>951</v>
      </c>
      <c r="B884" t="s">
        <v>48</v>
      </c>
      <c r="D884" t="s">
        <v>20</v>
      </c>
      <c r="I884" t="s">
        <v>79</v>
      </c>
      <c r="R884" t="s">
        <v>106</v>
      </c>
    </row>
    <row r="885" spans="1:18" x14ac:dyDescent="0.25">
      <c r="A885" t="s">
        <v>952</v>
      </c>
      <c r="B885" t="s">
        <v>77</v>
      </c>
      <c r="D885" t="s">
        <v>77</v>
      </c>
      <c r="I885" t="s">
        <v>79</v>
      </c>
    </row>
    <row r="886" spans="1:18" x14ac:dyDescent="0.25">
      <c r="A886" t="s">
        <v>953</v>
      </c>
      <c r="B886" t="s">
        <v>77</v>
      </c>
      <c r="D886" t="s">
        <v>77</v>
      </c>
      <c r="I886" t="s">
        <v>79</v>
      </c>
      <c r="J886">
        <v>70</v>
      </c>
      <c r="K886">
        <v>70</v>
      </c>
    </row>
    <row r="887" spans="1:18" x14ac:dyDescent="0.25">
      <c r="A887" t="s">
        <v>954</v>
      </c>
      <c r="B887" t="s">
        <v>77</v>
      </c>
      <c r="D887" t="s">
        <v>77</v>
      </c>
      <c r="I887" t="s">
        <v>79</v>
      </c>
      <c r="R887" t="s">
        <v>106</v>
      </c>
    </row>
    <row r="888" spans="1:18" hidden="1" x14ac:dyDescent="0.25">
      <c r="A888" t="s">
        <v>205</v>
      </c>
      <c r="B888" t="s">
        <v>173</v>
      </c>
    </row>
    <row r="889" spans="1:18" hidden="1" x14ac:dyDescent="0.25">
      <c r="A889" t="s">
        <v>955</v>
      </c>
      <c r="B889" t="s">
        <v>77</v>
      </c>
    </row>
    <row r="890" spans="1:18" hidden="1" x14ac:dyDescent="0.25">
      <c r="A890" t="s">
        <v>956</v>
      </c>
      <c r="B890" t="s">
        <v>77</v>
      </c>
    </row>
    <row r="891" spans="1:18" x14ac:dyDescent="0.25">
      <c r="A891" t="s">
        <v>957</v>
      </c>
      <c r="B891" t="s">
        <v>20</v>
      </c>
      <c r="D891" t="s">
        <v>20</v>
      </c>
      <c r="J891" t="s">
        <v>727</v>
      </c>
      <c r="K891">
        <v>20</v>
      </c>
    </row>
    <row r="892" spans="1:18" x14ac:dyDescent="0.25">
      <c r="A892" t="s">
        <v>958</v>
      </c>
      <c r="B892" t="s">
        <v>77</v>
      </c>
      <c r="D892" t="s">
        <v>77</v>
      </c>
      <c r="J892" t="s">
        <v>727</v>
      </c>
      <c r="K892">
        <v>20</v>
      </c>
    </row>
    <row r="893" spans="1:18" x14ac:dyDescent="0.25">
      <c r="A893" t="s">
        <v>959</v>
      </c>
      <c r="B893" t="s">
        <v>20</v>
      </c>
      <c r="D893" t="s">
        <v>20</v>
      </c>
      <c r="E893">
        <v>5</v>
      </c>
      <c r="J893" t="s">
        <v>960</v>
      </c>
      <c r="K893">
        <v>15</v>
      </c>
    </row>
    <row r="894" spans="1:18" x14ac:dyDescent="0.25">
      <c r="A894" t="s">
        <v>961</v>
      </c>
      <c r="B894" t="s">
        <v>77</v>
      </c>
      <c r="D894" t="s">
        <v>77</v>
      </c>
      <c r="E894">
        <v>5</v>
      </c>
      <c r="J894" t="s">
        <v>960</v>
      </c>
      <c r="K894">
        <v>15</v>
      </c>
    </row>
    <row r="895" spans="1:18" x14ac:dyDescent="0.25">
      <c r="A895" t="s">
        <v>962</v>
      </c>
      <c r="B895" t="s">
        <v>46</v>
      </c>
      <c r="D895" t="s">
        <v>46</v>
      </c>
      <c r="Q895" t="s">
        <v>963</v>
      </c>
    </row>
    <row r="896" spans="1:18" x14ac:dyDescent="0.25">
      <c r="A896" t="s">
        <v>964</v>
      </c>
      <c r="B896" t="s">
        <v>46</v>
      </c>
      <c r="D896" t="s">
        <v>46</v>
      </c>
      <c r="Q896" t="s">
        <v>965</v>
      </c>
    </row>
    <row r="897" spans="1:19" x14ac:dyDescent="0.25">
      <c r="A897" t="s">
        <v>966</v>
      </c>
      <c r="B897" t="s">
        <v>20</v>
      </c>
      <c r="D897" t="s">
        <v>20</v>
      </c>
      <c r="Q897" t="s">
        <v>963</v>
      </c>
    </row>
    <row r="898" spans="1:19" x14ac:dyDescent="0.25">
      <c r="A898" t="s">
        <v>967</v>
      </c>
      <c r="B898" t="s">
        <v>20</v>
      </c>
      <c r="D898" t="s">
        <v>20</v>
      </c>
      <c r="Q898" t="s">
        <v>965</v>
      </c>
    </row>
    <row r="899" spans="1:19" x14ac:dyDescent="0.25">
      <c r="A899" t="s">
        <v>968</v>
      </c>
      <c r="B899" t="s">
        <v>77</v>
      </c>
      <c r="D899" t="s">
        <v>77</v>
      </c>
      <c r="Q899" t="s">
        <v>963</v>
      </c>
    </row>
    <row r="900" spans="1:19" x14ac:dyDescent="0.25">
      <c r="A900" t="s">
        <v>969</v>
      </c>
      <c r="B900" t="s">
        <v>77</v>
      </c>
      <c r="D900" t="s">
        <v>77</v>
      </c>
      <c r="Q900" t="s">
        <v>965</v>
      </c>
    </row>
    <row r="901" spans="1:19" x14ac:dyDescent="0.25">
      <c r="A901" t="s">
        <v>970</v>
      </c>
      <c r="B901" t="s">
        <v>77</v>
      </c>
      <c r="C901" t="s">
        <v>85</v>
      </c>
      <c r="D901" t="s">
        <v>77</v>
      </c>
      <c r="Q901" t="s">
        <v>963</v>
      </c>
    </row>
    <row r="902" spans="1:19" x14ac:dyDescent="0.25">
      <c r="A902" t="s">
        <v>971</v>
      </c>
      <c r="B902" t="s">
        <v>46</v>
      </c>
      <c r="D902" t="s">
        <v>46</v>
      </c>
      <c r="J902">
        <v>48</v>
      </c>
      <c r="K902">
        <v>48</v>
      </c>
      <c r="R902" t="s">
        <v>106</v>
      </c>
    </row>
    <row r="903" spans="1:19" x14ac:dyDescent="0.25">
      <c r="A903" t="s">
        <v>972</v>
      </c>
      <c r="B903" t="s">
        <v>46</v>
      </c>
      <c r="D903" t="s">
        <v>46</v>
      </c>
      <c r="J903">
        <v>64</v>
      </c>
      <c r="K903">
        <v>64</v>
      </c>
      <c r="R903" t="s">
        <v>106</v>
      </c>
    </row>
    <row r="904" spans="1:19" x14ac:dyDescent="0.25">
      <c r="A904" t="s">
        <v>973</v>
      </c>
      <c r="B904" t="s">
        <v>48</v>
      </c>
      <c r="D904" t="s">
        <v>20</v>
      </c>
      <c r="P904" t="s">
        <v>974</v>
      </c>
    </row>
    <row r="905" spans="1:19" x14ac:dyDescent="0.25">
      <c r="A905" t="s">
        <v>975</v>
      </c>
      <c r="B905" t="s">
        <v>77</v>
      </c>
      <c r="C905" t="s">
        <v>85</v>
      </c>
      <c r="D905" t="s">
        <v>77</v>
      </c>
      <c r="J905">
        <v>48</v>
      </c>
      <c r="K905">
        <v>48</v>
      </c>
      <c r="R905" t="s">
        <v>106</v>
      </c>
      <c r="S905" t="s">
        <v>290</v>
      </c>
    </row>
    <row r="906" spans="1:19" x14ac:dyDescent="0.25">
      <c r="A906" t="s">
        <v>976</v>
      </c>
      <c r="B906" t="s">
        <v>77</v>
      </c>
      <c r="C906" t="s">
        <v>85</v>
      </c>
      <c r="D906" t="s">
        <v>77</v>
      </c>
      <c r="J906">
        <v>48</v>
      </c>
      <c r="K906">
        <v>48</v>
      </c>
      <c r="R906" t="s">
        <v>106</v>
      </c>
      <c r="S906" t="s">
        <v>292</v>
      </c>
    </row>
    <row r="907" spans="1:19" x14ac:dyDescent="0.25">
      <c r="A907" t="s">
        <v>977</v>
      </c>
      <c r="B907" t="s">
        <v>77</v>
      </c>
      <c r="D907" t="s">
        <v>77</v>
      </c>
      <c r="J907">
        <v>60</v>
      </c>
      <c r="K907">
        <v>60</v>
      </c>
      <c r="R907" t="s">
        <v>106</v>
      </c>
    </row>
    <row r="908" spans="1:19" x14ac:dyDescent="0.25">
      <c r="A908" t="s">
        <v>978</v>
      </c>
      <c r="B908" t="s">
        <v>77</v>
      </c>
      <c r="D908" t="s">
        <v>77</v>
      </c>
      <c r="J908">
        <v>48</v>
      </c>
      <c r="K908">
        <v>48</v>
      </c>
      <c r="R908" t="s">
        <v>106</v>
      </c>
    </row>
    <row r="909" spans="1:19" x14ac:dyDescent="0.25">
      <c r="A909" t="s">
        <v>979</v>
      </c>
      <c r="B909" t="s">
        <v>77</v>
      </c>
      <c r="D909" t="s">
        <v>77</v>
      </c>
      <c r="J909">
        <v>60</v>
      </c>
      <c r="K909">
        <v>60</v>
      </c>
      <c r="R909" t="s">
        <v>106</v>
      </c>
    </row>
    <row r="910" spans="1:19" x14ac:dyDescent="0.25">
      <c r="A910" t="s">
        <v>980</v>
      </c>
      <c r="B910" t="s">
        <v>77</v>
      </c>
      <c r="D910" t="s">
        <v>77</v>
      </c>
      <c r="J910">
        <v>64</v>
      </c>
      <c r="K910">
        <v>64</v>
      </c>
      <c r="R910" t="s">
        <v>106</v>
      </c>
    </row>
    <row r="911" spans="1:19" hidden="1" x14ac:dyDescent="0.25">
      <c r="A911" t="s">
        <v>981</v>
      </c>
      <c r="B911" t="s">
        <v>341</v>
      </c>
    </row>
    <row r="912" spans="1:19" hidden="1" x14ac:dyDescent="0.25">
      <c r="A912" t="s">
        <v>982</v>
      </c>
      <c r="B912" t="s">
        <v>173</v>
      </c>
    </row>
    <row r="913" spans="1:19" hidden="1" x14ac:dyDescent="0.25">
      <c r="A913" t="s">
        <v>652</v>
      </c>
      <c r="B913" t="s">
        <v>173</v>
      </c>
    </row>
    <row r="914" spans="1:19" hidden="1" x14ac:dyDescent="0.25">
      <c r="A914" t="s">
        <v>983</v>
      </c>
      <c r="B914" t="s">
        <v>173</v>
      </c>
    </row>
    <row r="915" spans="1:19" x14ac:dyDescent="0.25">
      <c r="A915" t="s">
        <v>984</v>
      </c>
      <c r="B915" t="s">
        <v>77</v>
      </c>
      <c r="C915" t="s">
        <v>85</v>
      </c>
      <c r="D915" t="s">
        <v>77</v>
      </c>
      <c r="J915">
        <v>64</v>
      </c>
      <c r="K915">
        <v>64</v>
      </c>
    </row>
    <row r="916" spans="1:19" x14ac:dyDescent="0.25">
      <c r="A916" t="s">
        <v>985</v>
      </c>
      <c r="B916" t="s">
        <v>77</v>
      </c>
      <c r="C916" t="s">
        <v>85</v>
      </c>
      <c r="D916" t="s">
        <v>77</v>
      </c>
      <c r="J916">
        <v>48</v>
      </c>
      <c r="K916">
        <v>48</v>
      </c>
      <c r="R916" t="s">
        <v>106</v>
      </c>
      <c r="S916" t="s">
        <v>294</v>
      </c>
    </row>
    <row r="917" spans="1:19" hidden="1" x14ac:dyDescent="0.25">
      <c r="A917" t="s">
        <v>986</v>
      </c>
    </row>
    <row r="918" spans="1:19" hidden="1" x14ac:dyDescent="0.25">
      <c r="A918" t="s">
        <v>987</v>
      </c>
      <c r="B918" t="s">
        <v>341</v>
      </c>
    </row>
    <row r="919" spans="1:19" hidden="1" x14ac:dyDescent="0.25">
      <c r="A919" t="s">
        <v>988</v>
      </c>
    </row>
    <row r="920" spans="1:19" hidden="1" x14ac:dyDescent="0.25">
      <c r="A920" t="s">
        <v>989</v>
      </c>
      <c r="B920" t="s">
        <v>341</v>
      </c>
    </row>
    <row r="921" spans="1:19" hidden="1" x14ac:dyDescent="0.25">
      <c r="A921" t="s">
        <v>990</v>
      </c>
      <c r="B921" t="s">
        <v>341</v>
      </c>
    </row>
    <row r="922" spans="1:19" hidden="1" x14ac:dyDescent="0.25">
      <c r="A922" t="s">
        <v>991</v>
      </c>
      <c r="B922" t="s">
        <v>173</v>
      </c>
    </row>
    <row r="923" spans="1:19" hidden="1" x14ac:dyDescent="0.25">
      <c r="A923" t="s">
        <v>992</v>
      </c>
      <c r="B923" t="s">
        <v>173</v>
      </c>
    </row>
    <row r="924" spans="1:19" hidden="1" x14ac:dyDescent="0.25">
      <c r="A924" t="s">
        <v>993</v>
      </c>
      <c r="B924" t="s">
        <v>341</v>
      </c>
    </row>
    <row r="925" spans="1:19" hidden="1" x14ac:dyDescent="0.25">
      <c r="A925" t="s">
        <v>994</v>
      </c>
      <c r="B925" t="s">
        <v>341</v>
      </c>
    </row>
    <row r="926" spans="1:19" hidden="1" x14ac:dyDescent="0.25">
      <c r="A926" t="s">
        <v>995</v>
      </c>
      <c r="B926" t="s">
        <v>87</v>
      </c>
    </row>
    <row r="927" spans="1:19" hidden="1" x14ac:dyDescent="0.25">
      <c r="A927" t="s">
        <v>996</v>
      </c>
      <c r="B927" t="s">
        <v>87</v>
      </c>
    </row>
    <row r="928" spans="1:19" hidden="1" x14ac:dyDescent="0.25">
      <c r="A928" t="s">
        <v>997</v>
      </c>
      <c r="B928" t="s">
        <v>173</v>
      </c>
    </row>
    <row r="929" spans="1:17" hidden="1" x14ac:dyDescent="0.25">
      <c r="A929" t="s">
        <v>998</v>
      </c>
      <c r="B929" t="s">
        <v>341</v>
      </c>
    </row>
    <row r="930" spans="1:17" hidden="1" x14ac:dyDescent="0.25">
      <c r="A930" t="s">
        <v>999</v>
      </c>
      <c r="B930" t="s">
        <v>87</v>
      </c>
    </row>
    <row r="931" spans="1:17" hidden="1" x14ac:dyDescent="0.25">
      <c r="A931" t="s">
        <v>1000</v>
      </c>
      <c r="B931" t="s">
        <v>341</v>
      </c>
    </row>
    <row r="932" spans="1:17" hidden="1" x14ac:dyDescent="0.25">
      <c r="A932" t="s">
        <v>1001</v>
      </c>
      <c r="B932" t="s">
        <v>16</v>
      </c>
    </row>
    <row r="933" spans="1:17" hidden="1" x14ac:dyDescent="0.25">
      <c r="A933" t="s">
        <v>1002</v>
      </c>
      <c r="B933" t="s">
        <v>87</v>
      </c>
    </row>
    <row r="934" spans="1:17" x14ac:dyDescent="0.25">
      <c r="A934" t="s">
        <v>1003</v>
      </c>
      <c r="B934" t="s">
        <v>77</v>
      </c>
      <c r="D934" t="s">
        <v>77</v>
      </c>
      <c r="J934">
        <v>66</v>
      </c>
      <c r="K934">
        <v>66</v>
      </c>
    </row>
    <row r="935" spans="1:17" x14ac:dyDescent="0.25">
      <c r="A935" t="s">
        <v>1004</v>
      </c>
      <c r="B935" t="s">
        <v>77</v>
      </c>
      <c r="D935" t="s">
        <v>77</v>
      </c>
      <c r="J935">
        <v>46</v>
      </c>
      <c r="K935">
        <v>46</v>
      </c>
    </row>
    <row r="936" spans="1:17" x14ac:dyDescent="0.25">
      <c r="A936" t="s">
        <v>1005</v>
      </c>
      <c r="B936" t="s">
        <v>77</v>
      </c>
      <c r="C936" t="s">
        <v>85</v>
      </c>
      <c r="D936" t="s">
        <v>77</v>
      </c>
      <c r="J936">
        <v>46</v>
      </c>
      <c r="K936">
        <v>46</v>
      </c>
    </row>
    <row r="937" spans="1:17" x14ac:dyDescent="0.25">
      <c r="A937" t="s">
        <v>1006</v>
      </c>
      <c r="B937" t="s">
        <v>77</v>
      </c>
      <c r="C937" t="s">
        <v>83</v>
      </c>
      <c r="D937" t="s">
        <v>77</v>
      </c>
      <c r="J937">
        <v>46</v>
      </c>
      <c r="K937">
        <v>46</v>
      </c>
    </row>
    <row r="938" spans="1:17" x14ac:dyDescent="0.25">
      <c r="A938" t="s">
        <v>1007</v>
      </c>
      <c r="B938" t="s">
        <v>46</v>
      </c>
      <c r="D938" t="s">
        <v>46</v>
      </c>
      <c r="J938">
        <v>66</v>
      </c>
      <c r="K938">
        <v>66</v>
      </c>
    </row>
    <row r="939" spans="1:17" x14ac:dyDescent="0.25">
      <c r="A939" t="s">
        <v>1008</v>
      </c>
      <c r="B939" t="s">
        <v>46</v>
      </c>
      <c r="D939" t="s">
        <v>46</v>
      </c>
      <c r="J939">
        <v>46</v>
      </c>
      <c r="K939">
        <v>46</v>
      </c>
    </row>
    <row r="940" spans="1:17" hidden="1" x14ac:dyDescent="0.25">
      <c r="A940" t="s">
        <v>1009</v>
      </c>
      <c r="B940" t="s">
        <v>87</v>
      </c>
    </row>
    <row r="941" spans="1:17" x14ac:dyDescent="0.25">
      <c r="A941" t="s">
        <v>1010</v>
      </c>
      <c r="B941" t="s">
        <v>20</v>
      </c>
      <c r="D941" t="s">
        <v>20</v>
      </c>
      <c r="Q941" t="s">
        <v>1011</v>
      </c>
    </row>
    <row r="942" spans="1:17" x14ac:dyDescent="0.25">
      <c r="A942" t="s">
        <v>1012</v>
      </c>
      <c r="B942" t="s">
        <v>173</v>
      </c>
      <c r="D942" t="s">
        <v>77</v>
      </c>
      <c r="Q942" t="s">
        <v>83</v>
      </c>
    </row>
    <row r="943" spans="1:17" hidden="1" x14ac:dyDescent="0.25">
      <c r="A943" t="s">
        <v>1013</v>
      </c>
    </row>
    <row r="944" spans="1:17" hidden="1" x14ac:dyDescent="0.25">
      <c r="A944" t="s">
        <v>1014</v>
      </c>
      <c r="B944" t="s">
        <v>95</v>
      </c>
    </row>
    <row r="945" spans="1:11" hidden="1" x14ac:dyDescent="0.25">
      <c r="A945" t="s">
        <v>1015</v>
      </c>
      <c r="B945" t="s">
        <v>95</v>
      </c>
    </row>
    <row r="946" spans="1:11" hidden="1" x14ac:dyDescent="0.25">
      <c r="A946" t="s">
        <v>1016</v>
      </c>
      <c r="B946" t="s">
        <v>341</v>
      </c>
    </row>
    <row r="947" spans="1:11" x14ac:dyDescent="0.25">
      <c r="A947" t="s">
        <v>1017</v>
      </c>
      <c r="B947" t="s">
        <v>77</v>
      </c>
      <c r="D947" t="s">
        <v>77</v>
      </c>
      <c r="E947">
        <v>1</v>
      </c>
      <c r="J947" t="s">
        <v>1018</v>
      </c>
      <c r="K947">
        <v>24</v>
      </c>
    </row>
    <row r="948" spans="1:11" x14ac:dyDescent="0.25">
      <c r="A948" t="s">
        <v>1019</v>
      </c>
      <c r="B948" t="s">
        <v>77</v>
      </c>
      <c r="D948" t="s">
        <v>77</v>
      </c>
      <c r="E948">
        <v>2</v>
      </c>
      <c r="J948" t="s">
        <v>1018</v>
      </c>
      <c r="K948">
        <v>24</v>
      </c>
    </row>
    <row r="949" spans="1:11" hidden="1" x14ac:dyDescent="0.25">
      <c r="A949" t="s">
        <v>1020</v>
      </c>
      <c r="B949" t="s">
        <v>173</v>
      </c>
    </row>
    <row r="950" spans="1:11" x14ac:dyDescent="0.25">
      <c r="A950" t="s">
        <v>1021</v>
      </c>
      <c r="B950" t="s">
        <v>46</v>
      </c>
      <c r="D950" t="s">
        <v>46</v>
      </c>
      <c r="I950" t="s">
        <v>79</v>
      </c>
      <c r="J950">
        <v>66</v>
      </c>
      <c r="K950">
        <v>66</v>
      </c>
    </row>
    <row r="951" spans="1:11" x14ac:dyDescent="0.25">
      <c r="A951" t="s">
        <v>1022</v>
      </c>
      <c r="B951" t="s">
        <v>77</v>
      </c>
      <c r="D951" t="s">
        <v>77</v>
      </c>
      <c r="I951" t="s">
        <v>79</v>
      </c>
      <c r="J951">
        <v>66</v>
      </c>
      <c r="K951">
        <v>66</v>
      </c>
    </row>
    <row r="952" spans="1:11" x14ac:dyDescent="0.25">
      <c r="A952" t="s">
        <v>1023</v>
      </c>
      <c r="B952" t="s">
        <v>77</v>
      </c>
      <c r="C952" t="s">
        <v>85</v>
      </c>
      <c r="D952" t="s">
        <v>77</v>
      </c>
      <c r="I952" t="s">
        <v>79</v>
      </c>
      <c r="J952">
        <v>66</v>
      </c>
      <c r="K952">
        <v>66</v>
      </c>
    </row>
    <row r="953" spans="1:11" hidden="1" x14ac:dyDescent="0.25">
      <c r="A953" t="s">
        <v>631</v>
      </c>
      <c r="B953" t="s">
        <v>341</v>
      </c>
    </row>
    <row r="954" spans="1:11" hidden="1" x14ac:dyDescent="0.25">
      <c r="A954" t="s">
        <v>1024</v>
      </c>
      <c r="B954" t="s">
        <v>87</v>
      </c>
    </row>
    <row r="955" spans="1:11" hidden="1" x14ac:dyDescent="0.25">
      <c r="A955" t="s">
        <v>1025</v>
      </c>
      <c r="B955" t="s">
        <v>87</v>
      </c>
    </row>
    <row r="956" spans="1:11" hidden="1" x14ac:dyDescent="0.25">
      <c r="A956" t="s">
        <v>1026</v>
      </c>
      <c r="B956" t="s">
        <v>341</v>
      </c>
    </row>
    <row r="957" spans="1:11" hidden="1" x14ac:dyDescent="0.25">
      <c r="A957" t="s">
        <v>1027</v>
      </c>
      <c r="B957" t="s">
        <v>87</v>
      </c>
    </row>
    <row r="958" spans="1:11" hidden="1" x14ac:dyDescent="0.25">
      <c r="A958" t="s">
        <v>1028</v>
      </c>
      <c r="B958" t="s">
        <v>87</v>
      </c>
    </row>
    <row r="959" spans="1:11" x14ac:dyDescent="0.25">
      <c r="A959" t="s">
        <v>1029</v>
      </c>
      <c r="B959" t="s">
        <v>46</v>
      </c>
      <c r="D959" t="s">
        <v>46</v>
      </c>
      <c r="J959">
        <v>5500</v>
      </c>
      <c r="K959">
        <v>5500</v>
      </c>
    </row>
    <row r="960" spans="1:11" x14ac:dyDescent="0.25">
      <c r="A960" t="s">
        <v>920</v>
      </c>
      <c r="B960" t="s">
        <v>20</v>
      </c>
      <c r="D960" t="s">
        <v>46</v>
      </c>
      <c r="I960" t="s">
        <v>858</v>
      </c>
    </row>
    <row r="961" spans="1:17" x14ac:dyDescent="0.25">
      <c r="A961" t="s">
        <v>1030</v>
      </c>
      <c r="B961" t="s">
        <v>77</v>
      </c>
      <c r="C961" t="s">
        <v>85</v>
      </c>
      <c r="D961" t="s">
        <v>77</v>
      </c>
      <c r="J961">
        <v>5500</v>
      </c>
      <c r="K961">
        <v>5500</v>
      </c>
    </row>
    <row r="962" spans="1:17" x14ac:dyDescent="0.25">
      <c r="A962" t="s">
        <v>1031</v>
      </c>
      <c r="B962" t="s">
        <v>77</v>
      </c>
      <c r="D962" t="s">
        <v>77</v>
      </c>
      <c r="J962">
        <v>5500</v>
      </c>
      <c r="K962">
        <v>5500</v>
      </c>
    </row>
    <row r="963" spans="1:17" hidden="1" x14ac:dyDescent="0.25">
      <c r="A963" t="s">
        <v>364</v>
      </c>
      <c r="B963" t="s">
        <v>173</v>
      </c>
    </row>
    <row r="964" spans="1:17" hidden="1" x14ac:dyDescent="0.25">
      <c r="A964" t="s">
        <v>1032</v>
      </c>
      <c r="B964" t="s">
        <v>95</v>
      </c>
    </row>
    <row r="965" spans="1:17" x14ac:dyDescent="0.25">
      <c r="A965" t="s">
        <v>1033</v>
      </c>
      <c r="B965" t="s">
        <v>173</v>
      </c>
      <c r="D965" t="s">
        <v>46</v>
      </c>
      <c r="E965">
        <v>2</v>
      </c>
    </row>
    <row r="966" spans="1:17" x14ac:dyDescent="0.25">
      <c r="A966" t="s">
        <v>823</v>
      </c>
      <c r="B966" t="s">
        <v>173</v>
      </c>
      <c r="D966" t="s">
        <v>77</v>
      </c>
      <c r="E966">
        <v>2</v>
      </c>
    </row>
    <row r="967" spans="1:17" x14ac:dyDescent="0.25">
      <c r="A967" t="s">
        <v>1034</v>
      </c>
      <c r="B967" t="s">
        <v>46</v>
      </c>
      <c r="C967" t="s">
        <v>85</v>
      </c>
      <c r="D967" t="s">
        <v>46</v>
      </c>
    </row>
    <row r="968" spans="1:17" x14ac:dyDescent="0.25">
      <c r="A968" t="s">
        <v>1035</v>
      </c>
      <c r="B968" t="s">
        <v>77</v>
      </c>
      <c r="D968" t="s">
        <v>77</v>
      </c>
      <c r="J968" t="s">
        <v>1036</v>
      </c>
      <c r="K968">
        <v>55</v>
      </c>
    </row>
    <row r="969" spans="1:17" x14ac:dyDescent="0.25">
      <c r="A969" t="s">
        <v>1037</v>
      </c>
      <c r="B969" t="s">
        <v>46</v>
      </c>
      <c r="D969" t="s">
        <v>46</v>
      </c>
      <c r="I969" t="s">
        <v>858</v>
      </c>
      <c r="Q969" t="s">
        <v>1038</v>
      </c>
    </row>
    <row r="970" spans="1:17" hidden="1" x14ac:dyDescent="0.25">
      <c r="A970" t="s">
        <v>943</v>
      </c>
      <c r="B970" t="s">
        <v>48</v>
      </c>
    </row>
    <row r="971" spans="1:17" hidden="1" x14ac:dyDescent="0.25">
      <c r="A971" t="s">
        <v>1039</v>
      </c>
      <c r="B971" t="s">
        <v>48</v>
      </c>
    </row>
    <row r="972" spans="1:17" x14ac:dyDescent="0.25">
      <c r="A972" t="s">
        <v>1040</v>
      </c>
      <c r="B972" t="s">
        <v>77</v>
      </c>
      <c r="D972" t="s">
        <v>77</v>
      </c>
      <c r="I972" t="s">
        <v>858</v>
      </c>
      <c r="Q972" t="s">
        <v>1038</v>
      </c>
    </row>
    <row r="973" spans="1:17" x14ac:dyDescent="0.25">
      <c r="A973" t="s">
        <v>1041</v>
      </c>
      <c r="B973" t="s">
        <v>77</v>
      </c>
      <c r="C973" t="s">
        <v>85</v>
      </c>
      <c r="D973" t="s">
        <v>77</v>
      </c>
      <c r="M973">
        <v>2</v>
      </c>
      <c r="O973" t="s">
        <v>215</v>
      </c>
    </row>
    <row r="974" spans="1:17" hidden="1" x14ac:dyDescent="0.25">
      <c r="A974" t="s">
        <v>1042</v>
      </c>
      <c r="B974" t="s">
        <v>87</v>
      </c>
    </row>
    <row r="975" spans="1:17" hidden="1" x14ac:dyDescent="0.25">
      <c r="A975" t="s">
        <v>1043</v>
      </c>
      <c r="B975" t="s">
        <v>87</v>
      </c>
    </row>
    <row r="976" spans="1:17" hidden="1" x14ac:dyDescent="0.25">
      <c r="A976" t="s">
        <v>1044</v>
      </c>
      <c r="B976" t="s">
        <v>173</v>
      </c>
    </row>
    <row r="977" spans="1:17" hidden="1" x14ac:dyDescent="0.25">
      <c r="A977" t="s">
        <v>1045</v>
      </c>
      <c r="B977" t="s">
        <v>173</v>
      </c>
    </row>
    <row r="978" spans="1:17" hidden="1" x14ac:dyDescent="0.25">
      <c r="A978" t="s">
        <v>1046</v>
      </c>
      <c r="B978" t="s">
        <v>173</v>
      </c>
    </row>
    <row r="979" spans="1:17" hidden="1" x14ac:dyDescent="0.25">
      <c r="A979" t="s">
        <v>993</v>
      </c>
      <c r="B979" t="s">
        <v>87</v>
      </c>
    </row>
    <row r="980" spans="1:17" hidden="1" x14ac:dyDescent="0.25">
      <c r="A980" t="s">
        <v>1047</v>
      </c>
      <c r="B980" t="s">
        <v>87</v>
      </c>
    </row>
    <row r="981" spans="1:17" hidden="1" x14ac:dyDescent="0.25">
      <c r="A981" t="s">
        <v>1048</v>
      </c>
      <c r="B981" t="s">
        <v>87</v>
      </c>
    </row>
    <row r="982" spans="1:17" x14ac:dyDescent="0.25">
      <c r="A982" t="s">
        <v>1049</v>
      </c>
      <c r="B982" t="s">
        <v>77</v>
      </c>
      <c r="D982" t="s">
        <v>77</v>
      </c>
      <c r="E982">
        <v>1</v>
      </c>
      <c r="J982" t="s">
        <v>612</v>
      </c>
      <c r="K982">
        <v>21</v>
      </c>
    </row>
    <row r="983" spans="1:17" hidden="1" x14ac:dyDescent="0.25">
      <c r="A983" t="s">
        <v>1050</v>
      </c>
      <c r="B983" t="s">
        <v>16</v>
      </c>
    </row>
    <row r="984" spans="1:17" x14ac:dyDescent="0.25">
      <c r="A984" t="s">
        <v>1051</v>
      </c>
      <c r="B984" t="s">
        <v>77</v>
      </c>
      <c r="C984" t="s">
        <v>83</v>
      </c>
      <c r="D984" t="s">
        <v>77</v>
      </c>
      <c r="J984">
        <v>68</v>
      </c>
      <c r="K984">
        <v>68</v>
      </c>
    </row>
    <row r="985" spans="1:17" x14ac:dyDescent="0.25">
      <c r="A985" t="s">
        <v>1052</v>
      </c>
      <c r="B985" t="s">
        <v>77</v>
      </c>
      <c r="C985" t="s">
        <v>83</v>
      </c>
      <c r="D985" t="s">
        <v>77</v>
      </c>
      <c r="J985">
        <v>48</v>
      </c>
      <c r="K985">
        <v>48</v>
      </c>
    </row>
    <row r="986" spans="1:17" x14ac:dyDescent="0.25">
      <c r="A986" t="s">
        <v>1053</v>
      </c>
      <c r="B986" t="s">
        <v>77</v>
      </c>
      <c r="D986" t="s">
        <v>77</v>
      </c>
      <c r="I986" t="s">
        <v>858</v>
      </c>
      <c r="Q986" t="s">
        <v>859</v>
      </c>
    </row>
    <row r="987" spans="1:17" hidden="1" x14ac:dyDescent="0.25">
      <c r="A987" t="s">
        <v>1054</v>
      </c>
      <c r="B987" t="s">
        <v>48</v>
      </c>
    </row>
    <row r="988" spans="1:17" hidden="1" x14ac:dyDescent="0.25">
      <c r="A988" t="s">
        <v>1055</v>
      </c>
      <c r="B988" t="s">
        <v>48</v>
      </c>
    </row>
    <row r="989" spans="1:17" hidden="1" x14ac:dyDescent="0.25">
      <c r="A989" t="s">
        <v>1056</v>
      </c>
      <c r="B989" t="s">
        <v>341</v>
      </c>
    </row>
    <row r="990" spans="1:17" hidden="1" x14ac:dyDescent="0.25">
      <c r="A990" t="s">
        <v>1057</v>
      </c>
      <c r="B990" t="s">
        <v>341</v>
      </c>
    </row>
    <row r="991" spans="1:17" hidden="1" x14ac:dyDescent="0.25">
      <c r="A991" t="s">
        <v>1058</v>
      </c>
      <c r="B991" t="s">
        <v>341</v>
      </c>
    </row>
    <row r="992" spans="1:17" hidden="1" x14ac:dyDescent="0.25">
      <c r="A992" t="s">
        <v>1059</v>
      </c>
      <c r="B992" t="s">
        <v>87</v>
      </c>
    </row>
    <row r="993" spans="1:19" x14ac:dyDescent="0.25">
      <c r="A993" t="s">
        <v>1060</v>
      </c>
      <c r="B993" t="s">
        <v>77</v>
      </c>
      <c r="D993" t="s">
        <v>77</v>
      </c>
      <c r="J993">
        <v>50</v>
      </c>
      <c r="K993">
        <v>50</v>
      </c>
    </row>
    <row r="994" spans="1:19" x14ac:dyDescent="0.25">
      <c r="A994" t="s">
        <v>303</v>
      </c>
      <c r="B994" t="s">
        <v>173</v>
      </c>
      <c r="C994" t="s">
        <v>83</v>
      </c>
      <c r="D994" t="s">
        <v>77</v>
      </c>
      <c r="J994">
        <v>66</v>
      </c>
      <c r="K994">
        <v>66</v>
      </c>
    </row>
    <row r="995" spans="1:19" x14ac:dyDescent="0.25">
      <c r="A995" t="s">
        <v>1061</v>
      </c>
      <c r="B995" t="s">
        <v>77</v>
      </c>
      <c r="C995" t="s">
        <v>83</v>
      </c>
      <c r="D995" t="s">
        <v>77</v>
      </c>
      <c r="J995">
        <v>50</v>
      </c>
      <c r="K995">
        <v>50</v>
      </c>
    </row>
    <row r="996" spans="1:19" x14ac:dyDescent="0.25">
      <c r="A996" t="s">
        <v>1062</v>
      </c>
      <c r="B996" t="s">
        <v>77</v>
      </c>
      <c r="D996" t="s">
        <v>46</v>
      </c>
      <c r="J996">
        <v>70</v>
      </c>
      <c r="K996">
        <v>70</v>
      </c>
    </row>
    <row r="997" spans="1:19" x14ac:dyDescent="0.25">
      <c r="A997" t="s">
        <v>100</v>
      </c>
      <c r="B997" t="s">
        <v>48</v>
      </c>
      <c r="D997" t="s">
        <v>46</v>
      </c>
      <c r="J997">
        <v>66</v>
      </c>
      <c r="K997">
        <v>66</v>
      </c>
    </row>
    <row r="998" spans="1:19" x14ac:dyDescent="0.25">
      <c r="A998" t="s">
        <v>1063</v>
      </c>
      <c r="B998" t="s">
        <v>46</v>
      </c>
      <c r="D998" t="s">
        <v>46</v>
      </c>
      <c r="J998">
        <v>50</v>
      </c>
      <c r="K998">
        <v>50</v>
      </c>
    </row>
    <row r="999" spans="1:19" hidden="1" x14ac:dyDescent="0.25">
      <c r="A999" t="s">
        <v>1064</v>
      </c>
      <c r="B999" t="s">
        <v>173</v>
      </c>
    </row>
    <row r="1000" spans="1:19" x14ac:dyDescent="0.25">
      <c r="A1000" t="s">
        <v>1065</v>
      </c>
      <c r="B1000" t="s">
        <v>173</v>
      </c>
      <c r="D1000" t="s">
        <v>226</v>
      </c>
      <c r="M1000">
        <v>1</v>
      </c>
      <c r="O1000" t="s">
        <v>215</v>
      </c>
      <c r="S1000" t="s">
        <v>294</v>
      </c>
    </row>
    <row r="1001" spans="1:19" x14ac:dyDescent="0.25">
      <c r="A1001" t="s">
        <v>1066</v>
      </c>
      <c r="B1001" t="s">
        <v>77</v>
      </c>
      <c r="C1001" t="s">
        <v>83</v>
      </c>
      <c r="D1001" t="s">
        <v>77</v>
      </c>
      <c r="J1001">
        <v>50</v>
      </c>
      <c r="K1001">
        <v>50</v>
      </c>
      <c r="Q1001" t="s">
        <v>1067</v>
      </c>
    </row>
    <row r="1002" spans="1:19" hidden="1" x14ac:dyDescent="0.25">
      <c r="A1002" t="s">
        <v>1068</v>
      </c>
      <c r="B1002" t="s">
        <v>173</v>
      </c>
    </row>
    <row r="1003" spans="1:19" hidden="1" x14ac:dyDescent="0.25">
      <c r="A1003" t="s">
        <v>1069</v>
      </c>
      <c r="B1003" t="s">
        <v>173</v>
      </c>
    </row>
    <row r="1004" spans="1:19" hidden="1" x14ac:dyDescent="0.25">
      <c r="A1004" t="s">
        <v>1070</v>
      </c>
      <c r="B1004" t="s">
        <v>173</v>
      </c>
    </row>
    <row r="1005" spans="1:19" x14ac:dyDescent="0.25">
      <c r="A1005" t="s">
        <v>1071</v>
      </c>
      <c r="B1005" t="s">
        <v>77</v>
      </c>
      <c r="D1005" t="s">
        <v>77</v>
      </c>
      <c r="I1005" t="s">
        <v>79</v>
      </c>
    </row>
    <row r="1006" spans="1:19" x14ac:dyDescent="0.25">
      <c r="A1006" t="s">
        <v>1072</v>
      </c>
      <c r="B1006" t="s">
        <v>77</v>
      </c>
      <c r="D1006" t="s">
        <v>77</v>
      </c>
      <c r="Q1006" t="s">
        <v>1073</v>
      </c>
    </row>
    <row r="1007" spans="1:19" x14ac:dyDescent="0.25">
      <c r="A1007" t="s">
        <v>1074</v>
      </c>
      <c r="B1007" t="s">
        <v>77</v>
      </c>
      <c r="D1007" t="s">
        <v>77</v>
      </c>
      <c r="Q1007" t="s">
        <v>1073</v>
      </c>
    </row>
    <row r="1008" spans="1:19" x14ac:dyDescent="0.25">
      <c r="A1008" t="s">
        <v>1075</v>
      </c>
      <c r="B1008" t="s">
        <v>77</v>
      </c>
      <c r="D1008" t="s">
        <v>77</v>
      </c>
      <c r="I1008" t="s">
        <v>79</v>
      </c>
    </row>
    <row r="1009" spans="1:17" x14ac:dyDescent="0.25">
      <c r="A1009" t="s">
        <v>1076</v>
      </c>
      <c r="B1009" t="s">
        <v>48</v>
      </c>
      <c r="D1009" t="s">
        <v>46</v>
      </c>
      <c r="I1009" t="s">
        <v>79</v>
      </c>
    </row>
    <row r="1010" spans="1:17" hidden="1" x14ac:dyDescent="0.25">
      <c r="A1010" t="s">
        <v>1077</v>
      </c>
      <c r="B1010" t="s">
        <v>16</v>
      </c>
    </row>
    <row r="1011" spans="1:17" hidden="1" x14ac:dyDescent="0.25">
      <c r="A1011" t="s">
        <v>1078</v>
      </c>
      <c r="B1011" t="s">
        <v>16</v>
      </c>
    </row>
    <row r="1012" spans="1:17" hidden="1" x14ac:dyDescent="0.25">
      <c r="A1012" t="s">
        <v>1079</v>
      </c>
      <c r="B1012" t="s">
        <v>16</v>
      </c>
    </row>
    <row r="1013" spans="1:17" x14ac:dyDescent="0.25">
      <c r="A1013" t="s">
        <v>1080</v>
      </c>
      <c r="B1013" t="s">
        <v>48</v>
      </c>
      <c r="D1013" t="s">
        <v>46</v>
      </c>
      <c r="I1013" t="s">
        <v>79</v>
      </c>
    </row>
    <row r="1014" spans="1:17" x14ac:dyDescent="0.25">
      <c r="A1014" t="s">
        <v>1081</v>
      </c>
      <c r="B1014" t="s">
        <v>46</v>
      </c>
      <c r="D1014" t="s">
        <v>46</v>
      </c>
      <c r="Q1014" t="s">
        <v>1073</v>
      </c>
    </row>
    <row r="1015" spans="1:17" x14ac:dyDescent="0.25">
      <c r="A1015" t="s">
        <v>1082</v>
      </c>
      <c r="B1015" t="s">
        <v>46</v>
      </c>
      <c r="D1015" t="s">
        <v>46</v>
      </c>
    </row>
    <row r="1016" spans="1:17" hidden="1" x14ac:dyDescent="0.25">
      <c r="A1016" t="s">
        <v>1083</v>
      </c>
      <c r="B1016" t="s">
        <v>173</v>
      </c>
    </row>
    <row r="1017" spans="1:17" x14ac:dyDescent="0.25">
      <c r="A1017" t="s">
        <v>1084</v>
      </c>
      <c r="B1017" t="s">
        <v>95</v>
      </c>
      <c r="D1017" t="s">
        <v>46</v>
      </c>
      <c r="I1017" t="s">
        <v>79</v>
      </c>
    </row>
    <row r="1018" spans="1:17" x14ac:dyDescent="0.25">
      <c r="A1018" t="s">
        <v>1085</v>
      </c>
      <c r="B1018" t="s">
        <v>77</v>
      </c>
      <c r="D1018" t="s">
        <v>77</v>
      </c>
    </row>
    <row r="1019" spans="1:17" x14ac:dyDescent="0.25">
      <c r="A1019" t="s">
        <v>1086</v>
      </c>
      <c r="B1019" t="s">
        <v>77</v>
      </c>
      <c r="D1019" t="s">
        <v>77</v>
      </c>
    </row>
    <row r="1020" spans="1:17" x14ac:dyDescent="0.25">
      <c r="A1020" t="s">
        <v>1087</v>
      </c>
      <c r="B1020" t="s">
        <v>77</v>
      </c>
      <c r="D1020" t="s">
        <v>77</v>
      </c>
      <c r="I1020" t="s">
        <v>79</v>
      </c>
    </row>
    <row r="1021" spans="1:17" x14ac:dyDescent="0.25">
      <c r="A1021" t="s">
        <v>1088</v>
      </c>
      <c r="B1021" t="s">
        <v>48</v>
      </c>
      <c r="D1021" t="s">
        <v>49</v>
      </c>
      <c r="Q1021" t="s">
        <v>1089</v>
      </c>
    </row>
    <row r="1022" spans="1:17" x14ac:dyDescent="0.25">
      <c r="A1022" t="s">
        <v>1090</v>
      </c>
      <c r="B1022" t="s">
        <v>48</v>
      </c>
      <c r="D1022" t="s">
        <v>49</v>
      </c>
      <c r="Q1022" t="s">
        <v>1089</v>
      </c>
    </row>
    <row r="1023" spans="1:17" x14ac:dyDescent="0.25">
      <c r="A1023" t="s">
        <v>1091</v>
      </c>
      <c r="B1023" t="s">
        <v>77</v>
      </c>
      <c r="D1023" t="s">
        <v>77</v>
      </c>
      <c r="J1023">
        <v>30</v>
      </c>
      <c r="K1023">
        <v>30</v>
      </c>
    </row>
    <row r="1024" spans="1:17" x14ac:dyDescent="0.25">
      <c r="A1024" t="s">
        <v>1092</v>
      </c>
      <c r="B1024" t="s">
        <v>46</v>
      </c>
      <c r="D1024" t="s">
        <v>46</v>
      </c>
      <c r="J1024">
        <v>30</v>
      </c>
      <c r="K1024">
        <v>30</v>
      </c>
    </row>
    <row r="1025" spans="1:11" hidden="1" x14ac:dyDescent="0.25">
      <c r="A1025" t="s">
        <v>1093</v>
      </c>
    </row>
    <row r="1026" spans="1:11" x14ac:dyDescent="0.25">
      <c r="A1026" t="s">
        <v>1094</v>
      </c>
      <c r="B1026" t="s">
        <v>46</v>
      </c>
      <c r="D1026" t="s">
        <v>46</v>
      </c>
      <c r="J1026">
        <v>20</v>
      </c>
      <c r="K1026">
        <v>20</v>
      </c>
    </row>
    <row r="1027" spans="1:11" hidden="1" x14ac:dyDescent="0.25">
      <c r="A1027" t="s">
        <v>1095</v>
      </c>
      <c r="B1027" t="s">
        <v>341</v>
      </c>
    </row>
    <row r="1028" spans="1:11" hidden="1" x14ac:dyDescent="0.25">
      <c r="A1028" t="s">
        <v>1096</v>
      </c>
      <c r="B1028" t="s">
        <v>173</v>
      </c>
    </row>
    <row r="1029" spans="1:11" hidden="1" x14ac:dyDescent="0.25">
      <c r="A1029" t="s">
        <v>1097</v>
      </c>
      <c r="B1029" t="s">
        <v>87</v>
      </c>
    </row>
    <row r="1030" spans="1:11" hidden="1" x14ac:dyDescent="0.25">
      <c r="A1030" t="s">
        <v>1098</v>
      </c>
      <c r="B1030" t="s">
        <v>341</v>
      </c>
    </row>
    <row r="1031" spans="1:11" hidden="1" x14ac:dyDescent="0.25">
      <c r="A1031" t="s">
        <v>1099</v>
      </c>
      <c r="B1031" t="s">
        <v>87</v>
      </c>
    </row>
    <row r="1032" spans="1:11" x14ac:dyDescent="0.25">
      <c r="A1032" t="s">
        <v>1100</v>
      </c>
      <c r="B1032" t="s">
        <v>46</v>
      </c>
      <c r="D1032" t="s">
        <v>46</v>
      </c>
      <c r="I1032" t="s">
        <v>79</v>
      </c>
      <c r="J1032">
        <v>70</v>
      </c>
      <c r="K1032">
        <v>70</v>
      </c>
    </row>
    <row r="1033" spans="1:11" x14ac:dyDescent="0.25">
      <c r="A1033" t="s">
        <v>1101</v>
      </c>
      <c r="B1033" t="s">
        <v>77</v>
      </c>
      <c r="D1033" t="s">
        <v>77</v>
      </c>
      <c r="J1033" t="s">
        <v>1102</v>
      </c>
      <c r="K1033">
        <v>63</v>
      </c>
    </row>
    <row r="1034" spans="1:11" hidden="1" x14ac:dyDescent="0.25">
      <c r="A1034" t="s">
        <v>1103</v>
      </c>
      <c r="B1034" t="s">
        <v>173</v>
      </c>
    </row>
    <row r="1035" spans="1:11" x14ac:dyDescent="0.25">
      <c r="A1035" t="s">
        <v>1104</v>
      </c>
      <c r="B1035" t="s">
        <v>77</v>
      </c>
      <c r="C1035" t="s">
        <v>85</v>
      </c>
      <c r="D1035" t="s">
        <v>77</v>
      </c>
      <c r="J1035">
        <v>63</v>
      </c>
      <c r="K1035">
        <v>63</v>
      </c>
    </row>
    <row r="1036" spans="1:11" hidden="1" x14ac:dyDescent="0.25">
      <c r="A1036" t="s">
        <v>1105</v>
      </c>
      <c r="B1036" t="s">
        <v>87</v>
      </c>
    </row>
    <row r="1037" spans="1:11" hidden="1" x14ac:dyDescent="0.25">
      <c r="A1037" t="s">
        <v>1106</v>
      </c>
      <c r="B1037" t="s">
        <v>173</v>
      </c>
    </row>
    <row r="1038" spans="1:11" hidden="1" x14ac:dyDescent="0.25">
      <c r="A1038" t="s">
        <v>1107</v>
      </c>
      <c r="B1038" t="s">
        <v>341</v>
      </c>
    </row>
    <row r="1039" spans="1:11" hidden="1" x14ac:dyDescent="0.25">
      <c r="A1039" t="s">
        <v>1108</v>
      </c>
      <c r="B1039" t="s">
        <v>341</v>
      </c>
    </row>
    <row r="1040" spans="1:11" hidden="1" x14ac:dyDescent="0.25">
      <c r="A1040" t="s">
        <v>1026</v>
      </c>
      <c r="B1040" t="s">
        <v>87</v>
      </c>
    </row>
    <row r="1041" spans="1:18" hidden="1" x14ac:dyDescent="0.25">
      <c r="A1041" t="s">
        <v>1109</v>
      </c>
      <c r="B1041" t="s">
        <v>173</v>
      </c>
    </row>
    <row r="1042" spans="1:18" hidden="1" x14ac:dyDescent="0.25">
      <c r="A1042" t="s">
        <v>1110</v>
      </c>
      <c r="B1042" t="s">
        <v>173</v>
      </c>
    </row>
    <row r="1043" spans="1:18" x14ac:dyDescent="0.25">
      <c r="A1043" t="s">
        <v>1111</v>
      </c>
      <c r="B1043" t="s">
        <v>20</v>
      </c>
      <c r="D1043" t="s">
        <v>44</v>
      </c>
      <c r="J1043" t="s">
        <v>1112</v>
      </c>
      <c r="K1043">
        <v>60</v>
      </c>
    </row>
    <row r="1044" spans="1:18" x14ac:dyDescent="0.25">
      <c r="A1044" t="s">
        <v>1113</v>
      </c>
      <c r="B1044" t="s">
        <v>77</v>
      </c>
      <c r="D1044" t="s">
        <v>77</v>
      </c>
      <c r="J1044" t="s">
        <v>1112</v>
      </c>
      <c r="K1044">
        <v>60</v>
      </c>
    </row>
    <row r="1045" spans="1:18" hidden="1" x14ac:dyDescent="0.25">
      <c r="A1045" t="s">
        <v>337</v>
      </c>
      <c r="B1045" t="s">
        <v>16</v>
      </c>
    </row>
    <row r="1046" spans="1:18" hidden="1" x14ac:dyDescent="0.25">
      <c r="A1046" t="s">
        <v>1114</v>
      </c>
      <c r="B1046" t="s">
        <v>16</v>
      </c>
    </row>
    <row r="1047" spans="1:18" hidden="1" x14ac:dyDescent="0.25">
      <c r="A1047" t="s">
        <v>1115</v>
      </c>
      <c r="B1047" t="s">
        <v>87</v>
      </c>
    </row>
    <row r="1048" spans="1:18" hidden="1" x14ac:dyDescent="0.25">
      <c r="A1048" t="s">
        <v>1116</v>
      </c>
      <c r="B1048" t="s">
        <v>87</v>
      </c>
    </row>
    <row r="1049" spans="1:18" x14ac:dyDescent="0.25">
      <c r="A1049" t="s">
        <v>1117</v>
      </c>
      <c r="B1049" t="s">
        <v>20</v>
      </c>
      <c r="D1049" t="s">
        <v>44</v>
      </c>
      <c r="R1049" t="s">
        <v>108</v>
      </c>
    </row>
    <row r="1050" spans="1:18" x14ac:dyDescent="0.25">
      <c r="A1050" t="s">
        <v>1118</v>
      </c>
      <c r="B1050" t="s">
        <v>46</v>
      </c>
      <c r="D1050" t="s">
        <v>45</v>
      </c>
      <c r="R1050" t="s">
        <v>108</v>
      </c>
    </row>
    <row r="1051" spans="1:18" x14ac:dyDescent="0.25">
      <c r="A1051" t="s">
        <v>1119</v>
      </c>
      <c r="B1051" t="s">
        <v>20</v>
      </c>
      <c r="D1051" t="s">
        <v>44</v>
      </c>
      <c r="R1051" t="s">
        <v>106</v>
      </c>
    </row>
    <row r="1052" spans="1:18" x14ac:dyDescent="0.25">
      <c r="A1052" t="s">
        <v>1120</v>
      </c>
      <c r="B1052" t="s">
        <v>46</v>
      </c>
      <c r="D1052" t="s">
        <v>45</v>
      </c>
      <c r="R1052" t="s">
        <v>106</v>
      </c>
    </row>
    <row r="1053" spans="1:18" x14ac:dyDescent="0.25">
      <c r="A1053" t="s">
        <v>1121</v>
      </c>
      <c r="B1053" t="s">
        <v>87</v>
      </c>
      <c r="D1053" t="s">
        <v>77</v>
      </c>
      <c r="R1053" t="s">
        <v>106</v>
      </c>
    </row>
    <row r="1054" spans="1:18" hidden="1" x14ac:dyDescent="0.25">
      <c r="A1054" t="s">
        <v>1122</v>
      </c>
      <c r="B1054" t="s">
        <v>95</v>
      </c>
    </row>
    <row r="1055" spans="1:18" hidden="1" x14ac:dyDescent="0.25">
      <c r="A1055" t="s">
        <v>1123</v>
      </c>
      <c r="B1055" t="s">
        <v>341</v>
      </c>
    </row>
    <row r="1056" spans="1:18" x14ac:dyDescent="0.25">
      <c r="A1056" t="s">
        <v>1124</v>
      </c>
      <c r="B1056" t="s">
        <v>77</v>
      </c>
      <c r="C1056" t="s">
        <v>83</v>
      </c>
      <c r="D1056" t="s">
        <v>77</v>
      </c>
      <c r="J1056" t="s">
        <v>1125</v>
      </c>
      <c r="K1056">
        <v>39</v>
      </c>
    </row>
    <row r="1057" spans="1:19" x14ac:dyDescent="0.25">
      <c r="A1057" t="s">
        <v>1126</v>
      </c>
      <c r="B1057" t="s">
        <v>77</v>
      </c>
      <c r="C1057" t="s">
        <v>85</v>
      </c>
      <c r="D1057" t="s">
        <v>77</v>
      </c>
      <c r="J1057">
        <v>39</v>
      </c>
      <c r="K1057">
        <v>39</v>
      </c>
      <c r="M1057">
        <v>-2</v>
      </c>
      <c r="O1057" t="s">
        <v>1127</v>
      </c>
    </row>
    <row r="1058" spans="1:19" hidden="1" x14ac:dyDescent="0.25">
      <c r="A1058" t="s">
        <v>1128</v>
      </c>
      <c r="B1058" t="s">
        <v>341</v>
      </c>
    </row>
    <row r="1059" spans="1:19" hidden="1" x14ac:dyDescent="0.25">
      <c r="A1059" t="s">
        <v>1129</v>
      </c>
      <c r="B1059" t="s">
        <v>341</v>
      </c>
    </row>
    <row r="1060" spans="1:19" hidden="1" x14ac:dyDescent="0.25">
      <c r="A1060" t="s">
        <v>1130</v>
      </c>
      <c r="B1060" t="s">
        <v>341</v>
      </c>
    </row>
    <row r="1061" spans="1:19" hidden="1" x14ac:dyDescent="0.25">
      <c r="A1061" t="s">
        <v>1131</v>
      </c>
      <c r="B1061" t="s">
        <v>341</v>
      </c>
    </row>
    <row r="1062" spans="1:19" hidden="1" x14ac:dyDescent="0.25">
      <c r="A1062" t="s">
        <v>1132</v>
      </c>
      <c r="B1062" t="s">
        <v>341</v>
      </c>
    </row>
    <row r="1063" spans="1:19" hidden="1" x14ac:dyDescent="0.25">
      <c r="A1063" t="s">
        <v>1133</v>
      </c>
      <c r="B1063" t="s">
        <v>341</v>
      </c>
    </row>
    <row r="1064" spans="1:19" hidden="1" x14ac:dyDescent="0.25">
      <c r="A1064" t="s">
        <v>1134</v>
      </c>
      <c r="B1064" t="s">
        <v>341</v>
      </c>
    </row>
    <row r="1065" spans="1:19" x14ac:dyDescent="0.25">
      <c r="A1065" t="s">
        <v>1135</v>
      </c>
      <c r="B1065" t="s">
        <v>46</v>
      </c>
      <c r="D1065" t="s">
        <v>377</v>
      </c>
      <c r="S1065" t="s">
        <v>1136</v>
      </c>
    </row>
    <row r="1066" spans="1:19" hidden="1" x14ac:dyDescent="0.25">
      <c r="A1066" t="s">
        <v>1137</v>
      </c>
      <c r="B1066" t="s">
        <v>87</v>
      </c>
    </row>
    <row r="1067" spans="1:19" hidden="1" x14ac:dyDescent="0.25">
      <c r="A1067" t="s">
        <v>1138</v>
      </c>
      <c r="B1067" t="s">
        <v>95</v>
      </c>
    </row>
    <row r="1068" spans="1:19" hidden="1" x14ac:dyDescent="0.25">
      <c r="A1068" t="s">
        <v>1139</v>
      </c>
      <c r="B1068" t="s">
        <v>87</v>
      </c>
    </row>
    <row r="1069" spans="1:19" hidden="1" x14ac:dyDescent="0.25">
      <c r="A1069" t="s">
        <v>1140</v>
      </c>
      <c r="B1069" t="s">
        <v>173</v>
      </c>
    </row>
    <row r="1070" spans="1:19" hidden="1" x14ac:dyDescent="0.25">
      <c r="A1070" t="s">
        <v>1141</v>
      </c>
      <c r="B1070" t="s">
        <v>87</v>
      </c>
    </row>
    <row r="1071" spans="1:19" x14ac:dyDescent="0.25">
      <c r="A1071" t="s">
        <v>1142</v>
      </c>
      <c r="B1071" t="s">
        <v>77</v>
      </c>
      <c r="C1071" t="s">
        <v>85</v>
      </c>
      <c r="D1071" t="s">
        <v>77</v>
      </c>
      <c r="J1071">
        <v>54</v>
      </c>
      <c r="K1071">
        <v>54</v>
      </c>
      <c r="R1071" t="s">
        <v>106</v>
      </c>
    </row>
    <row r="1072" spans="1:19" x14ac:dyDescent="0.25">
      <c r="A1072" t="s">
        <v>1143</v>
      </c>
      <c r="B1072" t="s">
        <v>77</v>
      </c>
      <c r="C1072" t="s">
        <v>85</v>
      </c>
      <c r="D1072" t="s">
        <v>77</v>
      </c>
      <c r="J1072">
        <v>66</v>
      </c>
      <c r="K1072">
        <v>66</v>
      </c>
      <c r="S1072" t="s">
        <v>290</v>
      </c>
    </row>
    <row r="1073" spans="1:19" x14ac:dyDescent="0.25">
      <c r="A1073" t="s">
        <v>1144</v>
      </c>
      <c r="B1073" t="s">
        <v>77</v>
      </c>
      <c r="C1073" t="s">
        <v>85</v>
      </c>
      <c r="D1073" t="s">
        <v>77</v>
      </c>
      <c r="J1073">
        <v>66</v>
      </c>
      <c r="K1073">
        <v>66</v>
      </c>
      <c r="S1073" t="s">
        <v>292</v>
      </c>
    </row>
    <row r="1074" spans="1:19" hidden="1" x14ac:dyDescent="0.25">
      <c r="A1074" t="s">
        <v>1145</v>
      </c>
      <c r="B1074" t="s">
        <v>341</v>
      </c>
    </row>
    <row r="1075" spans="1:19" hidden="1" x14ac:dyDescent="0.25">
      <c r="A1075" t="s">
        <v>1146</v>
      </c>
      <c r="B1075" t="s">
        <v>341</v>
      </c>
    </row>
    <row r="1076" spans="1:19" hidden="1" x14ac:dyDescent="0.25">
      <c r="A1076" t="s">
        <v>1147</v>
      </c>
      <c r="B1076" t="s">
        <v>341</v>
      </c>
    </row>
    <row r="1077" spans="1:19" hidden="1" x14ac:dyDescent="0.25">
      <c r="A1077" t="s">
        <v>1148</v>
      </c>
      <c r="B1077" t="s">
        <v>341</v>
      </c>
    </row>
    <row r="1078" spans="1:19" hidden="1" x14ac:dyDescent="0.25">
      <c r="A1078" t="s">
        <v>1149</v>
      </c>
    </row>
    <row r="1079" spans="1:19" hidden="1" x14ac:dyDescent="0.25">
      <c r="A1079" t="s">
        <v>1099</v>
      </c>
      <c r="B1079" t="s">
        <v>341</v>
      </c>
    </row>
    <row r="1080" spans="1:19" hidden="1" x14ac:dyDescent="0.25">
      <c r="A1080" t="s">
        <v>1150</v>
      </c>
      <c r="B1080" t="s">
        <v>341</v>
      </c>
    </row>
    <row r="1081" spans="1:19" hidden="1" x14ac:dyDescent="0.25">
      <c r="A1081" t="s">
        <v>1151</v>
      </c>
      <c r="B1081" t="s">
        <v>341</v>
      </c>
    </row>
    <row r="1082" spans="1:19" hidden="1" x14ac:dyDescent="0.25">
      <c r="A1082" t="s">
        <v>1152</v>
      </c>
      <c r="B1082" t="s">
        <v>87</v>
      </c>
    </row>
    <row r="1083" spans="1:19" hidden="1" x14ac:dyDescent="0.25">
      <c r="A1083" t="s">
        <v>1153</v>
      </c>
      <c r="B1083" t="s">
        <v>87</v>
      </c>
    </row>
    <row r="1084" spans="1:19" hidden="1" x14ac:dyDescent="0.25">
      <c r="A1084" t="s">
        <v>1154</v>
      </c>
    </row>
    <row r="1085" spans="1:19" hidden="1" x14ac:dyDescent="0.25">
      <c r="A1085" t="s">
        <v>1155</v>
      </c>
    </row>
    <row r="1086" spans="1:19" hidden="1" x14ac:dyDescent="0.25">
      <c r="A1086" t="s">
        <v>1156</v>
      </c>
      <c r="B1086" t="s">
        <v>95</v>
      </c>
    </row>
    <row r="1087" spans="1:19" x14ac:dyDescent="0.25">
      <c r="A1087" t="s">
        <v>1157</v>
      </c>
      <c r="B1087" t="s">
        <v>77</v>
      </c>
      <c r="C1087" t="s">
        <v>83</v>
      </c>
      <c r="D1087" t="s">
        <v>77</v>
      </c>
      <c r="J1087">
        <v>59.4</v>
      </c>
      <c r="K1087">
        <v>59.4</v>
      </c>
    </row>
    <row r="1088" spans="1:19" x14ac:dyDescent="0.25">
      <c r="A1088" t="s">
        <v>1158</v>
      </c>
      <c r="B1088" t="s">
        <v>46</v>
      </c>
      <c r="C1088" t="s">
        <v>1159</v>
      </c>
      <c r="D1088" t="s">
        <v>46</v>
      </c>
      <c r="J1088">
        <v>59.4</v>
      </c>
      <c r="K1088">
        <v>59.4</v>
      </c>
    </row>
    <row r="1089" spans="1:17" x14ac:dyDescent="0.25">
      <c r="A1089" t="s">
        <v>1160</v>
      </c>
      <c r="B1089" t="s">
        <v>20</v>
      </c>
      <c r="D1089" t="s">
        <v>20</v>
      </c>
      <c r="Q1089" t="s">
        <v>1161</v>
      </c>
    </row>
    <row r="1090" spans="1:17" x14ac:dyDescent="0.25">
      <c r="A1090" t="s">
        <v>1162</v>
      </c>
      <c r="B1090" t="s">
        <v>20</v>
      </c>
      <c r="D1090" t="s">
        <v>20</v>
      </c>
      <c r="I1090" t="s">
        <v>79</v>
      </c>
      <c r="Q1090" t="s">
        <v>1038</v>
      </c>
    </row>
    <row r="1091" spans="1:17" x14ac:dyDescent="0.25">
      <c r="A1091" t="s">
        <v>1163</v>
      </c>
      <c r="B1091" t="s">
        <v>77</v>
      </c>
      <c r="C1091" t="s">
        <v>85</v>
      </c>
      <c r="D1091" t="s">
        <v>77</v>
      </c>
      <c r="Q1091" t="s">
        <v>1161</v>
      </c>
    </row>
    <row r="1092" spans="1:17" hidden="1" x14ac:dyDescent="0.25">
      <c r="A1092" t="s">
        <v>1164</v>
      </c>
      <c r="B1092" t="s">
        <v>16</v>
      </c>
    </row>
    <row r="1093" spans="1:17" hidden="1" x14ac:dyDescent="0.25">
      <c r="A1093" t="s">
        <v>1165</v>
      </c>
    </row>
    <row r="1094" spans="1:17" hidden="1" x14ac:dyDescent="0.25">
      <c r="A1094" t="s">
        <v>1166</v>
      </c>
      <c r="B1094" t="s">
        <v>87</v>
      </c>
    </row>
    <row r="1095" spans="1:17" hidden="1" x14ac:dyDescent="0.25">
      <c r="A1095" t="s">
        <v>1167</v>
      </c>
      <c r="B1095" t="s">
        <v>341</v>
      </c>
    </row>
    <row r="1096" spans="1:17" hidden="1" x14ac:dyDescent="0.25">
      <c r="A1096" t="s">
        <v>1168</v>
      </c>
      <c r="B1096" t="s">
        <v>87</v>
      </c>
    </row>
    <row r="1097" spans="1:17" hidden="1" x14ac:dyDescent="0.25">
      <c r="A1097" t="s">
        <v>89</v>
      </c>
      <c r="B1097" t="s">
        <v>173</v>
      </c>
    </row>
    <row r="1098" spans="1:17" hidden="1" x14ac:dyDescent="0.25">
      <c r="A1098" t="s">
        <v>1169</v>
      </c>
      <c r="B1098" t="s">
        <v>173</v>
      </c>
    </row>
    <row r="1099" spans="1:17" hidden="1" x14ac:dyDescent="0.25">
      <c r="A1099" t="s">
        <v>90</v>
      </c>
      <c r="B1099" t="s">
        <v>173</v>
      </c>
    </row>
    <row r="1100" spans="1:17" hidden="1" x14ac:dyDescent="0.25">
      <c r="A1100" t="s">
        <v>328</v>
      </c>
      <c r="B1100" t="s">
        <v>173</v>
      </c>
    </row>
    <row r="1101" spans="1:17" hidden="1" x14ac:dyDescent="0.25">
      <c r="A1101" t="s">
        <v>327</v>
      </c>
      <c r="B1101" t="s">
        <v>173</v>
      </c>
    </row>
    <row r="1102" spans="1:17" hidden="1" x14ac:dyDescent="0.25">
      <c r="A1102" t="s">
        <v>1170</v>
      </c>
      <c r="B1102" t="s">
        <v>173</v>
      </c>
    </row>
    <row r="1103" spans="1:17" hidden="1" x14ac:dyDescent="0.25">
      <c r="A1103" t="s">
        <v>1171</v>
      </c>
      <c r="B1103" t="s">
        <v>46</v>
      </c>
    </row>
    <row r="1104" spans="1:17" hidden="1" x14ac:dyDescent="0.25">
      <c r="A1104" t="s">
        <v>93</v>
      </c>
      <c r="B1104" t="s">
        <v>173</v>
      </c>
    </row>
    <row r="1105" spans="1:11" hidden="1" x14ac:dyDescent="0.25">
      <c r="A1105" t="s">
        <v>360</v>
      </c>
      <c r="B1105" t="s">
        <v>173</v>
      </c>
    </row>
    <row r="1106" spans="1:11" hidden="1" x14ac:dyDescent="0.25">
      <c r="A1106" t="s">
        <v>1172</v>
      </c>
      <c r="B1106" t="s">
        <v>173</v>
      </c>
    </row>
    <row r="1107" spans="1:11" hidden="1" x14ac:dyDescent="0.25">
      <c r="A1107" t="s">
        <v>1173</v>
      </c>
      <c r="B1107" t="s">
        <v>173</v>
      </c>
    </row>
    <row r="1108" spans="1:11" hidden="1" x14ac:dyDescent="0.25">
      <c r="A1108" t="s">
        <v>1174</v>
      </c>
      <c r="B1108" t="s">
        <v>173</v>
      </c>
    </row>
    <row r="1109" spans="1:11" hidden="1" x14ac:dyDescent="0.25">
      <c r="A1109" t="s">
        <v>1175</v>
      </c>
      <c r="B1109" t="s">
        <v>173</v>
      </c>
    </row>
    <row r="1110" spans="1:11" hidden="1" x14ac:dyDescent="0.25">
      <c r="A1110" t="s">
        <v>1176</v>
      </c>
      <c r="B1110" t="s">
        <v>173</v>
      </c>
    </row>
    <row r="1111" spans="1:11" hidden="1" x14ac:dyDescent="0.25">
      <c r="A1111" t="s">
        <v>855</v>
      </c>
      <c r="B1111" t="s">
        <v>87</v>
      </c>
    </row>
    <row r="1112" spans="1:11" hidden="1" x14ac:dyDescent="0.25">
      <c r="A1112" t="s">
        <v>1177</v>
      </c>
      <c r="B1112" t="s">
        <v>87</v>
      </c>
    </row>
    <row r="1113" spans="1:11" hidden="1" x14ac:dyDescent="0.25">
      <c r="A1113" t="s">
        <v>866</v>
      </c>
      <c r="B1113" t="s">
        <v>87</v>
      </c>
    </row>
    <row r="1114" spans="1:11" hidden="1" x14ac:dyDescent="0.25">
      <c r="A1114" t="s">
        <v>1178</v>
      </c>
      <c r="B1114" t="s">
        <v>87</v>
      </c>
    </row>
    <row r="1115" spans="1:11" hidden="1" x14ac:dyDescent="0.25">
      <c r="A1115" t="s">
        <v>641</v>
      </c>
      <c r="B1115" t="s">
        <v>341</v>
      </c>
    </row>
    <row r="1116" spans="1:11" hidden="1" x14ac:dyDescent="0.25">
      <c r="A1116" t="s">
        <v>1050</v>
      </c>
      <c r="B1116" t="s">
        <v>173</v>
      </c>
    </row>
    <row r="1117" spans="1:11" hidden="1" x14ac:dyDescent="0.25">
      <c r="A1117" t="s">
        <v>708</v>
      </c>
      <c r="B1117" t="s">
        <v>87</v>
      </c>
    </row>
    <row r="1118" spans="1:11" x14ac:dyDescent="0.25">
      <c r="A1118" t="s">
        <v>1033</v>
      </c>
      <c r="B1118" t="s">
        <v>48</v>
      </c>
      <c r="D1118" t="s">
        <v>46</v>
      </c>
      <c r="E1118">
        <v>2</v>
      </c>
    </row>
    <row r="1119" spans="1:11" x14ac:dyDescent="0.25">
      <c r="A1119" t="s">
        <v>1179</v>
      </c>
      <c r="B1119" t="s">
        <v>46</v>
      </c>
      <c r="D1119" t="s">
        <v>46</v>
      </c>
      <c r="J1119">
        <v>52.5</v>
      </c>
      <c r="K1119">
        <v>52.5</v>
      </c>
    </row>
    <row r="1120" spans="1:11" hidden="1" x14ac:dyDescent="0.25">
      <c r="A1120" t="s">
        <v>1180</v>
      </c>
      <c r="B1120" t="s">
        <v>87</v>
      </c>
    </row>
    <row r="1121" spans="1:19" x14ac:dyDescent="0.25">
      <c r="A1121" t="s">
        <v>1181</v>
      </c>
      <c r="B1121" t="s">
        <v>77</v>
      </c>
      <c r="D1121" t="s">
        <v>77</v>
      </c>
      <c r="J1121">
        <v>52.5</v>
      </c>
      <c r="K1121">
        <v>52.5</v>
      </c>
    </row>
    <row r="1122" spans="1:19" x14ac:dyDescent="0.25">
      <c r="A1122" t="s">
        <v>1182</v>
      </c>
      <c r="B1122" t="s">
        <v>77</v>
      </c>
      <c r="C1122" t="s">
        <v>85</v>
      </c>
      <c r="D1122" t="s">
        <v>77</v>
      </c>
      <c r="J1122">
        <v>63</v>
      </c>
      <c r="K1122">
        <v>63</v>
      </c>
      <c r="R1122" t="s">
        <v>108</v>
      </c>
      <c r="S1122" t="s">
        <v>290</v>
      </c>
    </row>
    <row r="1123" spans="1:19" hidden="1" x14ac:dyDescent="0.25">
      <c r="A1123" t="s">
        <v>1105</v>
      </c>
      <c r="B1123" t="s">
        <v>341</v>
      </c>
    </row>
    <row r="1124" spans="1:19" x14ac:dyDescent="0.25">
      <c r="A1124" t="s">
        <v>1183</v>
      </c>
      <c r="B1124" t="s">
        <v>48</v>
      </c>
      <c r="D1124" t="s">
        <v>46</v>
      </c>
      <c r="I1124" t="s">
        <v>858</v>
      </c>
      <c r="Q1124" t="s">
        <v>1038</v>
      </c>
    </row>
    <row r="1125" spans="1:19" hidden="1" x14ac:dyDescent="0.25">
      <c r="A1125" t="s">
        <v>1184</v>
      </c>
      <c r="B1125" t="s">
        <v>46</v>
      </c>
    </row>
    <row r="1126" spans="1:19" x14ac:dyDescent="0.25">
      <c r="A1126" t="s">
        <v>1185</v>
      </c>
      <c r="B1126" t="s">
        <v>173</v>
      </c>
      <c r="D1126" t="s">
        <v>77</v>
      </c>
      <c r="I1126" t="s">
        <v>858</v>
      </c>
      <c r="Q1126" t="s">
        <v>1038</v>
      </c>
    </row>
    <row r="1127" spans="1:19" hidden="1" x14ac:dyDescent="0.25">
      <c r="A1127" t="s">
        <v>1186</v>
      </c>
      <c r="B1127" t="s">
        <v>46</v>
      </c>
    </row>
    <row r="1128" spans="1:19" hidden="1" x14ac:dyDescent="0.25">
      <c r="A1128" t="s">
        <v>998</v>
      </c>
      <c r="B1128" t="s">
        <v>87</v>
      </c>
    </row>
    <row r="1129" spans="1:19" hidden="1" x14ac:dyDescent="0.25">
      <c r="A1129" t="s">
        <v>1187</v>
      </c>
      <c r="B1129" t="s">
        <v>87</v>
      </c>
    </row>
    <row r="1130" spans="1:19" hidden="1" x14ac:dyDescent="0.25">
      <c r="A1130" t="s">
        <v>1188</v>
      </c>
      <c r="B1130" t="s">
        <v>87</v>
      </c>
    </row>
    <row r="1131" spans="1:19" hidden="1" x14ac:dyDescent="0.25">
      <c r="A1131" t="s">
        <v>1189</v>
      </c>
      <c r="B1131" t="s">
        <v>173</v>
      </c>
    </row>
    <row r="1132" spans="1:19" hidden="1" x14ac:dyDescent="0.25">
      <c r="A1132" t="s">
        <v>1190</v>
      </c>
      <c r="B1132" t="s">
        <v>173</v>
      </c>
    </row>
    <row r="1133" spans="1:19" hidden="1" x14ac:dyDescent="0.25">
      <c r="A1133" t="s">
        <v>1191</v>
      </c>
      <c r="B1133" t="s">
        <v>341</v>
      </c>
    </row>
    <row r="1134" spans="1:19" hidden="1" x14ac:dyDescent="0.25">
      <c r="A1134" t="s">
        <v>1192</v>
      </c>
      <c r="B1134" t="s">
        <v>341</v>
      </c>
    </row>
    <row r="1135" spans="1:19" hidden="1" x14ac:dyDescent="0.25">
      <c r="A1135" t="s">
        <v>1193</v>
      </c>
      <c r="B1135" t="s">
        <v>87</v>
      </c>
    </row>
    <row r="1136" spans="1:19" hidden="1" x14ac:dyDescent="0.25">
      <c r="A1136" t="s">
        <v>1194</v>
      </c>
      <c r="B1136" t="s">
        <v>87</v>
      </c>
    </row>
    <row r="1137" spans="1:19" hidden="1" x14ac:dyDescent="0.25">
      <c r="A1137" t="s">
        <v>1195</v>
      </c>
      <c r="B1137" t="s">
        <v>87</v>
      </c>
    </row>
    <row r="1138" spans="1:19" x14ac:dyDescent="0.25">
      <c r="A1138" t="s">
        <v>1196</v>
      </c>
      <c r="B1138" t="s">
        <v>46</v>
      </c>
      <c r="D1138" t="s">
        <v>46</v>
      </c>
      <c r="J1138">
        <v>50</v>
      </c>
      <c r="K1138">
        <v>50</v>
      </c>
    </row>
    <row r="1139" spans="1:19" x14ac:dyDescent="0.25">
      <c r="A1139" t="s">
        <v>1197</v>
      </c>
      <c r="B1139" t="s">
        <v>77</v>
      </c>
      <c r="D1139" t="s">
        <v>77</v>
      </c>
      <c r="J1139">
        <v>50</v>
      </c>
      <c r="K1139">
        <v>50</v>
      </c>
    </row>
    <row r="1140" spans="1:19" x14ac:dyDescent="0.25">
      <c r="A1140" t="s">
        <v>1198</v>
      </c>
      <c r="B1140" t="s">
        <v>173</v>
      </c>
      <c r="D1140" t="s">
        <v>77</v>
      </c>
      <c r="J1140">
        <v>50</v>
      </c>
      <c r="K1140">
        <v>50</v>
      </c>
    </row>
    <row r="1141" spans="1:19" x14ac:dyDescent="0.25">
      <c r="A1141" t="s">
        <v>1199</v>
      </c>
      <c r="B1141" t="s">
        <v>20</v>
      </c>
      <c r="D1141" t="s">
        <v>20</v>
      </c>
      <c r="F1141" t="s">
        <v>230</v>
      </c>
    </row>
    <row r="1142" spans="1:19" x14ac:dyDescent="0.25">
      <c r="A1142" t="s">
        <v>1200</v>
      </c>
      <c r="B1142" t="s">
        <v>20</v>
      </c>
      <c r="D1142" t="s">
        <v>20</v>
      </c>
      <c r="F1142" t="s">
        <v>230</v>
      </c>
    </row>
    <row r="1143" spans="1:19" x14ac:dyDescent="0.25">
      <c r="A1143" t="s">
        <v>1201</v>
      </c>
      <c r="B1143" t="s">
        <v>173</v>
      </c>
      <c r="D1143" t="s">
        <v>77</v>
      </c>
      <c r="Q1143" t="s">
        <v>83</v>
      </c>
    </row>
    <row r="1144" spans="1:19" x14ac:dyDescent="0.25">
      <c r="A1144" t="s">
        <v>1202</v>
      </c>
      <c r="B1144" t="s">
        <v>20</v>
      </c>
      <c r="D1144" t="s">
        <v>20</v>
      </c>
    </row>
    <row r="1145" spans="1:19" hidden="1" x14ac:dyDescent="0.25">
      <c r="A1145" t="s">
        <v>1203</v>
      </c>
      <c r="B1145" t="s">
        <v>341</v>
      </c>
    </row>
    <row r="1146" spans="1:19" x14ac:dyDescent="0.25">
      <c r="A1146" t="s">
        <v>1204</v>
      </c>
      <c r="B1146" t="s">
        <v>77</v>
      </c>
      <c r="D1146" t="s">
        <v>77</v>
      </c>
      <c r="P1146" t="s">
        <v>605</v>
      </c>
    </row>
    <row r="1147" spans="1:19" hidden="1" x14ac:dyDescent="0.25">
      <c r="A1147" t="s">
        <v>1205</v>
      </c>
      <c r="B1147" t="s">
        <v>87</v>
      </c>
    </row>
    <row r="1148" spans="1:19" hidden="1" x14ac:dyDescent="0.25">
      <c r="A1148" t="s">
        <v>1206</v>
      </c>
    </row>
    <row r="1149" spans="1:19" x14ac:dyDescent="0.25">
      <c r="A1149" t="s">
        <v>1207</v>
      </c>
      <c r="B1149" t="s">
        <v>77</v>
      </c>
      <c r="C1149" t="s">
        <v>85</v>
      </c>
      <c r="D1149" t="s">
        <v>77</v>
      </c>
      <c r="J1149" t="s">
        <v>1208</v>
      </c>
      <c r="K1149">
        <v>40</v>
      </c>
      <c r="S1149" t="s">
        <v>290</v>
      </c>
    </row>
    <row r="1150" spans="1:19" x14ac:dyDescent="0.25">
      <c r="A1150" t="s">
        <v>1209</v>
      </c>
      <c r="B1150" t="s">
        <v>77</v>
      </c>
      <c r="C1150" t="s">
        <v>85</v>
      </c>
      <c r="D1150" t="s">
        <v>77</v>
      </c>
      <c r="J1150">
        <v>48</v>
      </c>
      <c r="K1150">
        <v>48</v>
      </c>
      <c r="S1150" t="s">
        <v>292</v>
      </c>
    </row>
    <row r="1151" spans="1:19" x14ac:dyDescent="0.25">
      <c r="A1151" t="s">
        <v>1210</v>
      </c>
      <c r="B1151" t="s">
        <v>77</v>
      </c>
      <c r="C1151" t="s">
        <v>85</v>
      </c>
      <c r="D1151" t="s">
        <v>77</v>
      </c>
      <c r="J1151" t="s">
        <v>1211</v>
      </c>
      <c r="K1151">
        <v>48</v>
      </c>
    </row>
    <row r="1152" spans="1:19" x14ac:dyDescent="0.25">
      <c r="A1152" t="s">
        <v>1212</v>
      </c>
      <c r="B1152" t="s">
        <v>77</v>
      </c>
      <c r="C1152" t="s">
        <v>85</v>
      </c>
      <c r="D1152" t="s">
        <v>77</v>
      </c>
      <c r="J1152">
        <v>55</v>
      </c>
      <c r="K1152">
        <v>55</v>
      </c>
      <c r="R1152" t="s">
        <v>108</v>
      </c>
      <c r="S1152" t="s">
        <v>290</v>
      </c>
    </row>
    <row r="1153" spans="1:19" x14ac:dyDescent="0.25">
      <c r="A1153" t="s">
        <v>1213</v>
      </c>
      <c r="B1153" t="s">
        <v>77</v>
      </c>
      <c r="C1153" t="s">
        <v>85</v>
      </c>
      <c r="D1153" t="s">
        <v>77</v>
      </c>
      <c r="J1153">
        <v>55</v>
      </c>
      <c r="K1153">
        <v>55</v>
      </c>
      <c r="R1153" t="s">
        <v>108</v>
      </c>
      <c r="S1153" t="s">
        <v>292</v>
      </c>
    </row>
    <row r="1154" spans="1:19" hidden="1" x14ac:dyDescent="0.25">
      <c r="A1154" t="s">
        <v>1214</v>
      </c>
      <c r="B1154" t="s">
        <v>16</v>
      </c>
    </row>
    <row r="1155" spans="1:19" hidden="1" x14ac:dyDescent="0.25">
      <c r="A1155" t="s">
        <v>1215</v>
      </c>
      <c r="B1155" t="s">
        <v>173</v>
      </c>
    </row>
    <row r="1156" spans="1:19" hidden="1" x14ac:dyDescent="0.25">
      <c r="A1156" t="s">
        <v>1216</v>
      </c>
      <c r="B1156" t="s">
        <v>173</v>
      </c>
    </row>
    <row r="1157" spans="1:19" x14ac:dyDescent="0.25">
      <c r="A1157" t="s">
        <v>1217</v>
      </c>
      <c r="B1157" t="s">
        <v>77</v>
      </c>
      <c r="D1157" t="s">
        <v>77</v>
      </c>
      <c r="J1157" t="s">
        <v>1218</v>
      </c>
      <c r="K1157">
        <v>55</v>
      </c>
      <c r="Q1157" t="s">
        <v>1219</v>
      </c>
    </row>
    <row r="1158" spans="1:19" hidden="1" x14ac:dyDescent="0.25">
      <c r="A1158" t="s">
        <v>1220</v>
      </c>
      <c r="B1158" t="s">
        <v>77</v>
      </c>
    </row>
    <row r="1159" spans="1:19" hidden="1" x14ac:dyDescent="0.25">
      <c r="A1159" t="s">
        <v>1221</v>
      </c>
      <c r="B1159" t="s">
        <v>173</v>
      </c>
    </row>
    <row r="1160" spans="1:19" hidden="1" x14ac:dyDescent="0.25">
      <c r="A1160" t="s">
        <v>1222</v>
      </c>
      <c r="B1160" t="s">
        <v>341</v>
      </c>
    </row>
    <row r="1161" spans="1:19" hidden="1" x14ac:dyDescent="0.25">
      <c r="A1161" t="s">
        <v>1223</v>
      </c>
      <c r="B1161" t="s">
        <v>173</v>
      </c>
    </row>
    <row r="1162" spans="1:19" x14ac:dyDescent="0.25">
      <c r="A1162" t="s">
        <v>1224</v>
      </c>
      <c r="B1162" t="s">
        <v>77</v>
      </c>
      <c r="D1162" t="s">
        <v>77</v>
      </c>
      <c r="Q1162" t="s">
        <v>1073</v>
      </c>
    </row>
    <row r="1163" spans="1:19" x14ac:dyDescent="0.25">
      <c r="A1163" t="s">
        <v>1225</v>
      </c>
      <c r="B1163" t="s">
        <v>77</v>
      </c>
      <c r="D1163" t="s">
        <v>77</v>
      </c>
    </row>
    <row r="1164" spans="1:19" x14ac:dyDescent="0.25">
      <c r="A1164" t="s">
        <v>1226</v>
      </c>
      <c r="B1164" t="s">
        <v>77</v>
      </c>
      <c r="D1164" t="s">
        <v>77</v>
      </c>
    </row>
    <row r="1165" spans="1:19" x14ac:dyDescent="0.25">
      <c r="A1165" t="s">
        <v>1227</v>
      </c>
      <c r="B1165" t="s">
        <v>77</v>
      </c>
      <c r="D1165" t="s">
        <v>77</v>
      </c>
      <c r="Q1165" t="s">
        <v>1073</v>
      </c>
    </row>
    <row r="1166" spans="1:19" hidden="1" x14ac:dyDescent="0.25">
      <c r="A1166" t="s">
        <v>1228</v>
      </c>
      <c r="B1166" t="s">
        <v>20</v>
      </c>
    </row>
    <row r="1167" spans="1:19" x14ac:dyDescent="0.25">
      <c r="A1167" t="s">
        <v>1229</v>
      </c>
      <c r="B1167" t="s">
        <v>46</v>
      </c>
      <c r="D1167" t="s">
        <v>46</v>
      </c>
    </row>
    <row r="1168" spans="1:19" x14ac:dyDescent="0.25">
      <c r="A1168" t="s">
        <v>1230</v>
      </c>
      <c r="B1168" t="s">
        <v>46</v>
      </c>
      <c r="D1168" t="s">
        <v>46</v>
      </c>
      <c r="Q1168" t="s">
        <v>1073</v>
      </c>
    </row>
    <row r="1169" spans="1:11" x14ac:dyDescent="0.25">
      <c r="A1169" t="s">
        <v>1231</v>
      </c>
      <c r="B1169" t="s">
        <v>77</v>
      </c>
      <c r="D1169" t="s">
        <v>77</v>
      </c>
      <c r="J1169">
        <v>20</v>
      </c>
      <c r="K1169">
        <v>20</v>
      </c>
    </row>
    <row r="1170" spans="1:11" x14ac:dyDescent="0.25">
      <c r="A1170" t="s">
        <v>1232</v>
      </c>
      <c r="B1170" t="s">
        <v>77</v>
      </c>
      <c r="C1170" t="s">
        <v>85</v>
      </c>
      <c r="D1170" t="s">
        <v>77</v>
      </c>
      <c r="J1170">
        <v>46.75</v>
      </c>
      <c r="K1170">
        <v>46.75</v>
      </c>
    </row>
    <row r="1171" spans="1:11" x14ac:dyDescent="0.25">
      <c r="A1171" t="s">
        <v>1233</v>
      </c>
      <c r="B1171" t="s">
        <v>77</v>
      </c>
      <c r="D1171" t="s">
        <v>77</v>
      </c>
      <c r="J1171">
        <v>46.75</v>
      </c>
      <c r="K1171">
        <v>46.75</v>
      </c>
    </row>
    <row r="1172" spans="1:11" x14ac:dyDescent="0.25">
      <c r="A1172" t="s">
        <v>1234</v>
      </c>
      <c r="B1172" t="s">
        <v>46</v>
      </c>
      <c r="D1172" t="s">
        <v>46</v>
      </c>
      <c r="J1172">
        <v>46.75</v>
      </c>
      <c r="K1172">
        <v>46.75</v>
      </c>
    </row>
    <row r="1173" spans="1:11" x14ac:dyDescent="0.25">
      <c r="A1173" t="s">
        <v>1235</v>
      </c>
      <c r="B1173" t="s">
        <v>77</v>
      </c>
      <c r="C1173" t="s">
        <v>85</v>
      </c>
      <c r="D1173" t="s">
        <v>77</v>
      </c>
      <c r="J1173">
        <v>55</v>
      </c>
      <c r="K1173">
        <v>55</v>
      </c>
    </row>
    <row r="1174" spans="1:11" x14ac:dyDescent="0.25">
      <c r="A1174" t="s">
        <v>1236</v>
      </c>
      <c r="B1174" t="s">
        <v>77</v>
      </c>
      <c r="D1174" t="s">
        <v>77</v>
      </c>
      <c r="E1174">
        <v>4</v>
      </c>
      <c r="J1174" t="s">
        <v>686</v>
      </c>
      <c r="K1174">
        <v>21</v>
      </c>
    </row>
    <row r="1175" spans="1:11" x14ac:dyDescent="0.25">
      <c r="A1175" t="s">
        <v>1237</v>
      </c>
      <c r="B1175" t="s">
        <v>77</v>
      </c>
      <c r="D1175" t="s">
        <v>77</v>
      </c>
      <c r="E1175">
        <v>3</v>
      </c>
      <c r="J1175" t="s">
        <v>1238</v>
      </c>
      <c r="K1175">
        <v>18</v>
      </c>
    </row>
    <row r="1176" spans="1:11" x14ac:dyDescent="0.25">
      <c r="A1176" t="s">
        <v>1239</v>
      </c>
      <c r="B1176" t="s">
        <v>77</v>
      </c>
      <c r="D1176" t="s">
        <v>77</v>
      </c>
      <c r="E1176">
        <v>1</v>
      </c>
      <c r="J1176" t="s">
        <v>686</v>
      </c>
      <c r="K1176">
        <v>21</v>
      </c>
    </row>
    <row r="1177" spans="1:11" x14ac:dyDescent="0.25">
      <c r="A1177" t="s">
        <v>1240</v>
      </c>
      <c r="B1177" t="s">
        <v>20</v>
      </c>
      <c r="D1177" t="s">
        <v>20</v>
      </c>
      <c r="E1177">
        <v>4</v>
      </c>
      <c r="J1177" t="s">
        <v>686</v>
      </c>
      <c r="K1177">
        <v>21</v>
      </c>
    </row>
    <row r="1178" spans="1:11" x14ac:dyDescent="0.25">
      <c r="A1178" t="s">
        <v>1241</v>
      </c>
      <c r="B1178" t="s">
        <v>20</v>
      </c>
      <c r="D1178" t="s">
        <v>20</v>
      </c>
      <c r="E1178">
        <v>3</v>
      </c>
      <c r="J1178" t="s">
        <v>1238</v>
      </c>
      <c r="K1178">
        <v>18</v>
      </c>
    </row>
    <row r="1179" spans="1:11" x14ac:dyDescent="0.25">
      <c r="A1179" t="s">
        <v>1242</v>
      </c>
      <c r="B1179" t="s">
        <v>20</v>
      </c>
      <c r="D1179" t="s">
        <v>20</v>
      </c>
      <c r="E1179">
        <v>1</v>
      </c>
      <c r="J1179" t="s">
        <v>686</v>
      </c>
      <c r="K1179">
        <v>21</v>
      </c>
    </row>
    <row r="1180" spans="1:11" hidden="1" x14ac:dyDescent="0.25">
      <c r="A1180" t="s">
        <v>1243</v>
      </c>
      <c r="B1180" t="s">
        <v>87</v>
      </c>
    </row>
    <row r="1181" spans="1:11" hidden="1" x14ac:dyDescent="0.25">
      <c r="A1181" t="s">
        <v>1244</v>
      </c>
      <c r="B1181" t="s">
        <v>173</v>
      </c>
    </row>
    <row r="1182" spans="1:11" hidden="1" x14ac:dyDescent="0.25">
      <c r="A1182" t="s">
        <v>125</v>
      </c>
      <c r="B1182" t="s">
        <v>173</v>
      </c>
    </row>
    <row r="1183" spans="1:11" hidden="1" x14ac:dyDescent="0.25">
      <c r="A1183" t="s">
        <v>1245</v>
      </c>
      <c r="B1183" t="s">
        <v>95</v>
      </c>
    </row>
    <row r="1184" spans="1:11" hidden="1" x14ac:dyDescent="0.25">
      <c r="A1184" t="s">
        <v>1246</v>
      </c>
      <c r="B1184" t="s">
        <v>173</v>
      </c>
    </row>
    <row r="1185" spans="1:17" x14ac:dyDescent="0.25">
      <c r="A1185" t="s">
        <v>1247</v>
      </c>
      <c r="B1185" t="s">
        <v>173</v>
      </c>
      <c r="D1185" t="s">
        <v>20</v>
      </c>
    </row>
    <row r="1186" spans="1:17" hidden="1" x14ac:dyDescent="0.25">
      <c r="A1186" t="s">
        <v>1248</v>
      </c>
      <c r="B1186" t="s">
        <v>173</v>
      </c>
    </row>
    <row r="1187" spans="1:17" hidden="1" x14ac:dyDescent="0.25">
      <c r="A1187" t="s">
        <v>1249</v>
      </c>
      <c r="B1187" t="s">
        <v>341</v>
      </c>
    </row>
    <row r="1188" spans="1:17" hidden="1" x14ac:dyDescent="0.25">
      <c r="A1188" t="s">
        <v>1250</v>
      </c>
      <c r="B1188" t="s">
        <v>341</v>
      </c>
    </row>
    <row r="1189" spans="1:17" hidden="1" x14ac:dyDescent="0.25">
      <c r="A1189" t="s">
        <v>989</v>
      </c>
      <c r="B1189" t="s">
        <v>87</v>
      </c>
    </row>
    <row r="1190" spans="1:17" hidden="1" x14ac:dyDescent="0.25">
      <c r="A1190" t="s">
        <v>1251</v>
      </c>
      <c r="B1190" t="s">
        <v>95</v>
      </c>
    </row>
    <row r="1191" spans="1:17" x14ac:dyDescent="0.25">
      <c r="A1191" t="s">
        <v>1252</v>
      </c>
      <c r="B1191" t="s">
        <v>77</v>
      </c>
      <c r="D1191" t="s">
        <v>77</v>
      </c>
      <c r="Q1191" t="s">
        <v>83</v>
      </c>
    </row>
    <row r="1192" spans="1:17" hidden="1" x14ac:dyDescent="0.25">
      <c r="A1192" t="s">
        <v>1253</v>
      </c>
      <c r="B1192" t="s">
        <v>16</v>
      </c>
    </row>
    <row r="1193" spans="1:17" hidden="1" x14ac:dyDescent="0.25">
      <c r="A1193" t="s">
        <v>92</v>
      </c>
      <c r="B1193" t="s">
        <v>87</v>
      </c>
    </row>
    <row r="1194" spans="1:17" x14ac:dyDescent="0.25">
      <c r="A1194" t="s">
        <v>1254</v>
      </c>
      <c r="B1194" t="s">
        <v>77</v>
      </c>
      <c r="D1194" t="s">
        <v>77</v>
      </c>
      <c r="Q1194" t="s">
        <v>83</v>
      </c>
    </row>
    <row r="1195" spans="1:17" hidden="1" x14ac:dyDescent="0.25">
      <c r="A1195" t="s">
        <v>1255</v>
      </c>
    </row>
    <row r="1196" spans="1:17" hidden="1" x14ac:dyDescent="0.25">
      <c r="A1196" t="s">
        <v>1256</v>
      </c>
    </row>
    <row r="1197" spans="1:17" x14ac:dyDescent="0.25">
      <c r="A1197" t="s">
        <v>1257</v>
      </c>
      <c r="B1197" t="s">
        <v>77</v>
      </c>
      <c r="D1197" t="s">
        <v>77</v>
      </c>
      <c r="L1197" t="s">
        <v>605</v>
      </c>
    </row>
    <row r="1198" spans="1:17" hidden="1" x14ac:dyDescent="0.25">
      <c r="A1198" t="s">
        <v>1258</v>
      </c>
      <c r="B1198" t="s">
        <v>173</v>
      </c>
    </row>
    <row r="1199" spans="1:17" hidden="1" x14ac:dyDescent="0.25">
      <c r="A1199" t="s">
        <v>1259</v>
      </c>
      <c r="B1199" t="s">
        <v>87</v>
      </c>
    </row>
    <row r="1200" spans="1:17" x14ac:dyDescent="0.25">
      <c r="A1200" t="s">
        <v>1260</v>
      </c>
      <c r="B1200" t="s">
        <v>48</v>
      </c>
      <c r="D1200" t="s">
        <v>20</v>
      </c>
      <c r="I1200" t="s">
        <v>79</v>
      </c>
      <c r="L1200" t="s">
        <v>1261</v>
      </c>
    </row>
    <row r="1201" spans="1:17" x14ac:dyDescent="0.25">
      <c r="A1201" t="s">
        <v>1262</v>
      </c>
      <c r="B1201" t="s">
        <v>20</v>
      </c>
      <c r="D1201" t="s">
        <v>137</v>
      </c>
      <c r="Q1201" t="s">
        <v>1263</v>
      </c>
    </row>
    <row r="1202" spans="1:17" x14ac:dyDescent="0.25">
      <c r="A1202" t="s">
        <v>1264</v>
      </c>
      <c r="B1202" t="s">
        <v>77</v>
      </c>
      <c r="D1202" t="s">
        <v>46</v>
      </c>
      <c r="I1202" t="s">
        <v>137</v>
      </c>
    </row>
    <row r="1203" spans="1:17" hidden="1" x14ac:dyDescent="0.25">
      <c r="A1203" t="s">
        <v>1265</v>
      </c>
      <c r="B1203" t="s">
        <v>341</v>
      </c>
    </row>
    <row r="1204" spans="1:17" hidden="1" x14ac:dyDescent="0.25">
      <c r="A1204" t="s">
        <v>1266</v>
      </c>
      <c r="B1204" t="s">
        <v>341</v>
      </c>
    </row>
    <row r="1205" spans="1:17" x14ac:dyDescent="0.25">
      <c r="A1205" t="s">
        <v>1267</v>
      </c>
      <c r="B1205" t="s">
        <v>77</v>
      </c>
      <c r="D1205" t="s">
        <v>77</v>
      </c>
      <c r="E1205">
        <v>1</v>
      </c>
      <c r="J1205" t="s">
        <v>560</v>
      </c>
      <c r="K1205">
        <v>18</v>
      </c>
    </row>
    <row r="1206" spans="1:17" x14ac:dyDescent="0.25">
      <c r="A1206" t="s">
        <v>1268</v>
      </c>
      <c r="B1206" t="s">
        <v>77</v>
      </c>
      <c r="D1206" t="s">
        <v>77</v>
      </c>
      <c r="Q1206" t="s">
        <v>1269</v>
      </c>
    </row>
    <row r="1207" spans="1:17" x14ac:dyDescent="0.25">
      <c r="A1207" t="s">
        <v>1270</v>
      </c>
      <c r="B1207" t="s">
        <v>77</v>
      </c>
      <c r="D1207" t="s">
        <v>77</v>
      </c>
      <c r="I1207" t="s">
        <v>858</v>
      </c>
      <c r="Q1207" t="s">
        <v>1271</v>
      </c>
    </row>
    <row r="1208" spans="1:17" x14ac:dyDescent="0.25">
      <c r="A1208" t="s">
        <v>1272</v>
      </c>
      <c r="B1208" t="s">
        <v>77</v>
      </c>
      <c r="C1208" t="s">
        <v>85</v>
      </c>
      <c r="D1208" t="s">
        <v>77</v>
      </c>
      <c r="I1208" t="s">
        <v>858</v>
      </c>
      <c r="Q1208" t="s">
        <v>1271</v>
      </c>
    </row>
    <row r="1209" spans="1:17" x14ac:dyDescent="0.25">
      <c r="A1209" t="s">
        <v>1273</v>
      </c>
      <c r="B1209" t="s">
        <v>48</v>
      </c>
      <c r="D1209" t="s">
        <v>20</v>
      </c>
      <c r="Q1209" t="s">
        <v>1269</v>
      </c>
    </row>
    <row r="1210" spans="1:17" x14ac:dyDescent="0.25">
      <c r="A1210" t="s">
        <v>1274</v>
      </c>
      <c r="B1210" t="s">
        <v>20</v>
      </c>
      <c r="D1210" t="s">
        <v>20</v>
      </c>
      <c r="I1210" t="s">
        <v>858</v>
      </c>
      <c r="Q1210" t="s">
        <v>1271</v>
      </c>
    </row>
    <row r="1211" spans="1:17" x14ac:dyDescent="0.25">
      <c r="A1211" t="s">
        <v>1275</v>
      </c>
      <c r="B1211" t="s">
        <v>48</v>
      </c>
      <c r="D1211" t="s">
        <v>46</v>
      </c>
      <c r="Q1211" t="s">
        <v>1269</v>
      </c>
    </row>
    <row r="1212" spans="1:17" x14ac:dyDescent="0.25">
      <c r="A1212" t="s">
        <v>1276</v>
      </c>
      <c r="B1212" t="s">
        <v>46</v>
      </c>
      <c r="D1212" t="s">
        <v>46</v>
      </c>
      <c r="I1212" t="s">
        <v>858</v>
      </c>
      <c r="Q1212" t="s">
        <v>1271</v>
      </c>
    </row>
    <row r="1213" spans="1:17" x14ac:dyDescent="0.25">
      <c r="A1213" t="s">
        <v>1277</v>
      </c>
      <c r="B1213" t="s">
        <v>48</v>
      </c>
      <c r="D1213" t="s">
        <v>1277</v>
      </c>
    </row>
    <row r="1214" spans="1:17" hidden="1" x14ac:dyDescent="0.25">
      <c r="A1214" t="s">
        <v>1278</v>
      </c>
      <c r="B1214" t="s">
        <v>48</v>
      </c>
    </row>
    <row r="1215" spans="1:17" hidden="1" x14ac:dyDescent="0.25">
      <c r="A1215" t="s">
        <v>1279</v>
      </c>
      <c r="B1215" t="s">
        <v>173</v>
      </c>
    </row>
    <row r="1216" spans="1:17" hidden="1" x14ac:dyDescent="0.25">
      <c r="A1216" t="s">
        <v>1280</v>
      </c>
      <c r="B1216" t="s">
        <v>48</v>
      </c>
    </row>
    <row r="1217" spans="1:18" x14ac:dyDescent="0.25">
      <c r="A1217" t="s">
        <v>1281</v>
      </c>
      <c r="B1217" t="s">
        <v>48</v>
      </c>
      <c r="D1217" t="s">
        <v>1281</v>
      </c>
    </row>
    <row r="1218" spans="1:18" x14ac:dyDescent="0.25">
      <c r="A1218" t="s">
        <v>1282</v>
      </c>
      <c r="B1218" t="s">
        <v>46</v>
      </c>
      <c r="D1218" t="s">
        <v>46</v>
      </c>
      <c r="E1218">
        <v>5</v>
      </c>
    </row>
    <row r="1219" spans="1:18" x14ac:dyDescent="0.25">
      <c r="A1219" t="s">
        <v>1283</v>
      </c>
      <c r="B1219" t="s">
        <v>46</v>
      </c>
      <c r="D1219" t="s">
        <v>46</v>
      </c>
      <c r="E1219">
        <v>3</v>
      </c>
    </row>
    <row r="1220" spans="1:18" x14ac:dyDescent="0.25">
      <c r="A1220" t="s">
        <v>1284</v>
      </c>
      <c r="B1220" t="s">
        <v>46</v>
      </c>
      <c r="D1220" t="s">
        <v>46</v>
      </c>
      <c r="E1220">
        <v>4</v>
      </c>
    </row>
    <row r="1221" spans="1:18" hidden="1" x14ac:dyDescent="0.25">
      <c r="A1221" t="s">
        <v>1285</v>
      </c>
      <c r="B1221" t="s">
        <v>77</v>
      </c>
    </row>
    <row r="1222" spans="1:18" hidden="1" x14ac:dyDescent="0.25">
      <c r="A1222" t="s">
        <v>1286</v>
      </c>
      <c r="B1222" t="s">
        <v>341</v>
      </c>
    </row>
    <row r="1223" spans="1:18" hidden="1" x14ac:dyDescent="0.25">
      <c r="A1223" t="s">
        <v>1287</v>
      </c>
      <c r="B1223" t="s">
        <v>87</v>
      </c>
    </row>
    <row r="1224" spans="1:18" hidden="1" x14ac:dyDescent="0.25">
      <c r="A1224" t="s">
        <v>1288</v>
      </c>
      <c r="B1224" t="s">
        <v>87</v>
      </c>
    </row>
    <row r="1225" spans="1:18" x14ac:dyDescent="0.25">
      <c r="A1225" t="s">
        <v>1289</v>
      </c>
      <c r="B1225" t="s">
        <v>77</v>
      </c>
      <c r="D1225" t="s">
        <v>77</v>
      </c>
      <c r="R1225" t="s">
        <v>106</v>
      </c>
    </row>
    <row r="1226" spans="1:18" hidden="1" x14ac:dyDescent="0.25">
      <c r="A1226" t="s">
        <v>1290</v>
      </c>
      <c r="B1226" t="s">
        <v>20</v>
      </c>
    </row>
    <row r="1227" spans="1:18" x14ac:dyDescent="0.25">
      <c r="A1227" t="s">
        <v>1291</v>
      </c>
      <c r="B1227" t="s">
        <v>77</v>
      </c>
      <c r="D1227" t="s">
        <v>77</v>
      </c>
      <c r="Q1227" t="s">
        <v>1292</v>
      </c>
    </row>
    <row r="1228" spans="1:18" x14ac:dyDescent="0.25">
      <c r="A1228" t="s">
        <v>1293</v>
      </c>
      <c r="B1228" t="s">
        <v>46</v>
      </c>
      <c r="D1228" t="s">
        <v>46</v>
      </c>
      <c r="R1228" t="s">
        <v>106</v>
      </c>
    </row>
    <row r="1229" spans="1:18" x14ac:dyDescent="0.25">
      <c r="A1229" t="s">
        <v>1294</v>
      </c>
      <c r="B1229" t="s">
        <v>46</v>
      </c>
      <c r="D1229" t="s">
        <v>46</v>
      </c>
      <c r="F1229" t="s">
        <v>175</v>
      </c>
    </row>
    <row r="1230" spans="1:18" x14ac:dyDescent="0.25">
      <c r="A1230" t="s">
        <v>1295</v>
      </c>
      <c r="B1230" t="s">
        <v>77</v>
      </c>
      <c r="D1230" t="s">
        <v>77</v>
      </c>
      <c r="F1230" t="s">
        <v>175</v>
      </c>
    </row>
    <row r="1231" spans="1:18" x14ac:dyDescent="0.25">
      <c r="A1231" t="s">
        <v>1296</v>
      </c>
      <c r="B1231" t="s">
        <v>77</v>
      </c>
      <c r="D1231" t="s">
        <v>77</v>
      </c>
      <c r="E1231">
        <v>1</v>
      </c>
      <c r="J1231" t="s">
        <v>1297</v>
      </c>
      <c r="K1231">
        <v>18</v>
      </c>
    </row>
    <row r="1232" spans="1:18" x14ac:dyDescent="0.25">
      <c r="A1232" t="s">
        <v>1298</v>
      </c>
      <c r="B1232" t="s">
        <v>20</v>
      </c>
      <c r="D1232" t="s">
        <v>20</v>
      </c>
      <c r="E1232">
        <v>1</v>
      </c>
      <c r="J1232" t="s">
        <v>1238</v>
      </c>
      <c r="K1232">
        <v>18</v>
      </c>
    </row>
    <row r="1233" spans="1:17" hidden="1" x14ac:dyDescent="0.25">
      <c r="A1233" t="s">
        <v>1299</v>
      </c>
      <c r="B1233" t="s">
        <v>16</v>
      </c>
    </row>
    <row r="1234" spans="1:17" x14ac:dyDescent="0.25">
      <c r="A1234" t="s">
        <v>1300</v>
      </c>
      <c r="B1234" t="s">
        <v>20</v>
      </c>
      <c r="D1234" t="s">
        <v>20</v>
      </c>
      <c r="E1234">
        <v>1</v>
      </c>
      <c r="J1234" t="s">
        <v>1301</v>
      </c>
      <c r="K1234">
        <v>30</v>
      </c>
    </row>
    <row r="1235" spans="1:17" x14ac:dyDescent="0.25">
      <c r="A1235" t="s">
        <v>1302</v>
      </c>
      <c r="B1235" t="s">
        <v>77</v>
      </c>
      <c r="D1235" t="s">
        <v>77</v>
      </c>
      <c r="E1235">
        <v>1</v>
      </c>
      <c r="J1235" t="s">
        <v>1301</v>
      </c>
      <c r="K1235">
        <v>30</v>
      </c>
    </row>
    <row r="1236" spans="1:17" hidden="1" x14ac:dyDescent="0.25">
      <c r="A1236" t="s">
        <v>1303</v>
      </c>
      <c r="B1236" t="s">
        <v>341</v>
      </c>
    </row>
    <row r="1237" spans="1:17" x14ac:dyDescent="0.25">
      <c r="A1237" t="s">
        <v>1304</v>
      </c>
      <c r="B1237" t="s">
        <v>77</v>
      </c>
      <c r="D1237" t="s">
        <v>77</v>
      </c>
      <c r="Q1237" t="s">
        <v>1305</v>
      </c>
    </row>
    <row r="1238" spans="1:17" x14ac:dyDescent="0.25">
      <c r="A1238" t="s">
        <v>1306</v>
      </c>
      <c r="B1238" t="s">
        <v>20</v>
      </c>
      <c r="D1238" t="s">
        <v>20</v>
      </c>
      <c r="Q1238" t="s">
        <v>1305</v>
      </c>
    </row>
    <row r="1239" spans="1:17" x14ac:dyDescent="0.25">
      <c r="A1239" t="s">
        <v>1307</v>
      </c>
      <c r="B1239" t="s">
        <v>46</v>
      </c>
      <c r="D1239" t="s">
        <v>46</v>
      </c>
      <c r="Q1239" t="s">
        <v>1305</v>
      </c>
    </row>
    <row r="1240" spans="1:17" x14ac:dyDescent="0.25">
      <c r="A1240" t="s">
        <v>1308</v>
      </c>
      <c r="B1240" t="s">
        <v>77</v>
      </c>
      <c r="D1240" t="s">
        <v>77</v>
      </c>
      <c r="I1240" t="s">
        <v>1309</v>
      </c>
      <c r="Q1240" t="s">
        <v>1310</v>
      </c>
    </row>
    <row r="1241" spans="1:17" x14ac:dyDescent="0.25">
      <c r="A1241" t="s">
        <v>1311</v>
      </c>
      <c r="B1241" t="s">
        <v>20</v>
      </c>
      <c r="D1241" t="s">
        <v>20</v>
      </c>
      <c r="I1241" t="s">
        <v>1309</v>
      </c>
      <c r="Q1241" t="s">
        <v>1310</v>
      </c>
    </row>
    <row r="1242" spans="1:17" hidden="1" x14ac:dyDescent="0.25">
      <c r="A1242" t="s">
        <v>1312</v>
      </c>
      <c r="B1242" t="s">
        <v>77</v>
      </c>
    </row>
    <row r="1243" spans="1:17" x14ac:dyDescent="0.25">
      <c r="A1243" t="s">
        <v>1313</v>
      </c>
      <c r="B1243" t="s">
        <v>46</v>
      </c>
      <c r="D1243" t="s">
        <v>46</v>
      </c>
      <c r="I1243" t="s">
        <v>1309</v>
      </c>
      <c r="Q1243" t="s">
        <v>1310</v>
      </c>
    </row>
    <row r="1244" spans="1:17" x14ac:dyDescent="0.25">
      <c r="A1244" t="s">
        <v>1314</v>
      </c>
      <c r="B1244" t="s">
        <v>77</v>
      </c>
      <c r="C1244" t="s">
        <v>85</v>
      </c>
      <c r="D1244" t="s">
        <v>77</v>
      </c>
      <c r="Q1244" t="s">
        <v>1315</v>
      </c>
    </row>
    <row r="1245" spans="1:17" x14ac:dyDescent="0.25">
      <c r="A1245" t="s">
        <v>1316</v>
      </c>
      <c r="B1245" t="s">
        <v>77</v>
      </c>
      <c r="C1245" t="s">
        <v>85</v>
      </c>
      <c r="D1245" t="s">
        <v>77</v>
      </c>
      <c r="Q1245" t="s">
        <v>1317</v>
      </c>
    </row>
    <row r="1246" spans="1:17" x14ac:dyDescent="0.25">
      <c r="A1246" t="s">
        <v>1318</v>
      </c>
      <c r="B1246" t="s">
        <v>77</v>
      </c>
      <c r="C1246" t="s">
        <v>85</v>
      </c>
      <c r="D1246" t="s">
        <v>77</v>
      </c>
      <c r="I1246" t="s">
        <v>1309</v>
      </c>
      <c r="Q1246" t="s">
        <v>1310</v>
      </c>
    </row>
    <row r="1247" spans="1:17" hidden="1" x14ac:dyDescent="0.25">
      <c r="A1247" t="s">
        <v>1191</v>
      </c>
      <c r="B1247" t="s">
        <v>87</v>
      </c>
    </row>
    <row r="1248" spans="1:17" hidden="1" x14ac:dyDescent="0.25">
      <c r="A1248" t="s">
        <v>1319</v>
      </c>
      <c r="B1248" t="s">
        <v>173</v>
      </c>
    </row>
    <row r="1249" spans="1:12" hidden="1" x14ac:dyDescent="0.25">
      <c r="A1249" t="s">
        <v>1320</v>
      </c>
      <c r="B1249" t="s">
        <v>173</v>
      </c>
    </row>
    <row r="1250" spans="1:12" hidden="1" x14ac:dyDescent="0.25">
      <c r="A1250" t="s">
        <v>1321</v>
      </c>
      <c r="B1250" t="s">
        <v>87</v>
      </c>
    </row>
    <row r="1251" spans="1:12" x14ac:dyDescent="0.25">
      <c r="A1251" t="s">
        <v>1322</v>
      </c>
      <c r="B1251" t="s">
        <v>20</v>
      </c>
      <c r="D1251" t="s">
        <v>20</v>
      </c>
      <c r="I1251" t="s">
        <v>79</v>
      </c>
    </row>
    <row r="1252" spans="1:12" x14ac:dyDescent="0.25">
      <c r="A1252" t="s">
        <v>1323</v>
      </c>
      <c r="B1252" t="s">
        <v>77</v>
      </c>
      <c r="D1252" t="s">
        <v>77</v>
      </c>
      <c r="I1252" t="s">
        <v>79</v>
      </c>
    </row>
    <row r="1253" spans="1:12" x14ac:dyDescent="0.25">
      <c r="A1253" t="s">
        <v>1324</v>
      </c>
      <c r="B1253" t="s">
        <v>20</v>
      </c>
      <c r="D1253" t="s">
        <v>20</v>
      </c>
      <c r="I1253" t="s">
        <v>79</v>
      </c>
    </row>
    <row r="1254" spans="1:12" x14ac:dyDescent="0.25">
      <c r="A1254" t="s">
        <v>1325</v>
      </c>
      <c r="B1254" t="s">
        <v>46</v>
      </c>
      <c r="D1254" t="s">
        <v>46</v>
      </c>
      <c r="I1254" t="s">
        <v>79</v>
      </c>
    </row>
    <row r="1255" spans="1:12" hidden="1" x14ac:dyDescent="0.25">
      <c r="A1255" t="s">
        <v>1326</v>
      </c>
      <c r="B1255" t="s">
        <v>173</v>
      </c>
    </row>
    <row r="1256" spans="1:12" hidden="1" x14ac:dyDescent="0.25">
      <c r="A1256" t="s">
        <v>1327</v>
      </c>
      <c r="B1256" t="s">
        <v>173</v>
      </c>
    </row>
    <row r="1257" spans="1:12" hidden="1" x14ac:dyDescent="0.25">
      <c r="A1257" t="s">
        <v>1328</v>
      </c>
      <c r="B1257" t="s">
        <v>46</v>
      </c>
    </row>
    <row r="1258" spans="1:12" hidden="1" x14ac:dyDescent="0.25">
      <c r="A1258" t="s">
        <v>1329</v>
      </c>
      <c r="B1258" t="s">
        <v>173</v>
      </c>
    </row>
    <row r="1259" spans="1:12" x14ac:dyDescent="0.25">
      <c r="A1259" t="s">
        <v>1330</v>
      </c>
      <c r="B1259" t="s">
        <v>46</v>
      </c>
      <c r="D1259" t="s">
        <v>46</v>
      </c>
      <c r="I1259" t="s">
        <v>79</v>
      </c>
    </row>
    <row r="1260" spans="1:12" x14ac:dyDescent="0.25">
      <c r="A1260" t="s">
        <v>1331</v>
      </c>
      <c r="B1260" t="s">
        <v>77</v>
      </c>
      <c r="D1260" t="s">
        <v>77</v>
      </c>
      <c r="I1260" t="s">
        <v>79</v>
      </c>
    </row>
    <row r="1261" spans="1:12" x14ac:dyDescent="0.25">
      <c r="A1261" t="s">
        <v>1332</v>
      </c>
      <c r="B1261" t="s">
        <v>46</v>
      </c>
      <c r="D1261" t="s">
        <v>46</v>
      </c>
      <c r="L1261" t="s">
        <v>605</v>
      </c>
    </row>
    <row r="1262" spans="1:12" x14ac:dyDescent="0.25">
      <c r="A1262" t="s">
        <v>1033</v>
      </c>
      <c r="B1262" t="s">
        <v>46</v>
      </c>
      <c r="D1262" t="s">
        <v>46</v>
      </c>
      <c r="E1262">
        <v>2</v>
      </c>
    </row>
    <row r="1263" spans="1:12" x14ac:dyDescent="0.25">
      <c r="A1263" t="s">
        <v>1333</v>
      </c>
      <c r="B1263" t="s">
        <v>20</v>
      </c>
      <c r="D1263" t="s">
        <v>20</v>
      </c>
      <c r="E1263">
        <v>2</v>
      </c>
    </row>
    <row r="1264" spans="1:12" x14ac:dyDescent="0.25">
      <c r="A1264" t="s">
        <v>1334</v>
      </c>
      <c r="B1264" t="s">
        <v>20</v>
      </c>
      <c r="D1264" t="s">
        <v>20</v>
      </c>
      <c r="L1264" t="s">
        <v>552</v>
      </c>
    </row>
    <row r="1265" spans="1:17" x14ac:dyDescent="0.25">
      <c r="A1265" t="s">
        <v>1335</v>
      </c>
      <c r="B1265" t="s">
        <v>46</v>
      </c>
      <c r="D1265" t="s">
        <v>46</v>
      </c>
      <c r="L1265" t="s">
        <v>552</v>
      </c>
    </row>
    <row r="1266" spans="1:17" x14ac:dyDescent="0.25">
      <c r="A1266" t="s">
        <v>1336</v>
      </c>
      <c r="B1266" t="s">
        <v>77</v>
      </c>
      <c r="D1266" t="s">
        <v>77</v>
      </c>
      <c r="E1266">
        <v>1</v>
      </c>
    </row>
    <row r="1267" spans="1:17" x14ac:dyDescent="0.25">
      <c r="A1267" t="s">
        <v>1337</v>
      </c>
      <c r="B1267" t="s">
        <v>20</v>
      </c>
      <c r="D1267" t="s">
        <v>20</v>
      </c>
      <c r="E1267">
        <v>1</v>
      </c>
    </row>
    <row r="1268" spans="1:17" x14ac:dyDescent="0.25">
      <c r="A1268" t="s">
        <v>1338</v>
      </c>
      <c r="B1268" t="s">
        <v>46</v>
      </c>
      <c r="D1268" t="s">
        <v>46</v>
      </c>
      <c r="E1268">
        <v>1</v>
      </c>
    </row>
    <row r="1269" spans="1:17" hidden="1" x14ac:dyDescent="0.25">
      <c r="A1269" t="s">
        <v>1339</v>
      </c>
      <c r="B1269" t="s">
        <v>341</v>
      </c>
    </row>
    <row r="1270" spans="1:17" hidden="1" x14ac:dyDescent="0.25">
      <c r="A1270" t="s">
        <v>1340</v>
      </c>
      <c r="B1270" t="s">
        <v>87</v>
      </c>
    </row>
    <row r="1271" spans="1:17" hidden="1" x14ac:dyDescent="0.25">
      <c r="A1271" t="s">
        <v>521</v>
      </c>
      <c r="B1271" t="s">
        <v>341</v>
      </c>
    </row>
    <row r="1272" spans="1:17" hidden="1" x14ac:dyDescent="0.25">
      <c r="A1272" t="s">
        <v>1341</v>
      </c>
      <c r="B1272" t="s">
        <v>95</v>
      </c>
    </row>
    <row r="1273" spans="1:17" hidden="1" x14ac:dyDescent="0.25">
      <c r="A1273" t="s">
        <v>1342</v>
      </c>
      <c r="B1273" t="s">
        <v>341</v>
      </c>
    </row>
    <row r="1274" spans="1:17" x14ac:dyDescent="0.25">
      <c r="A1274" t="s">
        <v>1343</v>
      </c>
      <c r="B1274" t="s">
        <v>20</v>
      </c>
      <c r="D1274" t="s">
        <v>77</v>
      </c>
      <c r="E1274">
        <v>2</v>
      </c>
    </row>
    <row r="1275" spans="1:17" x14ac:dyDescent="0.25">
      <c r="A1275" t="s">
        <v>1344</v>
      </c>
      <c r="B1275" t="s">
        <v>20</v>
      </c>
      <c r="D1275" t="s">
        <v>45</v>
      </c>
      <c r="E1275">
        <v>2</v>
      </c>
    </row>
    <row r="1276" spans="1:17" x14ac:dyDescent="0.25">
      <c r="A1276" t="s">
        <v>1345</v>
      </c>
      <c r="B1276" t="s">
        <v>20</v>
      </c>
      <c r="D1276" t="s">
        <v>44</v>
      </c>
      <c r="E1276">
        <v>2</v>
      </c>
    </row>
    <row r="1277" spans="1:17" x14ac:dyDescent="0.25">
      <c r="A1277" t="s">
        <v>1346</v>
      </c>
      <c r="B1277" t="s">
        <v>20</v>
      </c>
      <c r="D1277" t="s">
        <v>44</v>
      </c>
      <c r="E1277">
        <v>1</v>
      </c>
    </row>
    <row r="1278" spans="1:17" x14ac:dyDescent="0.25">
      <c r="A1278" t="s">
        <v>1347</v>
      </c>
      <c r="B1278" t="s">
        <v>46</v>
      </c>
      <c r="D1278" t="s">
        <v>45</v>
      </c>
      <c r="E1278">
        <v>1</v>
      </c>
    </row>
    <row r="1279" spans="1:17" x14ac:dyDescent="0.25">
      <c r="A1279" t="s">
        <v>1348</v>
      </c>
      <c r="B1279" t="s">
        <v>77</v>
      </c>
      <c r="D1279" t="s">
        <v>77</v>
      </c>
      <c r="E1279">
        <v>1</v>
      </c>
    </row>
    <row r="1280" spans="1:17" x14ac:dyDescent="0.25">
      <c r="A1280" t="s">
        <v>1349</v>
      </c>
      <c r="B1280" t="s">
        <v>87</v>
      </c>
      <c r="D1280" t="s">
        <v>77</v>
      </c>
      <c r="E1280">
        <v>2</v>
      </c>
      <c r="Q1280" t="s">
        <v>1350</v>
      </c>
    </row>
    <row r="1281" spans="1:17" x14ac:dyDescent="0.25">
      <c r="A1281" t="s">
        <v>1351</v>
      </c>
      <c r="B1281" t="s">
        <v>87</v>
      </c>
      <c r="D1281" t="s">
        <v>77</v>
      </c>
      <c r="E1281">
        <v>1</v>
      </c>
      <c r="Q1281" t="s">
        <v>1352</v>
      </c>
    </row>
    <row r="1282" spans="1:17" hidden="1" x14ac:dyDescent="0.25">
      <c r="A1282" t="s">
        <v>1353</v>
      </c>
      <c r="B1282" t="s">
        <v>341</v>
      </c>
    </row>
    <row r="1283" spans="1:17" hidden="1" x14ac:dyDescent="0.25">
      <c r="A1283" t="s">
        <v>1354</v>
      </c>
      <c r="B1283" t="s">
        <v>95</v>
      </c>
    </row>
    <row r="1284" spans="1:17" hidden="1" x14ac:dyDescent="0.25">
      <c r="A1284" t="s">
        <v>1355</v>
      </c>
      <c r="B1284" t="s">
        <v>87</v>
      </c>
    </row>
    <row r="1285" spans="1:17" hidden="1" x14ac:dyDescent="0.25">
      <c r="A1285" t="s">
        <v>1356</v>
      </c>
      <c r="B1285" t="s">
        <v>87</v>
      </c>
    </row>
    <row r="1286" spans="1:17" hidden="1" x14ac:dyDescent="0.25">
      <c r="A1286" t="s">
        <v>1357</v>
      </c>
      <c r="B1286" t="s">
        <v>87</v>
      </c>
    </row>
    <row r="1287" spans="1:17" hidden="1" x14ac:dyDescent="0.25">
      <c r="A1287" t="s">
        <v>1358</v>
      </c>
      <c r="B1287" t="s">
        <v>341</v>
      </c>
    </row>
    <row r="1288" spans="1:17" hidden="1" x14ac:dyDescent="0.25">
      <c r="A1288" t="s">
        <v>1359</v>
      </c>
      <c r="B1288" t="s">
        <v>341</v>
      </c>
    </row>
    <row r="1289" spans="1:17" hidden="1" x14ac:dyDescent="0.25">
      <c r="A1289" t="s">
        <v>1360</v>
      </c>
      <c r="B1289" t="s">
        <v>87</v>
      </c>
    </row>
    <row r="1290" spans="1:17" x14ac:dyDescent="0.25">
      <c r="A1290" t="s">
        <v>1361</v>
      </c>
      <c r="B1290" t="s">
        <v>46</v>
      </c>
      <c r="D1290" t="s">
        <v>46</v>
      </c>
      <c r="I1290" t="s">
        <v>1309</v>
      </c>
      <c r="Q1290" t="s">
        <v>1362</v>
      </c>
    </row>
    <row r="1291" spans="1:17" x14ac:dyDescent="0.25">
      <c r="A1291" t="s">
        <v>1363</v>
      </c>
      <c r="B1291" t="s">
        <v>77</v>
      </c>
      <c r="D1291" t="s">
        <v>77</v>
      </c>
      <c r="I1291" t="s">
        <v>1309</v>
      </c>
      <c r="Q1291" t="s">
        <v>1362</v>
      </c>
    </row>
    <row r="1292" spans="1:17" x14ac:dyDescent="0.25">
      <c r="A1292" t="s">
        <v>1364</v>
      </c>
      <c r="B1292" t="s">
        <v>46</v>
      </c>
      <c r="D1292" t="s">
        <v>46</v>
      </c>
      <c r="I1292" t="s">
        <v>1309</v>
      </c>
      <c r="Q1292" t="s">
        <v>1365</v>
      </c>
    </row>
    <row r="1293" spans="1:17" x14ac:dyDescent="0.25">
      <c r="A1293" t="s">
        <v>1366</v>
      </c>
      <c r="B1293" t="s">
        <v>20</v>
      </c>
      <c r="D1293" t="s">
        <v>20</v>
      </c>
      <c r="I1293" t="s">
        <v>1309</v>
      </c>
      <c r="Q1293" t="s">
        <v>1365</v>
      </c>
    </row>
    <row r="1294" spans="1:17" x14ac:dyDescent="0.25">
      <c r="A1294" t="s">
        <v>1367</v>
      </c>
      <c r="B1294" t="s">
        <v>77</v>
      </c>
      <c r="D1294" t="s">
        <v>77</v>
      </c>
      <c r="I1294" t="s">
        <v>1309</v>
      </c>
      <c r="Q1294" t="s">
        <v>1365</v>
      </c>
    </row>
    <row r="1295" spans="1:17" x14ac:dyDescent="0.25">
      <c r="A1295" t="s">
        <v>139</v>
      </c>
      <c r="B1295" t="s">
        <v>46</v>
      </c>
      <c r="D1295" t="s">
        <v>46</v>
      </c>
      <c r="I1295" t="s">
        <v>79</v>
      </c>
    </row>
    <row r="1296" spans="1:17" x14ac:dyDescent="0.25">
      <c r="A1296" t="s">
        <v>1368</v>
      </c>
      <c r="B1296" t="s">
        <v>20</v>
      </c>
      <c r="D1296" t="s">
        <v>20</v>
      </c>
      <c r="I1296" t="s">
        <v>1309</v>
      </c>
      <c r="Q1296" t="s">
        <v>1362</v>
      </c>
    </row>
    <row r="1297" spans="1:19" hidden="1" x14ac:dyDescent="0.25">
      <c r="A1297" t="s">
        <v>1369</v>
      </c>
      <c r="B1297" t="s">
        <v>95</v>
      </c>
    </row>
    <row r="1298" spans="1:19" hidden="1" x14ac:dyDescent="0.25">
      <c r="A1298" t="s">
        <v>1370</v>
      </c>
      <c r="B1298" t="s">
        <v>173</v>
      </c>
    </row>
    <row r="1299" spans="1:19" hidden="1" x14ac:dyDescent="0.25">
      <c r="A1299" t="s">
        <v>1371</v>
      </c>
      <c r="B1299" t="s">
        <v>173</v>
      </c>
    </row>
    <row r="1300" spans="1:19" hidden="1" x14ac:dyDescent="0.25">
      <c r="A1300" t="s">
        <v>1372</v>
      </c>
      <c r="B1300" t="s">
        <v>341</v>
      </c>
    </row>
    <row r="1301" spans="1:19" hidden="1" x14ac:dyDescent="0.25">
      <c r="A1301" t="s">
        <v>1373</v>
      </c>
      <c r="B1301" t="s">
        <v>173</v>
      </c>
    </row>
    <row r="1302" spans="1:19" hidden="1" x14ac:dyDescent="0.25">
      <c r="A1302" t="s">
        <v>1374</v>
      </c>
      <c r="B1302" t="s">
        <v>87</v>
      </c>
    </row>
    <row r="1303" spans="1:19" x14ac:dyDescent="0.25">
      <c r="A1303" t="s">
        <v>1375</v>
      </c>
      <c r="B1303" t="s">
        <v>95</v>
      </c>
      <c r="C1303" t="s">
        <v>85</v>
      </c>
      <c r="D1303" t="s">
        <v>77</v>
      </c>
      <c r="J1303">
        <v>40</v>
      </c>
      <c r="K1303">
        <v>40</v>
      </c>
      <c r="S1303" t="s">
        <v>292</v>
      </c>
    </row>
    <row r="1304" spans="1:19" x14ac:dyDescent="0.25">
      <c r="A1304" t="s">
        <v>1376</v>
      </c>
      <c r="B1304" t="s">
        <v>77</v>
      </c>
      <c r="C1304" t="s">
        <v>85</v>
      </c>
      <c r="D1304" t="s">
        <v>77</v>
      </c>
      <c r="J1304">
        <v>40</v>
      </c>
      <c r="K1304">
        <v>40</v>
      </c>
      <c r="S1304" t="s">
        <v>290</v>
      </c>
    </row>
    <row r="1305" spans="1:19" hidden="1" x14ac:dyDescent="0.25">
      <c r="A1305" t="s">
        <v>1377</v>
      </c>
      <c r="B1305" t="s">
        <v>95</v>
      </c>
    </row>
    <row r="1306" spans="1:19" hidden="1" x14ac:dyDescent="0.25">
      <c r="A1306" t="s">
        <v>1378</v>
      </c>
      <c r="B1306" t="s">
        <v>341</v>
      </c>
    </row>
    <row r="1307" spans="1:19" x14ac:dyDescent="0.25">
      <c r="A1307" t="s">
        <v>1379</v>
      </c>
      <c r="B1307" t="s">
        <v>77</v>
      </c>
      <c r="D1307" t="s">
        <v>77</v>
      </c>
      <c r="J1307">
        <v>66</v>
      </c>
      <c r="K1307">
        <v>66</v>
      </c>
      <c r="Q1307" t="s">
        <v>1380</v>
      </c>
    </row>
    <row r="1308" spans="1:19" x14ac:dyDescent="0.25">
      <c r="A1308" t="s">
        <v>1381</v>
      </c>
      <c r="B1308" t="s">
        <v>77</v>
      </c>
      <c r="D1308" t="s">
        <v>77</v>
      </c>
      <c r="J1308">
        <v>54</v>
      </c>
      <c r="K1308">
        <v>54</v>
      </c>
      <c r="R1308" t="s">
        <v>108</v>
      </c>
    </row>
    <row r="1309" spans="1:19" x14ac:dyDescent="0.25">
      <c r="A1309" t="s">
        <v>1382</v>
      </c>
      <c r="B1309" t="s">
        <v>46</v>
      </c>
      <c r="D1309" t="s">
        <v>46</v>
      </c>
      <c r="J1309">
        <v>66</v>
      </c>
      <c r="K1309">
        <v>66</v>
      </c>
      <c r="Q1309" t="s">
        <v>1380</v>
      </c>
    </row>
    <row r="1310" spans="1:19" x14ac:dyDescent="0.25">
      <c r="A1310" t="s">
        <v>1383</v>
      </c>
      <c r="B1310" t="s">
        <v>46</v>
      </c>
      <c r="D1310" t="s">
        <v>46</v>
      </c>
      <c r="J1310">
        <v>54</v>
      </c>
      <c r="K1310">
        <v>54</v>
      </c>
      <c r="R1310" t="s">
        <v>108</v>
      </c>
    </row>
    <row r="1311" spans="1:19" hidden="1" x14ac:dyDescent="0.25">
      <c r="A1311" t="s">
        <v>1384</v>
      </c>
      <c r="B1311" t="s">
        <v>341</v>
      </c>
    </row>
    <row r="1312" spans="1:19" hidden="1" x14ac:dyDescent="0.25">
      <c r="A1312" t="s">
        <v>1385</v>
      </c>
      <c r="B1312" t="s">
        <v>87</v>
      </c>
    </row>
    <row r="1313" spans="1:11" hidden="1" x14ac:dyDescent="0.25">
      <c r="A1313" t="s">
        <v>1386</v>
      </c>
      <c r="B1313" t="s">
        <v>341</v>
      </c>
    </row>
    <row r="1314" spans="1:11" x14ac:dyDescent="0.25">
      <c r="A1314" t="s">
        <v>1333</v>
      </c>
      <c r="B1314" t="s">
        <v>173</v>
      </c>
      <c r="D1314" t="s">
        <v>20</v>
      </c>
      <c r="E1314">
        <v>2</v>
      </c>
    </row>
    <row r="1315" spans="1:11" hidden="1" x14ac:dyDescent="0.25">
      <c r="A1315" t="s">
        <v>1387</v>
      </c>
      <c r="B1315" t="s">
        <v>173</v>
      </c>
    </row>
    <row r="1316" spans="1:11" x14ac:dyDescent="0.25">
      <c r="A1316" t="s">
        <v>77</v>
      </c>
      <c r="B1316" t="s">
        <v>173</v>
      </c>
      <c r="D1316" t="s">
        <v>77</v>
      </c>
    </row>
    <row r="1317" spans="1:11" hidden="1" x14ac:dyDescent="0.25">
      <c r="A1317" t="s">
        <v>1285</v>
      </c>
      <c r="B1317" t="s">
        <v>173</v>
      </c>
    </row>
    <row r="1318" spans="1:11" hidden="1" x14ac:dyDescent="0.25">
      <c r="A1318" t="s">
        <v>1388</v>
      </c>
      <c r="B1318" t="s">
        <v>87</v>
      </c>
    </row>
    <row r="1319" spans="1:11" x14ac:dyDescent="0.25">
      <c r="A1319" t="s">
        <v>1389</v>
      </c>
      <c r="B1319" t="s">
        <v>173</v>
      </c>
      <c r="D1319" t="s">
        <v>46</v>
      </c>
      <c r="E1319">
        <v>4</v>
      </c>
    </row>
    <row r="1320" spans="1:11" x14ac:dyDescent="0.25">
      <c r="A1320" t="s">
        <v>1390</v>
      </c>
      <c r="B1320" t="s">
        <v>77</v>
      </c>
      <c r="D1320" t="s">
        <v>77</v>
      </c>
      <c r="E1320">
        <v>6</v>
      </c>
      <c r="J1320" t="s">
        <v>930</v>
      </c>
      <c r="K1320">
        <v>30</v>
      </c>
    </row>
    <row r="1321" spans="1:11" x14ac:dyDescent="0.25">
      <c r="A1321" t="s">
        <v>1391</v>
      </c>
      <c r="B1321" t="s">
        <v>77</v>
      </c>
      <c r="D1321" t="s">
        <v>77</v>
      </c>
      <c r="E1321">
        <v>5</v>
      </c>
      <c r="J1321" t="s">
        <v>930</v>
      </c>
      <c r="K1321">
        <v>30</v>
      </c>
    </row>
    <row r="1322" spans="1:11" x14ac:dyDescent="0.25">
      <c r="A1322" t="s">
        <v>1392</v>
      </c>
      <c r="B1322" t="s">
        <v>77</v>
      </c>
      <c r="D1322" t="s">
        <v>77</v>
      </c>
      <c r="E1322">
        <v>4</v>
      </c>
      <c r="J1322" t="s">
        <v>930</v>
      </c>
      <c r="K1322">
        <v>30</v>
      </c>
    </row>
    <row r="1323" spans="1:11" x14ac:dyDescent="0.25">
      <c r="A1323" t="s">
        <v>1393</v>
      </c>
      <c r="B1323" t="s">
        <v>77</v>
      </c>
      <c r="D1323" t="s">
        <v>77</v>
      </c>
      <c r="E1323">
        <v>3</v>
      </c>
      <c r="J1323" t="s">
        <v>930</v>
      </c>
      <c r="K1323">
        <v>30</v>
      </c>
    </row>
    <row r="1324" spans="1:11" x14ac:dyDescent="0.25">
      <c r="A1324" t="s">
        <v>1394</v>
      </c>
      <c r="B1324" t="s">
        <v>77</v>
      </c>
      <c r="D1324" t="s">
        <v>77</v>
      </c>
      <c r="E1324">
        <v>2</v>
      </c>
      <c r="J1324" t="s">
        <v>930</v>
      </c>
      <c r="K1324">
        <v>30</v>
      </c>
    </row>
    <row r="1325" spans="1:11" x14ac:dyDescent="0.25">
      <c r="A1325" t="s">
        <v>1395</v>
      </c>
      <c r="B1325" t="s">
        <v>20</v>
      </c>
      <c r="D1325" t="s">
        <v>20</v>
      </c>
      <c r="E1325">
        <v>6</v>
      </c>
      <c r="J1325" t="s">
        <v>930</v>
      </c>
      <c r="K1325">
        <v>30</v>
      </c>
    </row>
    <row r="1326" spans="1:11" x14ac:dyDescent="0.25">
      <c r="A1326" t="s">
        <v>1396</v>
      </c>
      <c r="B1326" t="s">
        <v>20</v>
      </c>
      <c r="D1326" t="s">
        <v>20</v>
      </c>
      <c r="E1326">
        <v>5</v>
      </c>
      <c r="J1326" t="s">
        <v>930</v>
      </c>
      <c r="K1326">
        <v>30</v>
      </c>
    </row>
    <row r="1327" spans="1:11" x14ac:dyDescent="0.25">
      <c r="A1327" t="s">
        <v>1397</v>
      </c>
      <c r="B1327" t="s">
        <v>20</v>
      </c>
      <c r="D1327" t="s">
        <v>20</v>
      </c>
      <c r="E1327">
        <v>4</v>
      </c>
      <c r="J1327" t="s">
        <v>930</v>
      </c>
      <c r="K1327">
        <v>30</v>
      </c>
    </row>
    <row r="1328" spans="1:11" x14ac:dyDescent="0.25">
      <c r="A1328" t="s">
        <v>1398</v>
      </c>
      <c r="B1328" t="s">
        <v>20</v>
      </c>
      <c r="D1328" t="s">
        <v>20</v>
      </c>
      <c r="E1328">
        <v>3</v>
      </c>
      <c r="J1328" t="s">
        <v>930</v>
      </c>
      <c r="K1328">
        <v>30</v>
      </c>
    </row>
    <row r="1329" spans="1:17" x14ac:dyDescent="0.25">
      <c r="A1329" t="s">
        <v>1399</v>
      </c>
      <c r="B1329" t="s">
        <v>20</v>
      </c>
      <c r="D1329" t="s">
        <v>20</v>
      </c>
      <c r="E1329">
        <v>2</v>
      </c>
      <c r="J1329" t="s">
        <v>930</v>
      </c>
      <c r="K1329">
        <v>30</v>
      </c>
    </row>
    <row r="1330" spans="1:17" hidden="1" x14ac:dyDescent="0.25">
      <c r="A1330" t="s">
        <v>1400</v>
      </c>
      <c r="B1330" t="s">
        <v>173</v>
      </c>
    </row>
    <row r="1331" spans="1:17" x14ac:dyDescent="0.25">
      <c r="A1331" t="s">
        <v>1401</v>
      </c>
      <c r="B1331" t="s">
        <v>20</v>
      </c>
      <c r="D1331" t="s">
        <v>20</v>
      </c>
      <c r="E1331">
        <v>7</v>
      </c>
      <c r="J1331" t="s">
        <v>930</v>
      </c>
      <c r="K1331">
        <v>30</v>
      </c>
    </row>
    <row r="1332" spans="1:17" x14ac:dyDescent="0.25">
      <c r="A1332" t="s">
        <v>1402</v>
      </c>
      <c r="B1332" t="s">
        <v>77</v>
      </c>
      <c r="D1332" t="s">
        <v>77</v>
      </c>
      <c r="E1332">
        <v>7</v>
      </c>
      <c r="J1332" t="s">
        <v>930</v>
      </c>
      <c r="K1332">
        <v>30</v>
      </c>
    </row>
    <row r="1333" spans="1:17" x14ac:dyDescent="0.25">
      <c r="A1333" t="s">
        <v>1403</v>
      </c>
      <c r="B1333" t="s">
        <v>77</v>
      </c>
      <c r="D1333" t="s">
        <v>77</v>
      </c>
      <c r="L1333" t="s">
        <v>211</v>
      </c>
      <c r="Q1333" t="s">
        <v>1067</v>
      </c>
    </row>
    <row r="1334" spans="1:17" x14ac:dyDescent="0.25">
      <c r="A1334" t="s">
        <v>1404</v>
      </c>
      <c r="B1334" t="s">
        <v>77</v>
      </c>
      <c r="D1334" t="s">
        <v>77</v>
      </c>
      <c r="E1334">
        <v>2</v>
      </c>
      <c r="Q1334" t="s">
        <v>1067</v>
      </c>
    </row>
    <row r="1335" spans="1:17" x14ac:dyDescent="0.25">
      <c r="A1335" t="s">
        <v>1405</v>
      </c>
      <c r="B1335" t="s">
        <v>77</v>
      </c>
      <c r="D1335" t="s">
        <v>77</v>
      </c>
      <c r="E1335">
        <v>4</v>
      </c>
      <c r="Q1335" t="s">
        <v>1067</v>
      </c>
    </row>
    <row r="1336" spans="1:17" x14ac:dyDescent="0.25">
      <c r="A1336" t="s">
        <v>1406</v>
      </c>
      <c r="B1336" t="s">
        <v>77</v>
      </c>
      <c r="D1336" t="s">
        <v>77</v>
      </c>
      <c r="E1336">
        <v>5</v>
      </c>
      <c r="Q1336" t="s">
        <v>1067</v>
      </c>
    </row>
    <row r="1337" spans="1:17" hidden="1" x14ac:dyDescent="0.25">
      <c r="A1337" t="s">
        <v>1407</v>
      </c>
      <c r="B1337" t="s">
        <v>214</v>
      </c>
    </row>
    <row r="1338" spans="1:17" hidden="1" x14ac:dyDescent="0.25">
      <c r="A1338" t="s">
        <v>1408</v>
      </c>
      <c r="B1338" t="s">
        <v>87</v>
      </c>
    </row>
    <row r="1339" spans="1:17" hidden="1" x14ac:dyDescent="0.25">
      <c r="A1339" t="s">
        <v>1409</v>
      </c>
      <c r="B1339" t="s">
        <v>87</v>
      </c>
    </row>
    <row r="1340" spans="1:17" hidden="1" x14ac:dyDescent="0.25">
      <c r="A1340" t="s">
        <v>1410</v>
      </c>
      <c r="B1340" t="s">
        <v>87</v>
      </c>
    </row>
    <row r="1341" spans="1:17" hidden="1" x14ac:dyDescent="0.25">
      <c r="A1341" t="s">
        <v>1411</v>
      </c>
      <c r="B1341" t="s">
        <v>95</v>
      </c>
    </row>
    <row r="1342" spans="1:17" hidden="1" x14ac:dyDescent="0.25">
      <c r="A1342" t="s">
        <v>1412</v>
      </c>
      <c r="B1342" t="s">
        <v>87</v>
      </c>
    </row>
    <row r="1343" spans="1:17" hidden="1" x14ac:dyDescent="0.25">
      <c r="A1343" t="s">
        <v>1413</v>
      </c>
      <c r="B1343" t="s">
        <v>46</v>
      </c>
    </row>
    <row r="1344" spans="1:17" hidden="1" x14ac:dyDescent="0.25">
      <c r="A1344" t="s">
        <v>943</v>
      </c>
      <c r="B1344" t="s">
        <v>20</v>
      </c>
    </row>
    <row r="1345" spans="1:11" hidden="1" x14ac:dyDescent="0.25">
      <c r="A1345" t="s">
        <v>1414</v>
      </c>
      <c r="B1345" t="s">
        <v>87</v>
      </c>
    </row>
    <row r="1346" spans="1:11" hidden="1" x14ac:dyDescent="0.25">
      <c r="A1346" t="s">
        <v>1415</v>
      </c>
      <c r="B1346" t="s">
        <v>87</v>
      </c>
    </row>
    <row r="1347" spans="1:11" x14ac:dyDescent="0.25">
      <c r="A1347" t="s">
        <v>1416</v>
      </c>
      <c r="B1347" t="s">
        <v>46</v>
      </c>
      <c r="D1347" t="s">
        <v>46</v>
      </c>
      <c r="J1347">
        <v>40</v>
      </c>
      <c r="K1347">
        <v>40</v>
      </c>
    </row>
    <row r="1348" spans="1:11" x14ac:dyDescent="0.25">
      <c r="A1348" t="s">
        <v>1417</v>
      </c>
      <c r="B1348" t="s">
        <v>77</v>
      </c>
      <c r="C1348" t="s">
        <v>85</v>
      </c>
      <c r="D1348" t="s">
        <v>77</v>
      </c>
      <c r="J1348">
        <v>40</v>
      </c>
      <c r="K1348">
        <v>40</v>
      </c>
    </row>
    <row r="1349" spans="1:11" x14ac:dyDescent="0.25">
      <c r="A1349" t="s">
        <v>1418</v>
      </c>
      <c r="B1349" t="s">
        <v>77</v>
      </c>
      <c r="D1349" t="s">
        <v>77</v>
      </c>
      <c r="J1349">
        <v>40</v>
      </c>
      <c r="K1349">
        <v>40</v>
      </c>
    </row>
    <row r="1350" spans="1:11" x14ac:dyDescent="0.25">
      <c r="A1350" t="s">
        <v>1419</v>
      </c>
      <c r="B1350" t="s">
        <v>46</v>
      </c>
      <c r="D1350" t="s">
        <v>46</v>
      </c>
      <c r="J1350">
        <v>45</v>
      </c>
      <c r="K1350">
        <v>45</v>
      </c>
    </row>
    <row r="1351" spans="1:11" x14ac:dyDescent="0.25">
      <c r="A1351" t="s">
        <v>1420</v>
      </c>
      <c r="B1351" t="s">
        <v>46</v>
      </c>
      <c r="D1351" t="s">
        <v>46</v>
      </c>
      <c r="J1351">
        <v>50.4</v>
      </c>
      <c r="K1351">
        <v>50.4</v>
      </c>
    </row>
    <row r="1352" spans="1:11" x14ac:dyDescent="0.25">
      <c r="A1352" t="s">
        <v>1421</v>
      </c>
      <c r="B1352" t="s">
        <v>77</v>
      </c>
      <c r="D1352" t="s">
        <v>77</v>
      </c>
      <c r="J1352">
        <v>50.4</v>
      </c>
      <c r="K1352">
        <v>50.4</v>
      </c>
    </row>
    <row r="1353" spans="1:11" x14ac:dyDescent="0.25">
      <c r="A1353" t="s">
        <v>1422</v>
      </c>
      <c r="B1353" t="s">
        <v>77</v>
      </c>
      <c r="C1353" t="s">
        <v>85</v>
      </c>
      <c r="D1353" t="s">
        <v>77</v>
      </c>
      <c r="J1353">
        <v>50.4</v>
      </c>
      <c r="K1353">
        <v>50.4</v>
      </c>
    </row>
    <row r="1354" spans="1:11" hidden="1" x14ac:dyDescent="0.25">
      <c r="A1354" t="s">
        <v>1423</v>
      </c>
      <c r="B1354" t="s">
        <v>87</v>
      </c>
    </row>
    <row r="1355" spans="1:11" hidden="1" x14ac:dyDescent="0.25">
      <c r="A1355" t="s">
        <v>156</v>
      </c>
      <c r="B1355" t="s">
        <v>95</v>
      </c>
    </row>
    <row r="1356" spans="1:11" x14ac:dyDescent="0.25">
      <c r="A1356" t="s">
        <v>1424</v>
      </c>
      <c r="B1356" t="s">
        <v>20</v>
      </c>
      <c r="D1356" t="s">
        <v>20</v>
      </c>
      <c r="E1356">
        <v>5</v>
      </c>
      <c r="J1356" t="s">
        <v>560</v>
      </c>
      <c r="K1356">
        <v>18</v>
      </c>
    </row>
    <row r="1357" spans="1:11" x14ac:dyDescent="0.25">
      <c r="A1357" t="s">
        <v>1425</v>
      </c>
      <c r="B1357" t="s">
        <v>20</v>
      </c>
      <c r="D1357" t="s">
        <v>20</v>
      </c>
      <c r="E1357">
        <v>6</v>
      </c>
      <c r="J1357" t="s">
        <v>1426</v>
      </c>
      <c r="K1357">
        <v>18</v>
      </c>
    </row>
    <row r="1358" spans="1:11" x14ac:dyDescent="0.25">
      <c r="A1358" t="s">
        <v>1427</v>
      </c>
      <c r="B1358" t="s">
        <v>77</v>
      </c>
      <c r="D1358" t="s">
        <v>77</v>
      </c>
      <c r="E1358">
        <v>5</v>
      </c>
      <c r="J1358" t="s">
        <v>560</v>
      </c>
      <c r="K1358">
        <v>18</v>
      </c>
    </row>
    <row r="1359" spans="1:11" x14ac:dyDescent="0.25">
      <c r="A1359" t="s">
        <v>1428</v>
      </c>
      <c r="B1359" t="s">
        <v>20</v>
      </c>
      <c r="D1359" t="s">
        <v>20</v>
      </c>
      <c r="E1359">
        <v>7</v>
      </c>
      <c r="J1359" t="s">
        <v>560</v>
      </c>
      <c r="K1359">
        <v>18</v>
      </c>
    </row>
    <row r="1360" spans="1:11" x14ac:dyDescent="0.25">
      <c r="A1360" t="s">
        <v>1429</v>
      </c>
      <c r="B1360" t="s">
        <v>77</v>
      </c>
      <c r="D1360" t="s">
        <v>77</v>
      </c>
      <c r="E1360">
        <v>6</v>
      </c>
      <c r="J1360" t="s">
        <v>1426</v>
      </c>
      <c r="K1360">
        <v>18</v>
      </c>
    </row>
    <row r="1361" spans="1:17" x14ac:dyDescent="0.25">
      <c r="A1361" t="s">
        <v>1430</v>
      </c>
      <c r="B1361" t="s">
        <v>77</v>
      </c>
      <c r="D1361" t="s">
        <v>77</v>
      </c>
      <c r="E1361">
        <v>7</v>
      </c>
      <c r="J1361" t="s">
        <v>1426</v>
      </c>
      <c r="K1361">
        <v>18</v>
      </c>
    </row>
    <row r="1362" spans="1:17" hidden="1" x14ac:dyDescent="0.25">
      <c r="A1362" t="s">
        <v>144</v>
      </c>
      <c r="B1362" t="s">
        <v>46</v>
      </c>
    </row>
    <row r="1363" spans="1:17" hidden="1" x14ac:dyDescent="0.25">
      <c r="A1363" t="s">
        <v>1431</v>
      </c>
      <c r="B1363" t="s">
        <v>173</v>
      </c>
    </row>
    <row r="1364" spans="1:17" x14ac:dyDescent="0.25">
      <c r="A1364" t="s">
        <v>1432</v>
      </c>
      <c r="B1364" t="s">
        <v>77</v>
      </c>
      <c r="D1364" t="s">
        <v>77</v>
      </c>
      <c r="Q1364" t="s">
        <v>1433</v>
      </c>
    </row>
    <row r="1365" spans="1:17" x14ac:dyDescent="0.25">
      <c r="A1365" t="s">
        <v>1434</v>
      </c>
      <c r="B1365" t="s">
        <v>46</v>
      </c>
      <c r="D1365" t="s">
        <v>45</v>
      </c>
      <c r="Q1365" t="s">
        <v>1433</v>
      </c>
    </row>
    <row r="1366" spans="1:17" x14ac:dyDescent="0.25">
      <c r="A1366" t="s">
        <v>1435</v>
      </c>
      <c r="B1366" t="s">
        <v>20</v>
      </c>
      <c r="D1366" t="s">
        <v>44</v>
      </c>
      <c r="Q1366" t="s">
        <v>1436</v>
      </c>
    </row>
    <row r="1367" spans="1:17" x14ac:dyDescent="0.25">
      <c r="A1367" t="s">
        <v>1437</v>
      </c>
      <c r="B1367" t="s">
        <v>87</v>
      </c>
      <c r="D1367" t="s">
        <v>77</v>
      </c>
      <c r="Q1367" t="s">
        <v>1433</v>
      </c>
    </row>
    <row r="1368" spans="1:17" x14ac:dyDescent="0.25">
      <c r="A1368" t="s">
        <v>1438</v>
      </c>
      <c r="B1368" t="s">
        <v>77</v>
      </c>
      <c r="D1368" t="s">
        <v>77</v>
      </c>
      <c r="Q1368" t="s">
        <v>1436</v>
      </c>
    </row>
    <row r="1369" spans="1:17" x14ac:dyDescent="0.25">
      <c r="A1369" t="s">
        <v>1439</v>
      </c>
      <c r="B1369" t="s">
        <v>46</v>
      </c>
      <c r="D1369" t="s">
        <v>45</v>
      </c>
      <c r="Q1369" t="s">
        <v>1436</v>
      </c>
    </row>
    <row r="1370" spans="1:17" x14ac:dyDescent="0.25">
      <c r="A1370" t="s">
        <v>1440</v>
      </c>
      <c r="B1370" t="s">
        <v>20</v>
      </c>
      <c r="D1370" t="s">
        <v>44</v>
      </c>
      <c r="Q1370" t="s">
        <v>1433</v>
      </c>
    </row>
    <row r="1371" spans="1:17" x14ac:dyDescent="0.25">
      <c r="A1371" t="s">
        <v>1441</v>
      </c>
      <c r="B1371" t="s">
        <v>20</v>
      </c>
      <c r="D1371" t="s">
        <v>20</v>
      </c>
      <c r="G1371" t="s">
        <v>43</v>
      </c>
      <c r="Q1371" t="s">
        <v>1436</v>
      </c>
    </row>
    <row r="1372" spans="1:17" hidden="1" x14ac:dyDescent="0.25">
      <c r="A1372" t="s">
        <v>1442</v>
      </c>
      <c r="B1372" t="s">
        <v>341</v>
      </c>
    </row>
    <row r="1373" spans="1:17" hidden="1" x14ac:dyDescent="0.25">
      <c r="A1373" t="s">
        <v>1443</v>
      </c>
      <c r="B1373" t="s">
        <v>95</v>
      </c>
    </row>
    <row r="1374" spans="1:17" x14ac:dyDescent="0.25">
      <c r="A1374" t="s">
        <v>1444</v>
      </c>
      <c r="B1374" t="s">
        <v>20</v>
      </c>
      <c r="D1374" t="s">
        <v>20</v>
      </c>
      <c r="G1374" t="s">
        <v>43</v>
      </c>
      <c r="Q1374" t="s">
        <v>1433</v>
      </c>
    </row>
    <row r="1375" spans="1:17" hidden="1" x14ac:dyDescent="0.25">
      <c r="A1375" t="s">
        <v>1445</v>
      </c>
      <c r="B1375" t="s">
        <v>95</v>
      </c>
    </row>
    <row r="1376" spans="1:17" hidden="1" x14ac:dyDescent="0.25">
      <c r="A1376" t="s">
        <v>1446</v>
      </c>
      <c r="B1376" t="s">
        <v>341</v>
      </c>
    </row>
    <row r="1377" spans="1:17" x14ac:dyDescent="0.25">
      <c r="A1377" t="s">
        <v>1447</v>
      </c>
      <c r="B1377" t="s">
        <v>87</v>
      </c>
      <c r="D1377" t="s">
        <v>77</v>
      </c>
      <c r="Q1377" t="s">
        <v>1436</v>
      </c>
    </row>
    <row r="1378" spans="1:17" x14ac:dyDescent="0.25">
      <c r="A1378" t="s">
        <v>1448</v>
      </c>
      <c r="B1378" t="s">
        <v>77</v>
      </c>
      <c r="D1378" t="s">
        <v>77</v>
      </c>
      <c r="Q1378" t="s">
        <v>1449</v>
      </c>
    </row>
    <row r="1379" spans="1:17" x14ac:dyDescent="0.25">
      <c r="A1379" t="s">
        <v>1450</v>
      </c>
      <c r="B1379" t="s">
        <v>87</v>
      </c>
      <c r="D1379" t="s">
        <v>77</v>
      </c>
      <c r="Q1379" t="s">
        <v>1449</v>
      </c>
    </row>
    <row r="1380" spans="1:17" hidden="1" x14ac:dyDescent="0.25">
      <c r="A1380" t="s">
        <v>1451</v>
      </c>
      <c r="B1380" t="s">
        <v>95</v>
      </c>
    </row>
    <row r="1381" spans="1:17" hidden="1" x14ac:dyDescent="0.25">
      <c r="A1381" t="s">
        <v>1452</v>
      </c>
      <c r="B1381" t="s">
        <v>87</v>
      </c>
    </row>
    <row r="1382" spans="1:17" hidden="1" x14ac:dyDescent="0.25">
      <c r="A1382" t="s">
        <v>1453</v>
      </c>
      <c r="B1382" t="s">
        <v>87</v>
      </c>
    </row>
    <row r="1383" spans="1:17" hidden="1" x14ac:dyDescent="0.25">
      <c r="A1383" t="s">
        <v>1454</v>
      </c>
      <c r="B1383" t="s">
        <v>87</v>
      </c>
    </row>
    <row r="1384" spans="1:17" hidden="1" x14ac:dyDescent="0.25">
      <c r="A1384" t="s">
        <v>1455</v>
      </c>
      <c r="B1384" t="s">
        <v>341</v>
      </c>
    </row>
    <row r="1385" spans="1:17" hidden="1" x14ac:dyDescent="0.25">
      <c r="A1385" t="s">
        <v>1456</v>
      </c>
      <c r="B1385" t="s">
        <v>341</v>
      </c>
    </row>
    <row r="1386" spans="1:17" hidden="1" x14ac:dyDescent="0.25">
      <c r="A1386" t="s">
        <v>1457</v>
      </c>
      <c r="B1386" t="s">
        <v>341</v>
      </c>
    </row>
    <row r="1387" spans="1:17" hidden="1" x14ac:dyDescent="0.25">
      <c r="A1387" t="s">
        <v>1458</v>
      </c>
      <c r="B1387" t="s">
        <v>87</v>
      </c>
    </row>
    <row r="1388" spans="1:17" hidden="1" x14ac:dyDescent="0.25">
      <c r="A1388" t="s">
        <v>1459</v>
      </c>
      <c r="B1388" t="s">
        <v>87</v>
      </c>
    </row>
    <row r="1389" spans="1:17" x14ac:dyDescent="0.25">
      <c r="A1389" t="s">
        <v>1460</v>
      </c>
      <c r="B1389" t="s">
        <v>20</v>
      </c>
      <c r="D1389" t="s">
        <v>44</v>
      </c>
      <c r="Q1389" t="s">
        <v>1461</v>
      </c>
    </row>
    <row r="1390" spans="1:17" hidden="1" x14ac:dyDescent="0.25">
      <c r="A1390" t="s">
        <v>1462</v>
      </c>
      <c r="B1390" t="s">
        <v>87</v>
      </c>
    </row>
    <row r="1391" spans="1:17" x14ac:dyDescent="0.25">
      <c r="A1391" t="s">
        <v>20</v>
      </c>
      <c r="B1391" t="s">
        <v>48</v>
      </c>
      <c r="D1391" t="s">
        <v>20</v>
      </c>
    </row>
    <row r="1392" spans="1:17" hidden="1" x14ac:dyDescent="0.25">
      <c r="A1392" t="s">
        <v>1463</v>
      </c>
      <c r="B1392" t="s">
        <v>467</v>
      </c>
    </row>
    <row r="1393" spans="1:18" hidden="1" x14ac:dyDescent="0.25">
      <c r="A1393" t="s">
        <v>1464</v>
      </c>
      <c r="B1393" t="s">
        <v>467</v>
      </c>
    </row>
    <row r="1394" spans="1:18" hidden="1" x14ac:dyDescent="0.25">
      <c r="A1394" t="s">
        <v>1465</v>
      </c>
      <c r="B1394" t="s">
        <v>87</v>
      </c>
    </row>
    <row r="1395" spans="1:18" hidden="1" x14ac:dyDescent="0.25">
      <c r="A1395" t="s">
        <v>1466</v>
      </c>
      <c r="B1395" t="s">
        <v>87</v>
      </c>
    </row>
    <row r="1396" spans="1:18" hidden="1" x14ac:dyDescent="0.25">
      <c r="A1396" t="s">
        <v>1467</v>
      </c>
      <c r="B1396" t="s">
        <v>87</v>
      </c>
    </row>
    <row r="1397" spans="1:18" hidden="1" x14ac:dyDescent="0.25">
      <c r="A1397" t="s">
        <v>1468</v>
      </c>
      <c r="B1397" t="s">
        <v>87</v>
      </c>
    </row>
    <row r="1398" spans="1:18" hidden="1" x14ac:dyDescent="0.25">
      <c r="A1398" t="s">
        <v>1469</v>
      </c>
      <c r="B1398" t="s">
        <v>341</v>
      </c>
    </row>
    <row r="1399" spans="1:18" x14ac:dyDescent="0.25">
      <c r="A1399" t="s">
        <v>1470</v>
      </c>
      <c r="B1399" t="s">
        <v>173</v>
      </c>
      <c r="D1399" t="s">
        <v>46</v>
      </c>
      <c r="J1399">
        <v>56</v>
      </c>
      <c r="K1399">
        <v>56</v>
      </c>
      <c r="R1399" t="s">
        <v>106</v>
      </c>
    </row>
    <row r="1400" spans="1:18" x14ac:dyDescent="0.25">
      <c r="A1400" t="s">
        <v>1471</v>
      </c>
      <c r="B1400" t="s">
        <v>173</v>
      </c>
      <c r="D1400" t="s">
        <v>46</v>
      </c>
      <c r="J1400">
        <v>56</v>
      </c>
      <c r="K1400">
        <v>56</v>
      </c>
      <c r="R1400" t="s">
        <v>108</v>
      </c>
    </row>
    <row r="1401" spans="1:18" x14ac:dyDescent="0.25">
      <c r="A1401" t="s">
        <v>1472</v>
      </c>
      <c r="B1401" t="s">
        <v>173</v>
      </c>
      <c r="D1401" t="s">
        <v>77</v>
      </c>
      <c r="J1401">
        <v>56</v>
      </c>
      <c r="K1401">
        <v>56</v>
      </c>
      <c r="R1401" t="s">
        <v>106</v>
      </c>
    </row>
    <row r="1402" spans="1:18" x14ac:dyDescent="0.25">
      <c r="A1402" t="s">
        <v>1473</v>
      </c>
      <c r="B1402" t="s">
        <v>173</v>
      </c>
      <c r="D1402" t="s">
        <v>77</v>
      </c>
      <c r="J1402">
        <v>56</v>
      </c>
      <c r="K1402">
        <v>56</v>
      </c>
      <c r="R1402" t="s">
        <v>108</v>
      </c>
    </row>
    <row r="1403" spans="1:18" x14ac:dyDescent="0.25">
      <c r="A1403" t="s">
        <v>1474</v>
      </c>
      <c r="B1403" t="s">
        <v>46</v>
      </c>
      <c r="D1403" t="s">
        <v>46</v>
      </c>
      <c r="J1403">
        <v>70</v>
      </c>
      <c r="K1403">
        <v>70</v>
      </c>
      <c r="Q1403" t="s">
        <v>1475</v>
      </c>
    </row>
    <row r="1404" spans="1:18" x14ac:dyDescent="0.25">
      <c r="A1404" t="s">
        <v>1476</v>
      </c>
      <c r="B1404" t="s">
        <v>20</v>
      </c>
      <c r="D1404" t="s">
        <v>20</v>
      </c>
      <c r="I1404" t="s">
        <v>235</v>
      </c>
      <c r="Q1404" t="s">
        <v>1475</v>
      </c>
    </row>
    <row r="1405" spans="1:18" x14ac:dyDescent="0.25">
      <c r="A1405" t="s">
        <v>1477</v>
      </c>
      <c r="B1405" t="s">
        <v>77</v>
      </c>
      <c r="D1405" t="s">
        <v>77</v>
      </c>
      <c r="J1405">
        <v>70</v>
      </c>
      <c r="K1405">
        <v>70</v>
      </c>
      <c r="Q1405" t="s">
        <v>1475</v>
      </c>
    </row>
    <row r="1406" spans="1:18" x14ac:dyDescent="0.25">
      <c r="A1406" t="s">
        <v>1478</v>
      </c>
      <c r="B1406" t="s">
        <v>20</v>
      </c>
      <c r="D1406" t="s">
        <v>20</v>
      </c>
      <c r="I1406" t="s">
        <v>79</v>
      </c>
      <c r="Q1406" t="s">
        <v>1475</v>
      </c>
    </row>
    <row r="1407" spans="1:18" x14ac:dyDescent="0.25">
      <c r="A1407" t="s">
        <v>1479</v>
      </c>
      <c r="B1407" t="s">
        <v>46</v>
      </c>
      <c r="D1407" t="s">
        <v>46</v>
      </c>
      <c r="J1407">
        <v>56</v>
      </c>
      <c r="K1407">
        <v>56</v>
      </c>
      <c r="R1407" t="s">
        <v>106</v>
      </c>
    </row>
    <row r="1408" spans="1:18" x14ac:dyDescent="0.25">
      <c r="A1408" t="s">
        <v>1480</v>
      </c>
      <c r="B1408" t="s">
        <v>46</v>
      </c>
      <c r="D1408" t="s">
        <v>46</v>
      </c>
      <c r="J1408">
        <v>56</v>
      </c>
      <c r="K1408">
        <v>56</v>
      </c>
      <c r="R1408" t="s">
        <v>108</v>
      </c>
    </row>
    <row r="1409" spans="1:18" x14ac:dyDescent="0.25">
      <c r="A1409" t="s">
        <v>1481</v>
      </c>
      <c r="B1409" t="s">
        <v>46</v>
      </c>
      <c r="D1409" t="s">
        <v>46</v>
      </c>
      <c r="J1409">
        <v>70</v>
      </c>
      <c r="K1409">
        <v>70</v>
      </c>
      <c r="Q1409" t="s">
        <v>1263</v>
      </c>
    </row>
    <row r="1410" spans="1:18" x14ac:dyDescent="0.25">
      <c r="A1410" t="s">
        <v>1482</v>
      </c>
      <c r="B1410" t="s">
        <v>20</v>
      </c>
      <c r="D1410" t="s">
        <v>20</v>
      </c>
      <c r="Q1410" t="s">
        <v>1263</v>
      </c>
    </row>
    <row r="1411" spans="1:18" x14ac:dyDescent="0.25">
      <c r="A1411" t="s">
        <v>1483</v>
      </c>
      <c r="B1411" t="s">
        <v>48</v>
      </c>
      <c r="D1411" t="s">
        <v>20</v>
      </c>
      <c r="I1411" t="s">
        <v>79</v>
      </c>
      <c r="Q1411" t="s">
        <v>1263</v>
      </c>
    </row>
    <row r="1412" spans="1:18" x14ac:dyDescent="0.25">
      <c r="A1412" t="s">
        <v>1484</v>
      </c>
      <c r="B1412" t="s">
        <v>77</v>
      </c>
      <c r="D1412" t="s">
        <v>77</v>
      </c>
      <c r="J1412">
        <v>56</v>
      </c>
      <c r="K1412">
        <v>56</v>
      </c>
      <c r="R1412" t="s">
        <v>106</v>
      </c>
    </row>
    <row r="1413" spans="1:18" x14ac:dyDescent="0.25">
      <c r="A1413" t="s">
        <v>1485</v>
      </c>
      <c r="B1413" t="s">
        <v>77</v>
      </c>
      <c r="D1413" t="s">
        <v>77</v>
      </c>
      <c r="J1413">
        <v>56</v>
      </c>
      <c r="K1413">
        <v>56</v>
      </c>
      <c r="R1413" t="s">
        <v>108</v>
      </c>
    </row>
    <row r="1414" spans="1:18" x14ac:dyDescent="0.25">
      <c r="A1414" t="s">
        <v>1486</v>
      </c>
      <c r="B1414" t="s">
        <v>77</v>
      </c>
      <c r="D1414" t="s">
        <v>77</v>
      </c>
      <c r="J1414">
        <v>70</v>
      </c>
      <c r="K1414">
        <v>70</v>
      </c>
      <c r="Q1414" t="s">
        <v>1263</v>
      </c>
    </row>
    <row r="1415" spans="1:18" hidden="1" x14ac:dyDescent="0.25">
      <c r="A1415" t="s">
        <v>1487</v>
      </c>
      <c r="B1415" t="s">
        <v>341</v>
      </c>
    </row>
    <row r="1416" spans="1:18" hidden="1" x14ac:dyDescent="0.25">
      <c r="A1416" t="s">
        <v>1488</v>
      </c>
      <c r="B1416" t="s">
        <v>87</v>
      </c>
    </row>
    <row r="1417" spans="1:18" hidden="1" x14ac:dyDescent="0.25">
      <c r="A1417" t="s">
        <v>1489</v>
      </c>
      <c r="B1417" t="s">
        <v>341</v>
      </c>
    </row>
    <row r="1418" spans="1:18" hidden="1" x14ac:dyDescent="0.25">
      <c r="A1418" t="s">
        <v>1490</v>
      </c>
      <c r="B1418" t="s">
        <v>87</v>
      </c>
    </row>
    <row r="1419" spans="1:18" hidden="1" x14ac:dyDescent="0.25">
      <c r="A1419" t="s">
        <v>1491</v>
      </c>
      <c r="B1419" t="s">
        <v>87</v>
      </c>
    </row>
    <row r="1420" spans="1:18" hidden="1" x14ac:dyDescent="0.25">
      <c r="A1420" t="s">
        <v>1492</v>
      </c>
      <c r="B1420" t="s">
        <v>341</v>
      </c>
    </row>
    <row r="1421" spans="1:18" x14ac:dyDescent="0.25">
      <c r="A1421" t="s">
        <v>1493</v>
      </c>
      <c r="B1421" t="s">
        <v>77</v>
      </c>
      <c r="D1421" t="s">
        <v>77</v>
      </c>
      <c r="J1421">
        <v>60</v>
      </c>
      <c r="K1421">
        <v>60</v>
      </c>
    </row>
    <row r="1422" spans="1:18" x14ac:dyDescent="0.25">
      <c r="A1422" t="s">
        <v>1494</v>
      </c>
      <c r="B1422" t="s">
        <v>46</v>
      </c>
      <c r="D1422" t="s">
        <v>46</v>
      </c>
      <c r="J1422">
        <v>60</v>
      </c>
      <c r="K1422">
        <v>60</v>
      </c>
    </row>
    <row r="1423" spans="1:18" hidden="1" x14ac:dyDescent="0.25">
      <c r="A1423" t="s">
        <v>1495</v>
      </c>
      <c r="B1423" t="s">
        <v>173</v>
      </c>
    </row>
    <row r="1424" spans="1:18" x14ac:dyDescent="0.25">
      <c r="A1424" t="s">
        <v>49</v>
      </c>
      <c r="B1424" t="s">
        <v>173</v>
      </c>
      <c r="D1424" t="s">
        <v>49</v>
      </c>
    </row>
    <row r="1425" spans="1:19" hidden="1" x14ac:dyDescent="0.25">
      <c r="A1425" t="s">
        <v>1496</v>
      </c>
      <c r="B1425" t="s">
        <v>87</v>
      </c>
    </row>
    <row r="1426" spans="1:19" hidden="1" x14ac:dyDescent="0.25">
      <c r="A1426" t="s">
        <v>1497</v>
      </c>
      <c r="B1426" t="s">
        <v>87</v>
      </c>
    </row>
    <row r="1427" spans="1:19" hidden="1" x14ac:dyDescent="0.25">
      <c r="A1427" t="s">
        <v>1498</v>
      </c>
      <c r="B1427" t="s">
        <v>87</v>
      </c>
    </row>
    <row r="1428" spans="1:19" x14ac:dyDescent="0.25">
      <c r="A1428" t="s">
        <v>1499</v>
      </c>
      <c r="B1428" t="s">
        <v>20</v>
      </c>
      <c r="D1428" t="s">
        <v>20</v>
      </c>
      <c r="I1428" t="s">
        <v>79</v>
      </c>
      <c r="R1428" t="s">
        <v>108</v>
      </c>
    </row>
    <row r="1429" spans="1:19" x14ac:dyDescent="0.25">
      <c r="A1429" t="s">
        <v>1500</v>
      </c>
      <c r="B1429" t="s">
        <v>77</v>
      </c>
      <c r="C1429" t="s">
        <v>85</v>
      </c>
      <c r="D1429" t="s">
        <v>77</v>
      </c>
      <c r="J1429">
        <v>66</v>
      </c>
      <c r="K1429">
        <v>66</v>
      </c>
      <c r="R1429" t="s">
        <v>106</v>
      </c>
    </row>
    <row r="1430" spans="1:19" x14ac:dyDescent="0.25">
      <c r="A1430" t="s">
        <v>1501</v>
      </c>
      <c r="B1430" t="s">
        <v>77</v>
      </c>
      <c r="C1430" t="s">
        <v>85</v>
      </c>
      <c r="D1430" t="s">
        <v>77</v>
      </c>
      <c r="J1430">
        <v>66</v>
      </c>
      <c r="K1430">
        <v>66</v>
      </c>
      <c r="R1430" t="s">
        <v>108</v>
      </c>
    </row>
    <row r="1431" spans="1:19" x14ac:dyDescent="0.25">
      <c r="A1431" t="s">
        <v>1502</v>
      </c>
      <c r="B1431" t="s">
        <v>77</v>
      </c>
      <c r="C1431" t="s">
        <v>85</v>
      </c>
      <c r="D1431" t="s">
        <v>77</v>
      </c>
      <c r="J1431">
        <v>54</v>
      </c>
      <c r="K1431">
        <v>54</v>
      </c>
      <c r="S1431" t="s">
        <v>290</v>
      </c>
    </row>
    <row r="1432" spans="1:19" x14ac:dyDescent="0.25">
      <c r="A1432" t="s">
        <v>1503</v>
      </c>
      <c r="B1432" t="s">
        <v>77</v>
      </c>
      <c r="C1432" t="s">
        <v>85</v>
      </c>
      <c r="D1432" t="s">
        <v>77</v>
      </c>
      <c r="J1432">
        <v>54</v>
      </c>
      <c r="K1432">
        <v>54</v>
      </c>
      <c r="S1432" t="s">
        <v>292</v>
      </c>
    </row>
    <row r="1433" spans="1:19" x14ac:dyDescent="0.25">
      <c r="A1433" t="s">
        <v>1504</v>
      </c>
      <c r="B1433" t="s">
        <v>46</v>
      </c>
      <c r="D1433" t="s">
        <v>46</v>
      </c>
      <c r="R1433" t="s">
        <v>106</v>
      </c>
    </row>
    <row r="1434" spans="1:19" x14ac:dyDescent="0.25">
      <c r="A1434" t="s">
        <v>1505</v>
      </c>
      <c r="B1434" t="s">
        <v>77</v>
      </c>
      <c r="D1434" t="s">
        <v>77</v>
      </c>
      <c r="J1434">
        <v>66</v>
      </c>
      <c r="K1434">
        <v>66</v>
      </c>
      <c r="R1434" t="s">
        <v>106</v>
      </c>
    </row>
    <row r="1435" spans="1:19" x14ac:dyDescent="0.25">
      <c r="A1435" t="s">
        <v>1506</v>
      </c>
      <c r="B1435" t="s">
        <v>46</v>
      </c>
      <c r="D1435" t="s">
        <v>46</v>
      </c>
      <c r="J1435">
        <v>66</v>
      </c>
      <c r="K1435">
        <v>66</v>
      </c>
      <c r="R1435" t="s">
        <v>108</v>
      </c>
    </row>
    <row r="1436" spans="1:19" x14ac:dyDescent="0.25">
      <c r="A1436" t="s">
        <v>1507</v>
      </c>
      <c r="B1436" t="s">
        <v>77</v>
      </c>
      <c r="D1436" t="s">
        <v>77</v>
      </c>
      <c r="J1436">
        <v>66</v>
      </c>
      <c r="K1436">
        <v>66</v>
      </c>
      <c r="R1436" t="s">
        <v>108</v>
      </c>
    </row>
    <row r="1437" spans="1:19" hidden="1" x14ac:dyDescent="0.25">
      <c r="A1437" t="s">
        <v>1508</v>
      </c>
      <c r="B1437" t="s">
        <v>341</v>
      </c>
    </row>
    <row r="1438" spans="1:19" x14ac:dyDescent="0.25">
      <c r="A1438" t="s">
        <v>1201</v>
      </c>
      <c r="B1438" t="s">
        <v>77</v>
      </c>
      <c r="D1438" t="s">
        <v>77</v>
      </c>
      <c r="Q1438" t="s">
        <v>83</v>
      </c>
    </row>
    <row r="1439" spans="1:19" hidden="1" x14ac:dyDescent="0.25">
      <c r="A1439" t="s">
        <v>902</v>
      </c>
      <c r="B1439" t="s">
        <v>16</v>
      </c>
    </row>
    <row r="1440" spans="1:19" hidden="1" x14ac:dyDescent="0.25">
      <c r="A1440" t="s">
        <v>1509</v>
      </c>
      <c r="B1440" t="s">
        <v>87</v>
      </c>
    </row>
    <row r="1441" spans="1:15" hidden="1" x14ac:dyDescent="0.25">
      <c r="A1441" t="s">
        <v>1510</v>
      </c>
      <c r="B1441" t="s">
        <v>87</v>
      </c>
    </row>
    <row r="1442" spans="1:15" hidden="1" x14ac:dyDescent="0.25">
      <c r="A1442" t="s">
        <v>1511</v>
      </c>
      <c r="B1442" t="s">
        <v>87</v>
      </c>
    </row>
    <row r="1443" spans="1:15" hidden="1" x14ac:dyDescent="0.25">
      <c r="A1443" t="s">
        <v>1512</v>
      </c>
      <c r="B1443" t="s">
        <v>87</v>
      </c>
    </row>
    <row r="1444" spans="1:15" x14ac:dyDescent="0.25">
      <c r="A1444" t="s">
        <v>1513</v>
      </c>
      <c r="B1444" t="s">
        <v>20</v>
      </c>
      <c r="D1444" t="s">
        <v>20</v>
      </c>
      <c r="E1444">
        <v>1</v>
      </c>
      <c r="M1444">
        <v>-18</v>
      </c>
      <c r="O1444" t="s">
        <v>1127</v>
      </c>
    </row>
    <row r="1445" spans="1:15" x14ac:dyDescent="0.25">
      <c r="A1445" t="s">
        <v>1514</v>
      </c>
      <c r="B1445" t="s">
        <v>77</v>
      </c>
      <c r="D1445" t="s">
        <v>77</v>
      </c>
      <c r="E1445">
        <v>2</v>
      </c>
      <c r="M1445">
        <v>-18</v>
      </c>
      <c r="O1445" t="s">
        <v>1127</v>
      </c>
    </row>
    <row r="1446" spans="1:15" x14ac:dyDescent="0.25">
      <c r="A1446" t="s">
        <v>1515</v>
      </c>
      <c r="B1446" t="s">
        <v>77</v>
      </c>
      <c r="D1446" t="s">
        <v>77</v>
      </c>
      <c r="E1446">
        <v>1</v>
      </c>
      <c r="M1446">
        <v>-18</v>
      </c>
      <c r="O1446" t="s">
        <v>1127</v>
      </c>
    </row>
    <row r="1447" spans="1:15" x14ac:dyDescent="0.25">
      <c r="A1447" t="s">
        <v>1516</v>
      </c>
      <c r="B1447" t="s">
        <v>48</v>
      </c>
      <c r="D1447" t="s">
        <v>46</v>
      </c>
      <c r="E1447">
        <v>2</v>
      </c>
      <c r="M1447">
        <v>-18</v>
      </c>
      <c r="O1447" t="s">
        <v>1127</v>
      </c>
    </row>
    <row r="1448" spans="1:15" x14ac:dyDescent="0.25">
      <c r="A1448" t="s">
        <v>1517</v>
      </c>
      <c r="B1448" t="s">
        <v>46</v>
      </c>
      <c r="D1448" t="s">
        <v>46</v>
      </c>
      <c r="E1448">
        <v>1</v>
      </c>
      <c r="M1448">
        <v>-18</v>
      </c>
      <c r="O1448" t="s">
        <v>1127</v>
      </c>
    </row>
    <row r="1449" spans="1:15" x14ac:dyDescent="0.25">
      <c r="A1449" t="s">
        <v>1518</v>
      </c>
      <c r="B1449" t="s">
        <v>20</v>
      </c>
      <c r="D1449" t="s">
        <v>20</v>
      </c>
      <c r="E1449">
        <v>2</v>
      </c>
      <c r="M1449">
        <v>-18</v>
      </c>
      <c r="O1449" t="s">
        <v>1127</v>
      </c>
    </row>
    <row r="1450" spans="1:15" x14ac:dyDescent="0.25">
      <c r="A1450" t="s">
        <v>287</v>
      </c>
      <c r="B1450" t="s">
        <v>173</v>
      </c>
      <c r="C1450" t="s">
        <v>83</v>
      </c>
      <c r="D1450" t="s">
        <v>77</v>
      </c>
      <c r="J1450">
        <v>54</v>
      </c>
      <c r="K1450">
        <v>54</v>
      </c>
    </row>
    <row r="1451" spans="1:15" hidden="1" x14ac:dyDescent="0.25">
      <c r="A1451" t="s">
        <v>1519</v>
      </c>
      <c r="B1451" t="s">
        <v>16</v>
      </c>
    </row>
    <row r="1452" spans="1:15" hidden="1" x14ac:dyDescent="0.25">
      <c r="A1452" t="s">
        <v>1520</v>
      </c>
      <c r="B1452" t="s">
        <v>48</v>
      </c>
    </row>
    <row r="1453" spans="1:15" x14ac:dyDescent="0.25">
      <c r="A1453" t="s">
        <v>1521</v>
      </c>
      <c r="B1453" t="s">
        <v>173</v>
      </c>
      <c r="C1453" t="s">
        <v>83</v>
      </c>
      <c r="D1453" t="s">
        <v>77</v>
      </c>
      <c r="J1453">
        <v>50.4</v>
      </c>
      <c r="K1453">
        <v>50.4</v>
      </c>
    </row>
    <row r="1454" spans="1:15" x14ac:dyDescent="0.25">
      <c r="A1454" t="s">
        <v>914</v>
      </c>
      <c r="B1454" t="s">
        <v>173</v>
      </c>
      <c r="C1454" t="s">
        <v>83</v>
      </c>
      <c r="D1454" t="s">
        <v>77</v>
      </c>
      <c r="J1454">
        <v>36</v>
      </c>
      <c r="K1454">
        <v>36</v>
      </c>
    </row>
    <row r="1455" spans="1:15" hidden="1" x14ac:dyDescent="0.25">
      <c r="A1455" t="s">
        <v>1520</v>
      </c>
      <c r="B1455" t="s">
        <v>173</v>
      </c>
    </row>
    <row r="1456" spans="1:15" hidden="1" x14ac:dyDescent="0.25">
      <c r="A1456" t="s">
        <v>1522</v>
      </c>
      <c r="B1456" t="s">
        <v>95</v>
      </c>
    </row>
    <row r="1457" spans="1:18" hidden="1" x14ac:dyDescent="0.25">
      <c r="A1457" t="s">
        <v>1523</v>
      </c>
      <c r="B1457" t="s">
        <v>173</v>
      </c>
    </row>
    <row r="1458" spans="1:18" hidden="1" x14ac:dyDescent="0.25">
      <c r="A1458" t="s">
        <v>905</v>
      </c>
      <c r="B1458" t="s">
        <v>173</v>
      </c>
    </row>
    <row r="1459" spans="1:18" hidden="1" x14ac:dyDescent="0.25">
      <c r="A1459" t="s">
        <v>240</v>
      </c>
      <c r="B1459" t="s">
        <v>173</v>
      </c>
    </row>
    <row r="1460" spans="1:18" x14ac:dyDescent="0.25">
      <c r="A1460" t="s">
        <v>437</v>
      </c>
      <c r="B1460" t="s">
        <v>173</v>
      </c>
      <c r="C1460" t="s">
        <v>85</v>
      </c>
      <c r="D1460" t="s">
        <v>77</v>
      </c>
      <c r="J1460">
        <v>54</v>
      </c>
      <c r="K1460">
        <v>54</v>
      </c>
    </row>
    <row r="1461" spans="1:18" x14ac:dyDescent="0.25">
      <c r="A1461" t="s">
        <v>1420</v>
      </c>
      <c r="B1461" t="s">
        <v>48</v>
      </c>
      <c r="D1461" t="s">
        <v>46</v>
      </c>
      <c r="J1461">
        <v>50.4</v>
      </c>
      <c r="K1461">
        <v>50.4</v>
      </c>
    </row>
    <row r="1462" spans="1:18" x14ac:dyDescent="0.25">
      <c r="A1462" t="s">
        <v>1524</v>
      </c>
      <c r="B1462" t="s">
        <v>77</v>
      </c>
      <c r="D1462" t="s">
        <v>77</v>
      </c>
      <c r="J1462">
        <v>50.4</v>
      </c>
      <c r="K1462">
        <v>50.4</v>
      </c>
    </row>
    <row r="1463" spans="1:18" hidden="1" x14ac:dyDescent="0.25">
      <c r="A1463" t="s">
        <v>1525</v>
      </c>
    </row>
    <row r="1464" spans="1:18" hidden="1" x14ac:dyDescent="0.25">
      <c r="A1464" t="s">
        <v>1526</v>
      </c>
    </row>
    <row r="1465" spans="1:18" hidden="1" x14ac:dyDescent="0.25">
      <c r="A1465" t="s">
        <v>1527</v>
      </c>
      <c r="B1465" t="s">
        <v>16</v>
      </c>
    </row>
    <row r="1466" spans="1:18" hidden="1" x14ac:dyDescent="0.25">
      <c r="A1466" t="s">
        <v>1528</v>
      </c>
    </row>
    <row r="1467" spans="1:18" x14ac:dyDescent="0.25">
      <c r="A1467" t="s">
        <v>1529</v>
      </c>
      <c r="B1467" t="s">
        <v>77</v>
      </c>
      <c r="C1467" t="s">
        <v>85</v>
      </c>
      <c r="D1467" t="s">
        <v>77</v>
      </c>
      <c r="J1467">
        <v>56</v>
      </c>
      <c r="K1467">
        <v>56</v>
      </c>
      <c r="R1467" t="s">
        <v>106</v>
      </c>
    </row>
    <row r="1468" spans="1:18" hidden="1" x14ac:dyDescent="0.25">
      <c r="A1468" t="s">
        <v>1530</v>
      </c>
    </row>
    <row r="1469" spans="1:18" hidden="1" x14ac:dyDescent="0.25">
      <c r="A1469" t="s">
        <v>1531</v>
      </c>
    </row>
    <row r="1470" spans="1:18" hidden="1" x14ac:dyDescent="0.25">
      <c r="A1470" t="s">
        <v>1532</v>
      </c>
      <c r="B1470" t="s">
        <v>87</v>
      </c>
    </row>
    <row r="1471" spans="1:18" x14ac:dyDescent="0.25">
      <c r="A1471" t="s">
        <v>1533</v>
      </c>
      <c r="B1471" t="s">
        <v>20</v>
      </c>
      <c r="D1471" t="s">
        <v>20</v>
      </c>
      <c r="E1471">
        <v>6</v>
      </c>
    </row>
    <row r="1472" spans="1:18" x14ac:dyDescent="0.25">
      <c r="A1472" t="s">
        <v>1534</v>
      </c>
      <c r="B1472" t="s">
        <v>20</v>
      </c>
      <c r="D1472" t="s">
        <v>20</v>
      </c>
      <c r="E1472">
        <v>7</v>
      </c>
    </row>
    <row r="1473" spans="1:11" x14ac:dyDescent="0.25">
      <c r="A1473" t="s">
        <v>1535</v>
      </c>
      <c r="B1473" t="s">
        <v>20</v>
      </c>
      <c r="D1473" t="s">
        <v>20</v>
      </c>
      <c r="E1473">
        <v>13</v>
      </c>
    </row>
    <row r="1474" spans="1:11" x14ac:dyDescent="0.25">
      <c r="A1474" t="s">
        <v>1536</v>
      </c>
      <c r="B1474" t="s">
        <v>20</v>
      </c>
      <c r="D1474" t="s">
        <v>20</v>
      </c>
      <c r="E1474">
        <v>14</v>
      </c>
    </row>
    <row r="1475" spans="1:11" x14ac:dyDescent="0.25">
      <c r="A1475" t="s">
        <v>1537</v>
      </c>
      <c r="B1475" t="s">
        <v>20</v>
      </c>
      <c r="D1475" t="s">
        <v>20</v>
      </c>
      <c r="E1475">
        <v>15</v>
      </c>
    </row>
    <row r="1476" spans="1:11" x14ac:dyDescent="0.25">
      <c r="A1476" t="s">
        <v>1538</v>
      </c>
      <c r="B1476" t="s">
        <v>77</v>
      </c>
      <c r="D1476" t="s">
        <v>77</v>
      </c>
      <c r="E1476">
        <v>7</v>
      </c>
      <c r="J1476" t="s">
        <v>567</v>
      </c>
      <c r="K1476">
        <v>27</v>
      </c>
    </row>
    <row r="1477" spans="1:11" x14ac:dyDescent="0.25">
      <c r="A1477" t="s">
        <v>1539</v>
      </c>
      <c r="B1477" t="s">
        <v>77</v>
      </c>
      <c r="D1477" t="s">
        <v>77</v>
      </c>
      <c r="E1477">
        <v>8</v>
      </c>
      <c r="J1477" t="s">
        <v>567</v>
      </c>
      <c r="K1477">
        <v>27</v>
      </c>
    </row>
    <row r="1478" spans="1:11" x14ac:dyDescent="0.25">
      <c r="A1478" t="s">
        <v>1540</v>
      </c>
      <c r="B1478" t="s">
        <v>77</v>
      </c>
      <c r="D1478" t="s">
        <v>77</v>
      </c>
      <c r="E1478">
        <v>10</v>
      </c>
      <c r="J1478" t="s">
        <v>567</v>
      </c>
      <c r="K1478">
        <v>27</v>
      </c>
    </row>
    <row r="1479" spans="1:11" x14ac:dyDescent="0.25">
      <c r="A1479" t="s">
        <v>1541</v>
      </c>
      <c r="B1479" t="s">
        <v>77</v>
      </c>
      <c r="D1479" t="s">
        <v>77</v>
      </c>
      <c r="E1479">
        <v>11</v>
      </c>
      <c r="J1479" t="s">
        <v>567</v>
      </c>
      <c r="K1479">
        <v>27</v>
      </c>
    </row>
    <row r="1480" spans="1:11" x14ac:dyDescent="0.25">
      <c r="A1480" t="s">
        <v>1542</v>
      </c>
      <c r="B1480" t="s">
        <v>77</v>
      </c>
      <c r="D1480" t="s">
        <v>77</v>
      </c>
      <c r="E1480">
        <v>12</v>
      </c>
      <c r="J1480" t="s">
        <v>567</v>
      </c>
      <c r="K1480">
        <v>27</v>
      </c>
    </row>
    <row r="1481" spans="1:11" x14ac:dyDescent="0.25">
      <c r="A1481" t="s">
        <v>1543</v>
      </c>
      <c r="B1481" t="s">
        <v>77</v>
      </c>
      <c r="D1481" t="s">
        <v>77</v>
      </c>
      <c r="E1481">
        <v>13</v>
      </c>
      <c r="J1481" t="s">
        <v>567</v>
      </c>
      <c r="K1481">
        <v>27</v>
      </c>
    </row>
    <row r="1482" spans="1:11" x14ac:dyDescent="0.25">
      <c r="A1482" t="s">
        <v>1544</v>
      </c>
      <c r="B1482" t="s">
        <v>77</v>
      </c>
      <c r="D1482" t="s">
        <v>77</v>
      </c>
      <c r="E1482">
        <v>14</v>
      </c>
      <c r="J1482" t="s">
        <v>567</v>
      </c>
      <c r="K1482">
        <v>27</v>
      </c>
    </row>
    <row r="1483" spans="1:11" x14ac:dyDescent="0.25">
      <c r="A1483" t="s">
        <v>1545</v>
      </c>
      <c r="B1483" t="s">
        <v>77</v>
      </c>
      <c r="D1483" t="s">
        <v>77</v>
      </c>
      <c r="E1483">
        <v>15</v>
      </c>
      <c r="J1483" t="s">
        <v>567</v>
      </c>
      <c r="K1483">
        <v>27</v>
      </c>
    </row>
    <row r="1484" spans="1:11" x14ac:dyDescent="0.25">
      <c r="A1484" t="s">
        <v>1546</v>
      </c>
      <c r="B1484" t="s">
        <v>77</v>
      </c>
      <c r="D1484" t="s">
        <v>77</v>
      </c>
      <c r="E1484">
        <v>6</v>
      </c>
      <c r="J1484" t="s">
        <v>567</v>
      </c>
      <c r="K1484">
        <v>27</v>
      </c>
    </row>
    <row r="1485" spans="1:11" hidden="1" x14ac:dyDescent="0.25">
      <c r="A1485" t="s">
        <v>1547</v>
      </c>
      <c r="B1485" t="s">
        <v>87</v>
      </c>
    </row>
    <row r="1486" spans="1:11" hidden="1" x14ac:dyDescent="0.25">
      <c r="A1486" t="s">
        <v>1548</v>
      </c>
      <c r="B1486" t="s">
        <v>87</v>
      </c>
    </row>
    <row r="1487" spans="1:11" hidden="1" x14ac:dyDescent="0.25">
      <c r="A1487" t="s">
        <v>1549</v>
      </c>
      <c r="B1487" t="s">
        <v>87</v>
      </c>
    </row>
    <row r="1488" spans="1:11" hidden="1" x14ac:dyDescent="0.25">
      <c r="A1488" t="s">
        <v>1550</v>
      </c>
      <c r="B1488" t="s">
        <v>87</v>
      </c>
    </row>
    <row r="1489" spans="1:17" hidden="1" x14ac:dyDescent="0.25">
      <c r="A1489" t="s">
        <v>1551</v>
      </c>
      <c r="B1489" t="s">
        <v>87</v>
      </c>
    </row>
    <row r="1490" spans="1:17" hidden="1" x14ac:dyDescent="0.25">
      <c r="A1490" t="s">
        <v>1552</v>
      </c>
      <c r="B1490" t="s">
        <v>87</v>
      </c>
    </row>
    <row r="1491" spans="1:17" hidden="1" x14ac:dyDescent="0.25">
      <c r="A1491" t="s">
        <v>1553</v>
      </c>
      <c r="B1491" t="s">
        <v>87</v>
      </c>
    </row>
    <row r="1492" spans="1:17" hidden="1" x14ac:dyDescent="0.25">
      <c r="A1492" t="s">
        <v>1554</v>
      </c>
      <c r="B1492" t="s">
        <v>87</v>
      </c>
    </row>
    <row r="1493" spans="1:17" x14ac:dyDescent="0.25">
      <c r="A1493" t="s">
        <v>1555</v>
      </c>
      <c r="B1493" t="s">
        <v>48</v>
      </c>
      <c r="D1493" t="s">
        <v>46</v>
      </c>
      <c r="J1493">
        <v>66</v>
      </c>
      <c r="K1493">
        <v>66</v>
      </c>
      <c r="Q1493" t="s">
        <v>1475</v>
      </c>
    </row>
    <row r="1494" spans="1:17" hidden="1" x14ac:dyDescent="0.25">
      <c r="A1494" t="s">
        <v>1556</v>
      </c>
      <c r="B1494" t="s">
        <v>87</v>
      </c>
    </row>
    <row r="1495" spans="1:17" hidden="1" x14ac:dyDescent="0.25">
      <c r="A1495" t="s">
        <v>1557</v>
      </c>
      <c r="B1495" t="s">
        <v>87</v>
      </c>
    </row>
    <row r="1496" spans="1:17" hidden="1" x14ac:dyDescent="0.25">
      <c r="A1496" t="s">
        <v>1558</v>
      </c>
      <c r="B1496" t="s">
        <v>87</v>
      </c>
    </row>
    <row r="1497" spans="1:17" hidden="1" x14ac:dyDescent="0.25">
      <c r="A1497" t="s">
        <v>1559</v>
      </c>
      <c r="B1497" t="s">
        <v>173</v>
      </c>
    </row>
    <row r="1498" spans="1:17" x14ac:dyDescent="0.25">
      <c r="A1498" t="s">
        <v>1560</v>
      </c>
      <c r="B1498" t="s">
        <v>46</v>
      </c>
      <c r="D1498" t="s">
        <v>45</v>
      </c>
      <c r="J1498">
        <v>37.5</v>
      </c>
      <c r="K1498">
        <v>37.5</v>
      </c>
    </row>
    <row r="1499" spans="1:17" x14ac:dyDescent="0.25">
      <c r="A1499" t="s">
        <v>1561</v>
      </c>
      <c r="B1499" t="s">
        <v>77</v>
      </c>
      <c r="D1499" t="s">
        <v>77</v>
      </c>
      <c r="J1499">
        <v>37.5</v>
      </c>
      <c r="K1499">
        <v>37.5</v>
      </c>
    </row>
    <row r="1500" spans="1:17" hidden="1" x14ac:dyDescent="0.25">
      <c r="A1500" t="s">
        <v>1562</v>
      </c>
      <c r="B1500" t="s">
        <v>173</v>
      </c>
    </row>
    <row r="1501" spans="1:17" hidden="1" x14ac:dyDescent="0.25">
      <c r="A1501" t="s">
        <v>1563</v>
      </c>
      <c r="B1501" t="s">
        <v>173</v>
      </c>
    </row>
    <row r="1502" spans="1:17" hidden="1" x14ac:dyDescent="0.25">
      <c r="A1502" t="s">
        <v>1564</v>
      </c>
      <c r="B1502" t="s">
        <v>341</v>
      </c>
    </row>
    <row r="1503" spans="1:17" hidden="1" x14ac:dyDescent="0.25">
      <c r="A1503" t="s">
        <v>1565</v>
      </c>
      <c r="B1503" t="s">
        <v>341</v>
      </c>
    </row>
    <row r="1504" spans="1:17" hidden="1" x14ac:dyDescent="0.25">
      <c r="A1504" t="s">
        <v>1566</v>
      </c>
      <c r="B1504" t="s">
        <v>77</v>
      </c>
    </row>
    <row r="1505" spans="1:17" hidden="1" x14ac:dyDescent="0.25">
      <c r="A1505" t="s">
        <v>516</v>
      </c>
      <c r="B1505" t="s">
        <v>341</v>
      </c>
    </row>
    <row r="1506" spans="1:17" x14ac:dyDescent="0.25">
      <c r="A1506" t="s">
        <v>604</v>
      </c>
      <c r="B1506" t="s">
        <v>20</v>
      </c>
      <c r="D1506" t="s">
        <v>20</v>
      </c>
      <c r="L1506" t="s">
        <v>605</v>
      </c>
    </row>
    <row r="1507" spans="1:17" x14ac:dyDescent="0.25">
      <c r="A1507" t="s">
        <v>1567</v>
      </c>
      <c r="B1507" t="s">
        <v>46</v>
      </c>
      <c r="D1507" t="s">
        <v>46</v>
      </c>
      <c r="Q1507" t="s">
        <v>1568</v>
      </c>
    </row>
    <row r="1508" spans="1:17" hidden="1" x14ac:dyDescent="0.25">
      <c r="A1508" t="s">
        <v>1569</v>
      </c>
      <c r="B1508" t="s">
        <v>87</v>
      </c>
    </row>
    <row r="1509" spans="1:17" hidden="1" x14ac:dyDescent="0.25">
      <c r="A1509" t="s">
        <v>1570</v>
      </c>
      <c r="B1509" t="s">
        <v>87</v>
      </c>
    </row>
    <row r="1510" spans="1:17" x14ac:dyDescent="0.25">
      <c r="A1510" t="s">
        <v>1571</v>
      </c>
      <c r="B1510" t="s">
        <v>20</v>
      </c>
      <c r="D1510" t="s">
        <v>20</v>
      </c>
      <c r="Q1510" t="s">
        <v>1572</v>
      </c>
    </row>
    <row r="1511" spans="1:17" x14ac:dyDescent="0.25">
      <c r="A1511" t="s">
        <v>1573</v>
      </c>
      <c r="B1511" t="s">
        <v>77</v>
      </c>
      <c r="D1511" t="s">
        <v>77</v>
      </c>
      <c r="Q1511" t="s">
        <v>1572</v>
      </c>
    </row>
    <row r="1512" spans="1:17" x14ac:dyDescent="0.25">
      <c r="A1512" t="s">
        <v>1574</v>
      </c>
      <c r="B1512" t="s">
        <v>20</v>
      </c>
      <c r="D1512" t="s">
        <v>20</v>
      </c>
      <c r="E1512">
        <v>1</v>
      </c>
      <c r="J1512" t="s">
        <v>511</v>
      </c>
      <c r="K1512">
        <v>30</v>
      </c>
    </row>
    <row r="1513" spans="1:17" x14ac:dyDescent="0.25">
      <c r="A1513" t="s">
        <v>1575</v>
      </c>
      <c r="B1513" t="s">
        <v>20</v>
      </c>
      <c r="D1513" t="s">
        <v>20</v>
      </c>
      <c r="E1513">
        <v>2</v>
      </c>
      <c r="J1513" t="s">
        <v>511</v>
      </c>
      <c r="K1513">
        <v>30</v>
      </c>
    </row>
    <row r="1514" spans="1:17" x14ac:dyDescent="0.25">
      <c r="A1514" t="s">
        <v>1576</v>
      </c>
      <c r="B1514" t="s">
        <v>20</v>
      </c>
      <c r="D1514" t="s">
        <v>20</v>
      </c>
      <c r="E1514">
        <v>3</v>
      </c>
      <c r="J1514" t="s">
        <v>511</v>
      </c>
      <c r="K1514">
        <v>30</v>
      </c>
    </row>
    <row r="1515" spans="1:17" x14ac:dyDescent="0.25">
      <c r="A1515" t="s">
        <v>1577</v>
      </c>
      <c r="B1515" t="s">
        <v>20</v>
      </c>
      <c r="D1515" t="s">
        <v>20</v>
      </c>
      <c r="E1515">
        <v>4</v>
      </c>
      <c r="J1515" t="s">
        <v>511</v>
      </c>
      <c r="K1515">
        <v>30</v>
      </c>
    </row>
    <row r="1516" spans="1:17" x14ac:dyDescent="0.25">
      <c r="A1516" t="s">
        <v>1578</v>
      </c>
      <c r="B1516" t="s">
        <v>20</v>
      </c>
      <c r="D1516" t="s">
        <v>20</v>
      </c>
      <c r="E1516">
        <v>5</v>
      </c>
      <c r="J1516" t="s">
        <v>511</v>
      </c>
      <c r="K1516">
        <v>30</v>
      </c>
    </row>
    <row r="1517" spans="1:17" x14ac:dyDescent="0.25">
      <c r="A1517" t="s">
        <v>1579</v>
      </c>
      <c r="B1517" t="s">
        <v>20</v>
      </c>
      <c r="D1517" t="s">
        <v>20</v>
      </c>
      <c r="E1517">
        <v>8</v>
      </c>
      <c r="J1517" t="s">
        <v>499</v>
      </c>
      <c r="K1517">
        <v>25</v>
      </c>
    </row>
    <row r="1518" spans="1:17" x14ac:dyDescent="0.25">
      <c r="A1518" t="s">
        <v>1580</v>
      </c>
      <c r="B1518" t="s">
        <v>77</v>
      </c>
      <c r="D1518" t="s">
        <v>77</v>
      </c>
      <c r="E1518">
        <v>4</v>
      </c>
      <c r="J1518" t="s">
        <v>511</v>
      </c>
      <c r="K1518">
        <v>30</v>
      </c>
    </row>
    <row r="1519" spans="1:17" x14ac:dyDescent="0.25">
      <c r="A1519" t="s">
        <v>1581</v>
      </c>
      <c r="B1519" t="s">
        <v>77</v>
      </c>
      <c r="D1519" t="s">
        <v>77</v>
      </c>
      <c r="E1519">
        <v>5</v>
      </c>
      <c r="J1519" t="s">
        <v>511</v>
      </c>
      <c r="K1519">
        <v>30</v>
      </c>
    </row>
    <row r="1520" spans="1:17" x14ac:dyDescent="0.25">
      <c r="A1520" t="s">
        <v>1582</v>
      </c>
      <c r="B1520" t="s">
        <v>77</v>
      </c>
      <c r="D1520" t="s">
        <v>77</v>
      </c>
      <c r="E1520">
        <v>6</v>
      </c>
      <c r="J1520" t="s">
        <v>511</v>
      </c>
      <c r="K1520">
        <v>30</v>
      </c>
    </row>
    <row r="1521" spans="1:18" x14ac:dyDescent="0.25">
      <c r="A1521" t="s">
        <v>1583</v>
      </c>
      <c r="B1521" t="s">
        <v>20</v>
      </c>
      <c r="D1521" t="s">
        <v>20</v>
      </c>
      <c r="E1521">
        <v>6</v>
      </c>
      <c r="J1521" t="s">
        <v>511</v>
      </c>
      <c r="K1521">
        <v>30</v>
      </c>
    </row>
    <row r="1522" spans="1:18" x14ac:dyDescent="0.25">
      <c r="A1522" t="s">
        <v>1584</v>
      </c>
      <c r="B1522" t="s">
        <v>20</v>
      </c>
      <c r="D1522" t="s">
        <v>20</v>
      </c>
      <c r="E1522">
        <v>7</v>
      </c>
      <c r="J1522" t="s">
        <v>511</v>
      </c>
      <c r="K1522">
        <v>30</v>
      </c>
    </row>
    <row r="1523" spans="1:18" x14ac:dyDescent="0.25">
      <c r="A1523" t="s">
        <v>1585</v>
      </c>
      <c r="B1523" t="s">
        <v>77</v>
      </c>
      <c r="D1523" t="s">
        <v>77</v>
      </c>
      <c r="E1523">
        <v>7</v>
      </c>
      <c r="J1523" t="s">
        <v>511</v>
      </c>
      <c r="K1523">
        <v>30</v>
      </c>
    </row>
    <row r="1524" spans="1:18" x14ac:dyDescent="0.25">
      <c r="A1524" t="s">
        <v>1586</v>
      </c>
      <c r="B1524" t="s">
        <v>77</v>
      </c>
      <c r="D1524" t="s">
        <v>77</v>
      </c>
      <c r="E1524">
        <v>8</v>
      </c>
      <c r="J1524" t="s">
        <v>499</v>
      </c>
      <c r="K1524">
        <v>25</v>
      </c>
    </row>
    <row r="1525" spans="1:18" x14ac:dyDescent="0.25">
      <c r="A1525" t="s">
        <v>1587</v>
      </c>
      <c r="B1525" t="s">
        <v>77</v>
      </c>
      <c r="D1525" t="s">
        <v>77</v>
      </c>
      <c r="L1525" t="s">
        <v>582</v>
      </c>
    </row>
    <row r="1526" spans="1:18" hidden="1" x14ac:dyDescent="0.25">
      <c r="A1526" t="s">
        <v>1588</v>
      </c>
      <c r="B1526" t="s">
        <v>87</v>
      </c>
    </row>
    <row r="1527" spans="1:18" hidden="1" x14ac:dyDescent="0.25">
      <c r="A1527" t="s">
        <v>1589</v>
      </c>
      <c r="B1527" t="s">
        <v>46</v>
      </c>
    </row>
    <row r="1528" spans="1:18" hidden="1" x14ac:dyDescent="0.25">
      <c r="A1528" t="s">
        <v>1590</v>
      </c>
      <c r="B1528" t="s">
        <v>16</v>
      </c>
    </row>
    <row r="1529" spans="1:18" hidden="1" x14ac:dyDescent="0.25">
      <c r="A1529" t="s">
        <v>1591</v>
      </c>
      <c r="B1529" t="s">
        <v>87</v>
      </c>
    </row>
    <row r="1530" spans="1:18" x14ac:dyDescent="0.25">
      <c r="A1530" t="s">
        <v>1592</v>
      </c>
      <c r="B1530" t="s">
        <v>77</v>
      </c>
      <c r="D1530" t="s">
        <v>77</v>
      </c>
      <c r="J1530">
        <v>21</v>
      </c>
      <c r="K1530">
        <v>21</v>
      </c>
    </row>
    <row r="1531" spans="1:18" x14ac:dyDescent="0.25">
      <c r="A1531" t="s">
        <v>46</v>
      </c>
      <c r="B1531" t="s">
        <v>77</v>
      </c>
      <c r="D1531" t="s">
        <v>46</v>
      </c>
    </row>
    <row r="1532" spans="1:18" x14ac:dyDescent="0.25">
      <c r="A1532" t="s">
        <v>226</v>
      </c>
      <c r="B1532" t="s">
        <v>46</v>
      </c>
      <c r="D1532" t="s">
        <v>226</v>
      </c>
    </row>
    <row r="1533" spans="1:18" hidden="1" x14ac:dyDescent="0.25">
      <c r="A1533" t="s">
        <v>1303</v>
      </c>
      <c r="B1533" t="s">
        <v>87</v>
      </c>
    </row>
    <row r="1534" spans="1:18" hidden="1" x14ac:dyDescent="0.25">
      <c r="A1534" t="s">
        <v>1593</v>
      </c>
      <c r="B1534" t="s">
        <v>341</v>
      </c>
    </row>
    <row r="1535" spans="1:18" x14ac:dyDescent="0.25">
      <c r="A1535" t="s">
        <v>1594</v>
      </c>
      <c r="B1535" t="s">
        <v>20</v>
      </c>
      <c r="D1535" t="s">
        <v>20</v>
      </c>
      <c r="G1535" t="s">
        <v>43</v>
      </c>
      <c r="R1535" t="s">
        <v>106</v>
      </c>
    </row>
    <row r="1536" spans="1:18" hidden="1" x14ac:dyDescent="0.25">
      <c r="A1536" t="s">
        <v>1595</v>
      </c>
      <c r="B1536" t="s">
        <v>16</v>
      </c>
    </row>
    <row r="1537" spans="1:18" x14ac:dyDescent="0.25">
      <c r="A1537" t="s">
        <v>1596</v>
      </c>
      <c r="B1537" t="s">
        <v>87</v>
      </c>
      <c r="D1537" t="s">
        <v>77</v>
      </c>
      <c r="R1537" t="s">
        <v>878</v>
      </c>
    </row>
    <row r="1538" spans="1:18" hidden="1" x14ac:dyDescent="0.25">
      <c r="A1538" t="s">
        <v>1597</v>
      </c>
      <c r="B1538" t="s">
        <v>95</v>
      </c>
    </row>
    <row r="1539" spans="1:18" hidden="1" x14ac:dyDescent="0.25">
      <c r="A1539" t="s">
        <v>1598</v>
      </c>
      <c r="B1539" t="s">
        <v>341</v>
      </c>
    </row>
    <row r="1540" spans="1:18" x14ac:dyDescent="0.25">
      <c r="A1540" t="s">
        <v>1599</v>
      </c>
      <c r="B1540" t="s">
        <v>77</v>
      </c>
      <c r="D1540" t="s">
        <v>77</v>
      </c>
      <c r="R1540" t="s">
        <v>106</v>
      </c>
    </row>
    <row r="1541" spans="1:18" x14ac:dyDescent="0.25">
      <c r="A1541" t="s">
        <v>1600</v>
      </c>
      <c r="B1541" t="s">
        <v>77</v>
      </c>
      <c r="D1541" t="s">
        <v>77</v>
      </c>
      <c r="R1541" t="s">
        <v>108</v>
      </c>
    </row>
    <row r="1542" spans="1:18" x14ac:dyDescent="0.25">
      <c r="A1542" t="s">
        <v>1601</v>
      </c>
      <c r="B1542" t="s">
        <v>20</v>
      </c>
      <c r="D1542" t="s">
        <v>20</v>
      </c>
      <c r="G1542" t="s">
        <v>43</v>
      </c>
      <c r="R1542" t="s">
        <v>108</v>
      </c>
    </row>
    <row r="1543" spans="1:18" x14ac:dyDescent="0.25">
      <c r="A1543" t="s">
        <v>1602</v>
      </c>
      <c r="B1543" t="s">
        <v>20</v>
      </c>
      <c r="D1543" t="s">
        <v>20</v>
      </c>
      <c r="F1543" t="s">
        <v>204</v>
      </c>
    </row>
    <row r="1544" spans="1:18" hidden="1" x14ac:dyDescent="0.25">
      <c r="A1544" t="s">
        <v>1603</v>
      </c>
      <c r="B1544" t="s">
        <v>95</v>
      </c>
    </row>
    <row r="1545" spans="1:18" hidden="1" x14ac:dyDescent="0.25">
      <c r="A1545" t="s">
        <v>1604</v>
      </c>
      <c r="B1545" t="s">
        <v>341</v>
      </c>
    </row>
    <row r="1546" spans="1:18" x14ac:dyDescent="0.25">
      <c r="A1546" t="s">
        <v>1605</v>
      </c>
      <c r="B1546" t="s">
        <v>87</v>
      </c>
      <c r="D1546" t="s">
        <v>77</v>
      </c>
      <c r="R1546" t="s">
        <v>873</v>
      </c>
    </row>
    <row r="1547" spans="1:18" hidden="1" x14ac:dyDescent="0.25">
      <c r="A1547" t="s">
        <v>1606</v>
      </c>
      <c r="B1547" t="s">
        <v>16</v>
      </c>
    </row>
    <row r="1548" spans="1:18" hidden="1" x14ac:dyDescent="0.25">
      <c r="A1548" t="s">
        <v>1607</v>
      </c>
      <c r="B1548" t="s">
        <v>87</v>
      </c>
    </row>
    <row r="1549" spans="1:18" hidden="1" x14ac:dyDescent="0.25">
      <c r="A1549" t="s">
        <v>1608</v>
      </c>
      <c r="B1549" t="s">
        <v>87</v>
      </c>
    </row>
    <row r="1550" spans="1:18" hidden="1" x14ac:dyDescent="0.25">
      <c r="A1550" t="s">
        <v>1609</v>
      </c>
      <c r="B1550" t="s">
        <v>87</v>
      </c>
    </row>
    <row r="1551" spans="1:18" hidden="1" x14ac:dyDescent="0.25">
      <c r="A1551" t="s">
        <v>1610</v>
      </c>
      <c r="B1551" t="s">
        <v>87</v>
      </c>
    </row>
    <row r="1552" spans="1:18" hidden="1" x14ac:dyDescent="0.25">
      <c r="A1552" t="s">
        <v>1611</v>
      </c>
      <c r="B1552" t="s">
        <v>87</v>
      </c>
    </row>
    <row r="1553" spans="1:17" hidden="1" x14ac:dyDescent="0.25">
      <c r="A1553" t="s">
        <v>1612</v>
      </c>
      <c r="B1553" t="s">
        <v>87</v>
      </c>
    </row>
    <row r="1554" spans="1:17" x14ac:dyDescent="0.25">
      <c r="A1554" t="s">
        <v>1196</v>
      </c>
      <c r="B1554" t="s">
        <v>173</v>
      </c>
      <c r="D1554" t="s">
        <v>46</v>
      </c>
      <c r="J1554">
        <v>50</v>
      </c>
      <c r="K1554">
        <v>50</v>
      </c>
    </row>
    <row r="1555" spans="1:17" hidden="1" x14ac:dyDescent="0.25">
      <c r="A1555" t="s">
        <v>1613</v>
      </c>
      <c r="B1555" t="s">
        <v>87</v>
      </c>
    </row>
    <row r="1556" spans="1:17" hidden="1" x14ac:dyDescent="0.25">
      <c r="A1556" t="s">
        <v>1614</v>
      </c>
      <c r="B1556" t="s">
        <v>16</v>
      </c>
    </row>
    <row r="1557" spans="1:17" hidden="1" x14ac:dyDescent="0.25">
      <c r="A1557" t="s">
        <v>1615</v>
      </c>
    </row>
    <row r="1558" spans="1:17" x14ac:dyDescent="0.25">
      <c r="A1558" t="s">
        <v>1616</v>
      </c>
      <c r="B1558" t="s">
        <v>173</v>
      </c>
      <c r="D1558" t="s">
        <v>77</v>
      </c>
      <c r="E1558">
        <v>2</v>
      </c>
    </row>
    <row r="1559" spans="1:17" x14ac:dyDescent="0.25">
      <c r="A1559" t="s">
        <v>1617</v>
      </c>
      <c r="B1559" t="s">
        <v>173</v>
      </c>
      <c r="D1559" t="s">
        <v>20</v>
      </c>
      <c r="E1559">
        <v>2</v>
      </c>
    </row>
    <row r="1560" spans="1:17" hidden="1" x14ac:dyDescent="0.25">
      <c r="A1560" t="s">
        <v>1618</v>
      </c>
      <c r="B1560" t="s">
        <v>87</v>
      </c>
    </row>
    <row r="1561" spans="1:17" x14ac:dyDescent="0.25">
      <c r="A1561" t="s">
        <v>1334</v>
      </c>
      <c r="B1561" t="s">
        <v>173</v>
      </c>
      <c r="D1561" t="s">
        <v>20</v>
      </c>
      <c r="L1561" t="s">
        <v>552</v>
      </c>
    </row>
    <row r="1562" spans="1:17" hidden="1" x14ac:dyDescent="0.25">
      <c r="A1562" t="s">
        <v>1619</v>
      </c>
    </row>
    <row r="1563" spans="1:17" x14ac:dyDescent="0.25">
      <c r="A1563" t="s">
        <v>1620</v>
      </c>
      <c r="B1563" t="s">
        <v>77</v>
      </c>
      <c r="D1563" t="s">
        <v>77</v>
      </c>
      <c r="J1563" t="s">
        <v>1621</v>
      </c>
      <c r="K1563">
        <v>25</v>
      </c>
    </row>
    <row r="1564" spans="1:17" hidden="1" x14ac:dyDescent="0.25">
      <c r="A1564" t="s">
        <v>1622</v>
      </c>
      <c r="B1564" t="s">
        <v>16</v>
      </c>
    </row>
    <row r="1565" spans="1:17" hidden="1" x14ac:dyDescent="0.25">
      <c r="A1565" t="s">
        <v>1623</v>
      </c>
      <c r="B1565" t="s">
        <v>87</v>
      </c>
    </row>
    <row r="1566" spans="1:17" hidden="1" x14ac:dyDescent="0.25">
      <c r="A1566" t="s">
        <v>1624</v>
      </c>
      <c r="B1566" t="s">
        <v>87</v>
      </c>
    </row>
    <row r="1567" spans="1:17" hidden="1" x14ac:dyDescent="0.25">
      <c r="A1567" t="s">
        <v>120</v>
      </c>
      <c r="B1567" t="s">
        <v>173</v>
      </c>
    </row>
    <row r="1568" spans="1:17" x14ac:dyDescent="0.25">
      <c r="A1568" t="s">
        <v>1625</v>
      </c>
      <c r="B1568" t="s">
        <v>173</v>
      </c>
      <c r="D1568" t="s">
        <v>46</v>
      </c>
      <c r="Q1568" t="s">
        <v>1626</v>
      </c>
    </row>
    <row r="1569" spans="1:19" x14ac:dyDescent="0.25">
      <c r="A1569" t="s">
        <v>1627</v>
      </c>
      <c r="B1569" t="s">
        <v>173</v>
      </c>
      <c r="D1569" t="s">
        <v>46</v>
      </c>
      <c r="J1569" t="s">
        <v>727</v>
      </c>
      <c r="K1569">
        <v>20</v>
      </c>
    </row>
    <row r="1570" spans="1:19" x14ac:dyDescent="0.25">
      <c r="A1570" t="s">
        <v>1628</v>
      </c>
      <c r="B1570" t="s">
        <v>173</v>
      </c>
      <c r="D1570" t="s">
        <v>20</v>
      </c>
      <c r="Q1570" t="s">
        <v>1626</v>
      </c>
    </row>
    <row r="1571" spans="1:19" x14ac:dyDescent="0.25">
      <c r="A1571" t="s">
        <v>1629</v>
      </c>
      <c r="B1571" t="s">
        <v>20</v>
      </c>
      <c r="D1571" t="s">
        <v>20</v>
      </c>
      <c r="Q1571" t="s">
        <v>1630</v>
      </c>
    </row>
    <row r="1572" spans="1:19" x14ac:dyDescent="0.25">
      <c r="A1572" t="s">
        <v>1631</v>
      </c>
      <c r="B1572" t="s">
        <v>46</v>
      </c>
      <c r="D1572" t="s">
        <v>46</v>
      </c>
      <c r="Q1572" t="s">
        <v>1630</v>
      </c>
    </row>
    <row r="1573" spans="1:19" x14ac:dyDescent="0.25">
      <c r="A1573" t="s">
        <v>1632</v>
      </c>
      <c r="B1573" t="s">
        <v>77</v>
      </c>
      <c r="C1573" t="s">
        <v>85</v>
      </c>
      <c r="D1573" t="s">
        <v>77</v>
      </c>
    </row>
    <row r="1574" spans="1:19" hidden="1" x14ac:dyDescent="0.25">
      <c r="A1574" t="s">
        <v>1633</v>
      </c>
      <c r="B1574" t="s">
        <v>173</v>
      </c>
    </row>
    <row r="1575" spans="1:19" hidden="1" x14ac:dyDescent="0.25">
      <c r="A1575" t="s">
        <v>1634</v>
      </c>
      <c r="B1575" t="s">
        <v>173</v>
      </c>
    </row>
    <row r="1576" spans="1:19" x14ac:dyDescent="0.25">
      <c r="A1576" t="s">
        <v>1635</v>
      </c>
      <c r="B1576" t="s">
        <v>77</v>
      </c>
      <c r="D1576" t="s">
        <v>77</v>
      </c>
      <c r="E1576">
        <v>3</v>
      </c>
      <c r="J1576" t="s">
        <v>525</v>
      </c>
      <c r="K1576">
        <v>27</v>
      </c>
    </row>
    <row r="1577" spans="1:19" x14ac:dyDescent="0.25">
      <c r="A1577" t="s">
        <v>1636</v>
      </c>
      <c r="B1577" t="s">
        <v>20</v>
      </c>
      <c r="D1577" t="s">
        <v>20</v>
      </c>
      <c r="E1577">
        <v>3</v>
      </c>
      <c r="J1577" t="s">
        <v>525</v>
      </c>
      <c r="K1577">
        <v>27</v>
      </c>
    </row>
    <row r="1578" spans="1:19" x14ac:dyDescent="0.25">
      <c r="A1578" t="s">
        <v>1637</v>
      </c>
      <c r="B1578" t="s">
        <v>77</v>
      </c>
      <c r="C1578" t="s">
        <v>85</v>
      </c>
      <c r="D1578" t="s">
        <v>77</v>
      </c>
      <c r="E1578">
        <v>2</v>
      </c>
      <c r="I1578" t="s">
        <v>249</v>
      </c>
    </row>
    <row r="1579" spans="1:19" x14ac:dyDescent="0.25">
      <c r="A1579" t="s">
        <v>1638</v>
      </c>
      <c r="B1579" t="s">
        <v>77</v>
      </c>
      <c r="D1579" t="s">
        <v>77</v>
      </c>
      <c r="J1579" t="s">
        <v>1639</v>
      </c>
      <c r="K1579">
        <v>18</v>
      </c>
    </row>
    <row r="1580" spans="1:19" x14ac:dyDescent="0.25">
      <c r="A1580" t="s">
        <v>1640</v>
      </c>
      <c r="B1580" t="s">
        <v>20</v>
      </c>
      <c r="D1580" t="s">
        <v>20</v>
      </c>
      <c r="J1580" t="s">
        <v>1639</v>
      </c>
      <c r="K1580">
        <v>18</v>
      </c>
    </row>
    <row r="1581" spans="1:19" x14ac:dyDescent="0.25">
      <c r="A1581" t="s">
        <v>1641</v>
      </c>
      <c r="B1581" t="s">
        <v>77</v>
      </c>
      <c r="C1581" t="s">
        <v>85</v>
      </c>
      <c r="D1581" t="s">
        <v>77</v>
      </c>
      <c r="S1581" t="s">
        <v>1642</v>
      </c>
    </row>
    <row r="1582" spans="1:19" x14ac:dyDescent="0.25">
      <c r="A1582" t="s">
        <v>1643</v>
      </c>
      <c r="B1582" t="s">
        <v>77</v>
      </c>
      <c r="C1582" t="s">
        <v>85</v>
      </c>
      <c r="D1582" t="s">
        <v>77</v>
      </c>
      <c r="S1582" t="s">
        <v>1136</v>
      </c>
    </row>
    <row r="1583" spans="1:19" hidden="1" x14ac:dyDescent="0.25">
      <c r="A1583" t="s">
        <v>1644</v>
      </c>
      <c r="B1583" t="s">
        <v>467</v>
      </c>
    </row>
    <row r="1584" spans="1:19" hidden="1" x14ac:dyDescent="0.25">
      <c r="A1584" t="s">
        <v>1645</v>
      </c>
      <c r="B1584" t="s">
        <v>467</v>
      </c>
    </row>
    <row r="1585" spans="1:12" hidden="1" x14ac:dyDescent="0.25">
      <c r="A1585" t="s">
        <v>1646</v>
      </c>
      <c r="B1585" t="s">
        <v>173</v>
      </c>
    </row>
    <row r="1586" spans="1:12" x14ac:dyDescent="0.25">
      <c r="A1586" t="s">
        <v>1647</v>
      </c>
      <c r="B1586" t="s">
        <v>46</v>
      </c>
      <c r="D1586" t="s">
        <v>46</v>
      </c>
      <c r="J1586" t="s">
        <v>727</v>
      </c>
      <c r="K1586">
        <v>20</v>
      </c>
    </row>
    <row r="1587" spans="1:12" hidden="1" x14ac:dyDescent="0.25">
      <c r="A1587" t="s">
        <v>396</v>
      </c>
      <c r="B1587" t="s">
        <v>16</v>
      </c>
    </row>
    <row r="1588" spans="1:12" x14ac:dyDescent="0.25">
      <c r="A1588" t="s">
        <v>1648</v>
      </c>
      <c r="B1588" t="s">
        <v>20</v>
      </c>
      <c r="D1588" t="s">
        <v>20</v>
      </c>
      <c r="L1588" t="s">
        <v>1261</v>
      </c>
    </row>
    <row r="1589" spans="1:12" hidden="1" x14ac:dyDescent="0.25">
      <c r="A1589" t="s">
        <v>1649</v>
      </c>
      <c r="B1589" t="s">
        <v>16</v>
      </c>
    </row>
    <row r="1590" spans="1:12" x14ac:dyDescent="0.25">
      <c r="A1590" t="s">
        <v>1650</v>
      </c>
      <c r="B1590" t="s">
        <v>77</v>
      </c>
      <c r="D1590" t="s">
        <v>77</v>
      </c>
      <c r="L1590" t="s">
        <v>552</v>
      </c>
    </row>
    <row r="1591" spans="1:12" hidden="1" x14ac:dyDescent="0.25">
      <c r="A1591" t="s">
        <v>1651</v>
      </c>
      <c r="B1591" t="s">
        <v>87</v>
      </c>
    </row>
    <row r="1592" spans="1:12" hidden="1" x14ac:dyDescent="0.25">
      <c r="A1592" t="s">
        <v>1652</v>
      </c>
      <c r="B1592" t="s">
        <v>214</v>
      </c>
    </row>
    <row r="1593" spans="1:12" hidden="1" x14ac:dyDescent="0.25">
      <c r="A1593" t="s">
        <v>1653</v>
      </c>
      <c r="B1593" t="s">
        <v>341</v>
      </c>
    </row>
    <row r="1594" spans="1:12" hidden="1" x14ac:dyDescent="0.25">
      <c r="A1594" t="s">
        <v>1654</v>
      </c>
      <c r="B1594" t="s">
        <v>341</v>
      </c>
    </row>
    <row r="1595" spans="1:12" hidden="1" x14ac:dyDescent="0.25">
      <c r="A1595" t="s">
        <v>1655</v>
      </c>
      <c r="B1595" t="s">
        <v>341</v>
      </c>
    </row>
    <row r="1596" spans="1:12" x14ac:dyDescent="0.25">
      <c r="A1596" t="s">
        <v>1656</v>
      </c>
      <c r="B1596" t="s">
        <v>77</v>
      </c>
      <c r="C1596" t="s">
        <v>85</v>
      </c>
      <c r="D1596" t="s">
        <v>77</v>
      </c>
      <c r="E1596">
        <v>2</v>
      </c>
      <c r="I1596" t="s">
        <v>249</v>
      </c>
    </row>
    <row r="1597" spans="1:12" x14ac:dyDescent="0.25">
      <c r="A1597" t="s">
        <v>1657</v>
      </c>
      <c r="B1597" t="s">
        <v>77</v>
      </c>
      <c r="C1597" t="s">
        <v>85</v>
      </c>
      <c r="D1597" t="s">
        <v>77</v>
      </c>
      <c r="E1597">
        <v>1</v>
      </c>
    </row>
    <row r="1598" spans="1:12" x14ac:dyDescent="0.25">
      <c r="A1598" t="s">
        <v>1658</v>
      </c>
      <c r="B1598" t="s">
        <v>77</v>
      </c>
      <c r="C1598" t="s">
        <v>85</v>
      </c>
      <c r="D1598" t="s">
        <v>77</v>
      </c>
      <c r="E1598">
        <v>2</v>
      </c>
    </row>
    <row r="1599" spans="1:12" hidden="1" x14ac:dyDescent="0.25">
      <c r="A1599" t="s">
        <v>1659</v>
      </c>
      <c r="B1599" t="s">
        <v>87</v>
      </c>
    </row>
    <row r="1600" spans="1:12" hidden="1" x14ac:dyDescent="0.25">
      <c r="A1600" t="s">
        <v>1660</v>
      </c>
      <c r="B1600" t="s">
        <v>87</v>
      </c>
    </row>
    <row r="1601" spans="1:19" hidden="1" x14ac:dyDescent="0.25">
      <c r="A1601" t="s">
        <v>1661</v>
      </c>
      <c r="B1601" t="s">
        <v>87</v>
      </c>
    </row>
    <row r="1602" spans="1:19" hidden="1" x14ac:dyDescent="0.25">
      <c r="A1602" t="s">
        <v>1662</v>
      </c>
      <c r="B1602" t="s">
        <v>46</v>
      </c>
    </row>
    <row r="1603" spans="1:19" hidden="1" x14ac:dyDescent="0.25">
      <c r="A1603" t="s">
        <v>1663</v>
      </c>
      <c r="B1603" t="s">
        <v>173</v>
      </c>
    </row>
    <row r="1604" spans="1:19" hidden="1" x14ac:dyDescent="0.25">
      <c r="A1604" t="s">
        <v>1664</v>
      </c>
      <c r="B1604" t="s">
        <v>173</v>
      </c>
    </row>
    <row r="1605" spans="1:19" hidden="1" x14ac:dyDescent="0.25">
      <c r="A1605" t="s">
        <v>1665</v>
      </c>
      <c r="B1605" t="s">
        <v>341</v>
      </c>
    </row>
    <row r="1606" spans="1:19" hidden="1" x14ac:dyDescent="0.25">
      <c r="A1606" t="s">
        <v>1666</v>
      </c>
      <c r="B1606" t="s">
        <v>87</v>
      </c>
    </row>
    <row r="1607" spans="1:19" x14ac:dyDescent="0.25">
      <c r="A1607" t="s">
        <v>1667</v>
      </c>
      <c r="B1607" t="s">
        <v>46</v>
      </c>
      <c r="D1607" t="s">
        <v>46</v>
      </c>
      <c r="J1607" t="s">
        <v>1668</v>
      </c>
      <c r="K1607">
        <v>46</v>
      </c>
    </row>
    <row r="1608" spans="1:19" x14ac:dyDescent="0.25">
      <c r="A1608" t="s">
        <v>1669</v>
      </c>
      <c r="B1608" t="s">
        <v>77</v>
      </c>
      <c r="D1608" t="s">
        <v>77</v>
      </c>
      <c r="J1608" t="s">
        <v>1668</v>
      </c>
      <c r="K1608">
        <v>46</v>
      </c>
    </row>
    <row r="1609" spans="1:19" hidden="1" x14ac:dyDescent="0.25">
      <c r="A1609" t="s">
        <v>1670</v>
      </c>
      <c r="B1609" t="s">
        <v>173</v>
      </c>
    </row>
    <row r="1610" spans="1:19" hidden="1" x14ac:dyDescent="0.25">
      <c r="A1610" t="s">
        <v>1671</v>
      </c>
      <c r="B1610" t="s">
        <v>16</v>
      </c>
    </row>
    <row r="1611" spans="1:19" hidden="1" x14ac:dyDescent="0.25">
      <c r="A1611" t="s">
        <v>1672</v>
      </c>
      <c r="B1611" t="s">
        <v>16</v>
      </c>
    </row>
    <row r="1612" spans="1:19" x14ac:dyDescent="0.25">
      <c r="A1612" t="s">
        <v>1673</v>
      </c>
      <c r="B1612" t="s">
        <v>77</v>
      </c>
      <c r="D1612" t="s">
        <v>77</v>
      </c>
      <c r="J1612" t="s">
        <v>1674</v>
      </c>
      <c r="K1612">
        <v>50</v>
      </c>
    </row>
    <row r="1613" spans="1:19" x14ac:dyDescent="0.25">
      <c r="A1613" t="s">
        <v>1675</v>
      </c>
      <c r="B1613" t="s">
        <v>77</v>
      </c>
      <c r="C1613" t="s">
        <v>85</v>
      </c>
      <c r="D1613" t="s">
        <v>77</v>
      </c>
      <c r="J1613">
        <v>50</v>
      </c>
      <c r="K1613">
        <v>50</v>
      </c>
    </row>
    <row r="1614" spans="1:19" x14ac:dyDescent="0.25">
      <c r="A1614" t="s">
        <v>1676</v>
      </c>
      <c r="B1614" t="s">
        <v>77</v>
      </c>
      <c r="C1614" t="s">
        <v>85</v>
      </c>
      <c r="D1614" t="s">
        <v>77</v>
      </c>
      <c r="J1614">
        <v>45</v>
      </c>
      <c r="K1614">
        <v>45</v>
      </c>
      <c r="R1614" t="s">
        <v>108</v>
      </c>
      <c r="S1614" t="s">
        <v>292</v>
      </c>
    </row>
    <row r="1615" spans="1:19" x14ac:dyDescent="0.25">
      <c r="A1615" t="s">
        <v>1677</v>
      </c>
      <c r="B1615" t="s">
        <v>77</v>
      </c>
      <c r="C1615" t="s">
        <v>85</v>
      </c>
      <c r="D1615" t="s">
        <v>77</v>
      </c>
      <c r="J1615">
        <v>45</v>
      </c>
      <c r="K1615">
        <v>45</v>
      </c>
      <c r="R1615" t="s">
        <v>108</v>
      </c>
      <c r="S1615" t="s">
        <v>290</v>
      </c>
    </row>
    <row r="1616" spans="1:19" x14ac:dyDescent="0.25">
      <c r="A1616" t="s">
        <v>1678</v>
      </c>
      <c r="B1616" t="s">
        <v>77</v>
      </c>
      <c r="C1616" t="s">
        <v>85</v>
      </c>
      <c r="D1616" t="s">
        <v>77</v>
      </c>
      <c r="J1616">
        <v>45</v>
      </c>
      <c r="K1616">
        <v>45</v>
      </c>
      <c r="R1616" t="s">
        <v>106</v>
      </c>
      <c r="S1616" t="s">
        <v>292</v>
      </c>
    </row>
    <row r="1617" spans="1:19" x14ac:dyDescent="0.25">
      <c r="A1617" t="s">
        <v>1679</v>
      </c>
      <c r="B1617" t="s">
        <v>77</v>
      </c>
      <c r="D1617" t="s">
        <v>77</v>
      </c>
      <c r="J1617" t="s">
        <v>1680</v>
      </c>
      <c r="K1617">
        <v>45</v>
      </c>
      <c r="R1617" t="s">
        <v>108</v>
      </c>
    </row>
    <row r="1618" spans="1:19" x14ac:dyDescent="0.25">
      <c r="A1618" t="s">
        <v>1681</v>
      </c>
      <c r="B1618" t="s">
        <v>77</v>
      </c>
      <c r="C1618" t="s">
        <v>85</v>
      </c>
      <c r="D1618" t="s">
        <v>77</v>
      </c>
      <c r="J1618">
        <v>45</v>
      </c>
      <c r="K1618">
        <v>45</v>
      </c>
      <c r="R1618" t="s">
        <v>106</v>
      </c>
      <c r="S1618" t="s">
        <v>290</v>
      </c>
    </row>
    <row r="1619" spans="1:19" x14ac:dyDescent="0.25">
      <c r="A1619" t="s">
        <v>1682</v>
      </c>
      <c r="B1619" t="s">
        <v>77</v>
      </c>
      <c r="C1619" t="s">
        <v>83</v>
      </c>
      <c r="D1619" t="s">
        <v>77</v>
      </c>
      <c r="J1619">
        <v>45</v>
      </c>
      <c r="K1619">
        <v>45</v>
      </c>
    </row>
    <row r="1620" spans="1:19" x14ac:dyDescent="0.25">
      <c r="A1620" t="s">
        <v>1683</v>
      </c>
      <c r="B1620" t="s">
        <v>46</v>
      </c>
      <c r="D1620" t="s">
        <v>46</v>
      </c>
      <c r="J1620" t="s">
        <v>1674</v>
      </c>
      <c r="K1620">
        <v>50</v>
      </c>
    </row>
    <row r="1621" spans="1:19" x14ac:dyDescent="0.25">
      <c r="A1621" t="s">
        <v>1684</v>
      </c>
      <c r="B1621" t="s">
        <v>46</v>
      </c>
      <c r="D1621" t="s">
        <v>46</v>
      </c>
      <c r="J1621" t="s">
        <v>1680</v>
      </c>
      <c r="K1621">
        <v>45</v>
      </c>
      <c r="R1621" t="s">
        <v>108</v>
      </c>
    </row>
    <row r="1622" spans="1:19" x14ac:dyDescent="0.25">
      <c r="A1622" t="s">
        <v>1685</v>
      </c>
      <c r="B1622" t="s">
        <v>46</v>
      </c>
      <c r="D1622" t="s">
        <v>46</v>
      </c>
      <c r="J1622" t="s">
        <v>1680</v>
      </c>
      <c r="K1622">
        <v>45</v>
      </c>
      <c r="R1622" t="s">
        <v>106</v>
      </c>
    </row>
    <row r="1623" spans="1:19" x14ac:dyDescent="0.25">
      <c r="A1623" t="s">
        <v>1686</v>
      </c>
      <c r="B1623" t="s">
        <v>77</v>
      </c>
      <c r="D1623" t="s">
        <v>77</v>
      </c>
      <c r="J1623" t="s">
        <v>1680</v>
      </c>
      <c r="K1623">
        <v>45</v>
      </c>
      <c r="R1623" t="s">
        <v>106</v>
      </c>
    </row>
    <row r="1624" spans="1:19" hidden="1" x14ac:dyDescent="0.25">
      <c r="A1624" t="s">
        <v>1687</v>
      </c>
      <c r="B1624" t="s">
        <v>87</v>
      </c>
    </row>
    <row r="1625" spans="1:19" hidden="1" x14ac:dyDescent="0.25">
      <c r="A1625" t="s">
        <v>1688</v>
      </c>
      <c r="B1625" t="s">
        <v>87</v>
      </c>
    </row>
    <row r="1626" spans="1:19" x14ac:dyDescent="0.25">
      <c r="A1626" t="s">
        <v>1689</v>
      </c>
      <c r="B1626" t="s">
        <v>77</v>
      </c>
      <c r="C1626" t="s">
        <v>83</v>
      </c>
      <c r="D1626" t="s">
        <v>77</v>
      </c>
      <c r="J1626">
        <v>56</v>
      </c>
      <c r="K1626">
        <v>56</v>
      </c>
    </row>
    <row r="1627" spans="1:19" x14ac:dyDescent="0.25">
      <c r="A1627" t="s">
        <v>1690</v>
      </c>
      <c r="B1627" t="s">
        <v>77</v>
      </c>
      <c r="D1627" t="s">
        <v>77</v>
      </c>
      <c r="J1627">
        <v>76</v>
      </c>
      <c r="K1627">
        <v>76</v>
      </c>
    </row>
    <row r="1628" spans="1:19" x14ac:dyDescent="0.25">
      <c r="A1628" t="s">
        <v>1691</v>
      </c>
      <c r="B1628" t="s">
        <v>46</v>
      </c>
      <c r="D1628" t="s">
        <v>46</v>
      </c>
      <c r="J1628">
        <v>76</v>
      </c>
      <c r="K1628">
        <v>76</v>
      </c>
    </row>
    <row r="1629" spans="1:19" hidden="1" x14ac:dyDescent="0.25">
      <c r="A1629" t="s">
        <v>1692</v>
      </c>
      <c r="B1629" t="s">
        <v>87</v>
      </c>
    </row>
    <row r="1630" spans="1:19" x14ac:dyDescent="0.25">
      <c r="A1630" t="s">
        <v>1693</v>
      </c>
      <c r="B1630" t="s">
        <v>46</v>
      </c>
      <c r="D1630" t="s">
        <v>46</v>
      </c>
      <c r="Q1630" t="s">
        <v>1694</v>
      </c>
    </row>
    <row r="1631" spans="1:19" hidden="1" x14ac:dyDescent="0.25">
      <c r="A1631" t="s">
        <v>1695</v>
      </c>
      <c r="B1631" t="s">
        <v>77</v>
      </c>
    </row>
    <row r="1632" spans="1:19" hidden="1" x14ac:dyDescent="0.25">
      <c r="A1632" t="s">
        <v>1696</v>
      </c>
      <c r="B1632" t="s">
        <v>77</v>
      </c>
    </row>
    <row r="1633" spans="1:17" hidden="1" x14ac:dyDescent="0.25">
      <c r="A1633" t="s">
        <v>1697</v>
      </c>
      <c r="B1633" t="s">
        <v>173</v>
      </c>
    </row>
    <row r="1634" spans="1:17" hidden="1" x14ac:dyDescent="0.25">
      <c r="A1634" t="s">
        <v>1698</v>
      </c>
      <c r="B1634" t="s">
        <v>341</v>
      </c>
    </row>
    <row r="1635" spans="1:17" hidden="1" x14ac:dyDescent="0.25">
      <c r="A1635" t="s">
        <v>1699</v>
      </c>
      <c r="B1635" t="s">
        <v>341</v>
      </c>
    </row>
    <row r="1636" spans="1:17" hidden="1" x14ac:dyDescent="0.25">
      <c r="A1636" t="s">
        <v>1700</v>
      </c>
      <c r="B1636" t="s">
        <v>87</v>
      </c>
    </row>
    <row r="1637" spans="1:17" x14ac:dyDescent="0.25">
      <c r="A1637" t="s">
        <v>1204</v>
      </c>
      <c r="B1637" t="s">
        <v>173</v>
      </c>
      <c r="D1637" t="s">
        <v>77</v>
      </c>
      <c r="P1637" t="s">
        <v>605</v>
      </c>
    </row>
    <row r="1638" spans="1:17" x14ac:dyDescent="0.25">
      <c r="A1638" t="s">
        <v>48</v>
      </c>
      <c r="B1638" t="s">
        <v>20</v>
      </c>
      <c r="D1638" t="s">
        <v>48</v>
      </c>
    </row>
    <row r="1639" spans="1:17" hidden="1" x14ac:dyDescent="0.25">
      <c r="A1639" t="s">
        <v>1701</v>
      </c>
      <c r="B1639" t="s">
        <v>87</v>
      </c>
    </row>
    <row r="1640" spans="1:17" hidden="1" x14ac:dyDescent="0.25">
      <c r="A1640" t="s">
        <v>1702</v>
      </c>
      <c r="B1640" t="s">
        <v>87</v>
      </c>
    </row>
    <row r="1641" spans="1:17" hidden="1" x14ac:dyDescent="0.25">
      <c r="A1641" t="s">
        <v>1703</v>
      </c>
      <c r="B1641" t="s">
        <v>87</v>
      </c>
    </row>
    <row r="1642" spans="1:17" hidden="1" x14ac:dyDescent="0.25">
      <c r="A1642" t="s">
        <v>1704</v>
      </c>
      <c r="B1642" t="s">
        <v>87</v>
      </c>
    </row>
    <row r="1643" spans="1:17" hidden="1" x14ac:dyDescent="0.25">
      <c r="A1643" t="s">
        <v>1705</v>
      </c>
      <c r="B1643" t="s">
        <v>87</v>
      </c>
    </row>
    <row r="1644" spans="1:17" x14ac:dyDescent="0.25">
      <c r="A1644" t="s">
        <v>1706</v>
      </c>
      <c r="B1644" t="s">
        <v>46</v>
      </c>
      <c r="D1644" t="s">
        <v>46</v>
      </c>
      <c r="J1644">
        <v>64</v>
      </c>
      <c r="K1644">
        <v>64</v>
      </c>
    </row>
    <row r="1645" spans="1:17" x14ac:dyDescent="0.25">
      <c r="A1645" t="s">
        <v>1707</v>
      </c>
      <c r="B1645" t="s">
        <v>77</v>
      </c>
      <c r="D1645" t="s">
        <v>77</v>
      </c>
      <c r="J1645">
        <v>64</v>
      </c>
      <c r="K1645">
        <v>64</v>
      </c>
      <c r="Q1645" t="s">
        <v>1380</v>
      </c>
    </row>
    <row r="1646" spans="1:17" x14ac:dyDescent="0.25">
      <c r="A1646" t="s">
        <v>1708</v>
      </c>
      <c r="B1646" t="s">
        <v>46</v>
      </c>
      <c r="D1646" t="s">
        <v>46</v>
      </c>
      <c r="J1646">
        <v>64</v>
      </c>
      <c r="K1646">
        <v>64</v>
      </c>
      <c r="Q1646" t="s">
        <v>1380</v>
      </c>
    </row>
    <row r="1647" spans="1:17" x14ac:dyDescent="0.25">
      <c r="A1647" t="s">
        <v>1709</v>
      </c>
      <c r="B1647" t="s">
        <v>46</v>
      </c>
      <c r="D1647" t="s">
        <v>46</v>
      </c>
      <c r="I1647" t="s">
        <v>235</v>
      </c>
      <c r="J1647">
        <v>70</v>
      </c>
      <c r="K1647">
        <v>70</v>
      </c>
    </row>
    <row r="1648" spans="1:17" x14ac:dyDescent="0.25">
      <c r="A1648" t="s">
        <v>1710</v>
      </c>
      <c r="B1648" t="s">
        <v>77</v>
      </c>
      <c r="C1648" t="s">
        <v>85</v>
      </c>
      <c r="D1648" t="s">
        <v>77</v>
      </c>
      <c r="J1648">
        <v>56</v>
      </c>
      <c r="K1648">
        <v>56</v>
      </c>
    </row>
    <row r="1649" spans="1:11" x14ac:dyDescent="0.25">
      <c r="A1649" t="s">
        <v>1711</v>
      </c>
      <c r="B1649" t="s">
        <v>77</v>
      </c>
      <c r="D1649" t="s">
        <v>77</v>
      </c>
      <c r="I1649" t="s">
        <v>235</v>
      </c>
      <c r="J1649">
        <v>70</v>
      </c>
      <c r="K1649">
        <v>70</v>
      </c>
    </row>
    <row r="1650" spans="1:11" x14ac:dyDescent="0.25">
      <c r="A1650" t="s">
        <v>1712</v>
      </c>
      <c r="B1650" t="s">
        <v>20</v>
      </c>
      <c r="D1650" t="s">
        <v>20</v>
      </c>
      <c r="I1650" t="s">
        <v>235</v>
      </c>
      <c r="J1650">
        <v>70</v>
      </c>
      <c r="K1650">
        <v>70</v>
      </c>
    </row>
    <row r="1651" spans="1:11" x14ac:dyDescent="0.25">
      <c r="A1651" t="s">
        <v>1713</v>
      </c>
      <c r="B1651" t="s">
        <v>20</v>
      </c>
      <c r="D1651" t="s">
        <v>20</v>
      </c>
      <c r="I1651" t="s">
        <v>235</v>
      </c>
      <c r="J1651">
        <v>66</v>
      </c>
      <c r="K1651">
        <v>66</v>
      </c>
    </row>
    <row r="1652" spans="1:11" x14ac:dyDescent="0.25">
      <c r="A1652" t="s">
        <v>1714</v>
      </c>
      <c r="B1652" t="s">
        <v>20</v>
      </c>
      <c r="D1652" t="s">
        <v>20</v>
      </c>
      <c r="I1652" t="s">
        <v>235</v>
      </c>
      <c r="J1652">
        <v>56</v>
      </c>
      <c r="K1652">
        <v>56</v>
      </c>
    </row>
    <row r="1653" spans="1:11" x14ac:dyDescent="0.25">
      <c r="A1653" t="s">
        <v>1715</v>
      </c>
      <c r="B1653" t="s">
        <v>46</v>
      </c>
      <c r="D1653" t="s">
        <v>46</v>
      </c>
      <c r="I1653" t="s">
        <v>235</v>
      </c>
      <c r="J1653">
        <v>66</v>
      </c>
      <c r="K1653">
        <v>66</v>
      </c>
    </row>
    <row r="1654" spans="1:11" x14ac:dyDescent="0.25">
      <c r="A1654" t="s">
        <v>1716</v>
      </c>
      <c r="B1654" t="s">
        <v>46</v>
      </c>
      <c r="D1654" t="s">
        <v>46</v>
      </c>
      <c r="I1654" t="s">
        <v>235</v>
      </c>
      <c r="J1654">
        <v>56</v>
      </c>
      <c r="K1654">
        <v>56</v>
      </c>
    </row>
    <row r="1655" spans="1:11" x14ac:dyDescent="0.25">
      <c r="A1655" t="s">
        <v>1717</v>
      </c>
      <c r="B1655" t="s">
        <v>77</v>
      </c>
      <c r="D1655" t="s">
        <v>77</v>
      </c>
      <c r="I1655" t="s">
        <v>235</v>
      </c>
      <c r="J1655">
        <v>66</v>
      </c>
      <c r="K1655">
        <v>66</v>
      </c>
    </row>
    <row r="1656" spans="1:11" x14ac:dyDescent="0.25">
      <c r="A1656" t="s">
        <v>1718</v>
      </c>
      <c r="B1656" t="s">
        <v>77</v>
      </c>
      <c r="D1656" t="s">
        <v>77</v>
      </c>
      <c r="I1656" t="s">
        <v>235</v>
      </c>
      <c r="J1656">
        <v>56</v>
      </c>
      <c r="K1656">
        <v>56</v>
      </c>
    </row>
    <row r="1657" spans="1:11" x14ac:dyDescent="0.25">
      <c r="A1657" t="s">
        <v>1062</v>
      </c>
      <c r="B1657" t="s">
        <v>46</v>
      </c>
      <c r="D1657" t="s">
        <v>46</v>
      </c>
      <c r="J1657">
        <v>70</v>
      </c>
      <c r="K1657">
        <v>70</v>
      </c>
    </row>
    <row r="1658" spans="1:11" x14ac:dyDescent="0.25">
      <c r="A1658" t="s">
        <v>1022</v>
      </c>
      <c r="B1658" t="s">
        <v>46</v>
      </c>
      <c r="D1658" t="s">
        <v>77</v>
      </c>
      <c r="I1658" t="s">
        <v>79</v>
      </c>
      <c r="J1658">
        <v>66</v>
      </c>
      <c r="K1658">
        <v>66</v>
      </c>
    </row>
    <row r="1659" spans="1:11" hidden="1" x14ac:dyDescent="0.25">
      <c r="A1659" t="s">
        <v>1719</v>
      </c>
      <c r="B1659" t="s">
        <v>95</v>
      </c>
    </row>
    <row r="1660" spans="1:11" hidden="1" x14ac:dyDescent="0.25">
      <c r="A1660" t="s">
        <v>1720</v>
      </c>
      <c r="B1660" t="s">
        <v>95</v>
      </c>
    </row>
    <row r="1661" spans="1:11" x14ac:dyDescent="0.25">
      <c r="A1661" t="s">
        <v>1721</v>
      </c>
      <c r="B1661" t="s">
        <v>95</v>
      </c>
      <c r="C1661" t="s">
        <v>85</v>
      </c>
      <c r="D1661" t="s">
        <v>77</v>
      </c>
      <c r="J1661">
        <v>54</v>
      </c>
      <c r="K1661">
        <v>54</v>
      </c>
    </row>
    <row r="1662" spans="1:11" x14ac:dyDescent="0.25">
      <c r="A1662" t="s">
        <v>1722</v>
      </c>
      <c r="B1662" t="s">
        <v>77</v>
      </c>
      <c r="C1662" t="s">
        <v>85</v>
      </c>
      <c r="D1662" t="s">
        <v>77</v>
      </c>
      <c r="J1662">
        <v>54</v>
      </c>
      <c r="K1662">
        <v>54</v>
      </c>
    </row>
    <row r="1663" spans="1:11" x14ac:dyDescent="0.25">
      <c r="A1663" t="s">
        <v>1723</v>
      </c>
      <c r="B1663" t="s">
        <v>77</v>
      </c>
      <c r="C1663" t="s">
        <v>85</v>
      </c>
      <c r="D1663" t="s">
        <v>77</v>
      </c>
      <c r="J1663">
        <v>54</v>
      </c>
      <c r="K1663">
        <v>54</v>
      </c>
    </row>
    <row r="1664" spans="1:11" x14ac:dyDescent="0.25">
      <c r="A1664" t="s">
        <v>1724</v>
      </c>
      <c r="B1664" t="s">
        <v>77</v>
      </c>
      <c r="C1664" t="s">
        <v>83</v>
      </c>
      <c r="D1664" t="s">
        <v>77</v>
      </c>
      <c r="J1664">
        <v>54</v>
      </c>
      <c r="K1664">
        <v>54</v>
      </c>
    </row>
    <row r="1665" spans="1:19" hidden="1" x14ac:dyDescent="0.25">
      <c r="A1665" t="s">
        <v>1725</v>
      </c>
      <c r="B1665" t="s">
        <v>87</v>
      </c>
    </row>
    <row r="1666" spans="1:19" x14ac:dyDescent="0.25">
      <c r="A1666" t="s">
        <v>1726</v>
      </c>
      <c r="B1666" t="s">
        <v>20</v>
      </c>
      <c r="D1666" t="s">
        <v>44</v>
      </c>
      <c r="E1666">
        <v>2</v>
      </c>
      <c r="J1666" t="s">
        <v>1727</v>
      </c>
      <c r="K1666">
        <v>60</v>
      </c>
    </row>
    <row r="1667" spans="1:19" x14ac:dyDescent="0.25">
      <c r="A1667" t="s">
        <v>1728</v>
      </c>
      <c r="B1667" t="s">
        <v>20</v>
      </c>
      <c r="D1667" t="s">
        <v>45</v>
      </c>
      <c r="E1667">
        <v>2</v>
      </c>
      <c r="J1667" t="s">
        <v>1727</v>
      </c>
      <c r="K1667">
        <v>60</v>
      </c>
    </row>
    <row r="1668" spans="1:19" x14ac:dyDescent="0.25">
      <c r="A1668" t="s">
        <v>1729</v>
      </c>
      <c r="B1668" t="s">
        <v>20</v>
      </c>
      <c r="D1668" t="s">
        <v>77</v>
      </c>
      <c r="E1668">
        <v>2</v>
      </c>
      <c r="J1668" t="s">
        <v>1727</v>
      </c>
      <c r="K1668">
        <v>60</v>
      </c>
    </row>
    <row r="1669" spans="1:19" x14ac:dyDescent="0.25">
      <c r="A1669" t="s">
        <v>1730</v>
      </c>
      <c r="B1669" t="s">
        <v>20</v>
      </c>
      <c r="D1669" t="s">
        <v>44</v>
      </c>
      <c r="E1669">
        <v>1</v>
      </c>
      <c r="J1669" t="s">
        <v>1727</v>
      </c>
      <c r="K1669">
        <v>60</v>
      </c>
    </row>
    <row r="1670" spans="1:19" x14ac:dyDescent="0.25">
      <c r="A1670" t="s">
        <v>1731</v>
      </c>
      <c r="B1670" t="s">
        <v>46</v>
      </c>
      <c r="D1670" t="s">
        <v>45</v>
      </c>
      <c r="E1670">
        <v>1</v>
      </c>
      <c r="J1670" t="s">
        <v>1727</v>
      </c>
      <c r="K1670">
        <v>60</v>
      </c>
    </row>
    <row r="1671" spans="1:19" x14ac:dyDescent="0.25">
      <c r="A1671" t="s">
        <v>1732</v>
      </c>
      <c r="B1671" t="s">
        <v>77</v>
      </c>
      <c r="D1671" t="s">
        <v>77</v>
      </c>
      <c r="E1671">
        <v>1</v>
      </c>
      <c r="J1671" t="s">
        <v>1727</v>
      </c>
      <c r="K1671">
        <v>60</v>
      </c>
    </row>
    <row r="1672" spans="1:19" x14ac:dyDescent="0.25">
      <c r="A1672" t="s">
        <v>554</v>
      </c>
      <c r="B1672" t="s">
        <v>87</v>
      </c>
      <c r="C1672" t="s">
        <v>85</v>
      </c>
      <c r="D1672" t="s">
        <v>77</v>
      </c>
      <c r="E1672">
        <v>1</v>
      </c>
    </row>
    <row r="1673" spans="1:19" hidden="1" x14ac:dyDescent="0.25">
      <c r="A1673" t="s">
        <v>1733</v>
      </c>
      <c r="B1673" t="s">
        <v>173</v>
      </c>
    </row>
    <row r="1674" spans="1:19" hidden="1" x14ac:dyDescent="0.25">
      <c r="A1674" t="s">
        <v>1734</v>
      </c>
      <c r="B1674" t="s">
        <v>173</v>
      </c>
    </row>
    <row r="1675" spans="1:19" x14ac:dyDescent="0.25">
      <c r="A1675" t="s">
        <v>1735</v>
      </c>
      <c r="B1675" t="s">
        <v>46</v>
      </c>
      <c r="D1675" t="s">
        <v>46</v>
      </c>
      <c r="J1675" t="s">
        <v>1736</v>
      </c>
      <c r="K1675">
        <v>44</v>
      </c>
      <c r="R1675" t="s">
        <v>108</v>
      </c>
    </row>
    <row r="1676" spans="1:19" x14ac:dyDescent="0.25">
      <c r="A1676" t="s">
        <v>1737</v>
      </c>
      <c r="B1676" t="s">
        <v>46</v>
      </c>
      <c r="D1676" t="s">
        <v>46</v>
      </c>
      <c r="J1676" t="s">
        <v>1738</v>
      </c>
      <c r="K1676">
        <v>55</v>
      </c>
    </row>
    <row r="1677" spans="1:19" x14ac:dyDescent="0.25">
      <c r="A1677" t="s">
        <v>1739</v>
      </c>
      <c r="B1677" t="s">
        <v>77</v>
      </c>
      <c r="D1677" t="s">
        <v>77</v>
      </c>
      <c r="J1677" t="s">
        <v>1736</v>
      </c>
      <c r="K1677">
        <v>44</v>
      </c>
      <c r="R1677" t="s">
        <v>108</v>
      </c>
    </row>
    <row r="1678" spans="1:19" x14ac:dyDescent="0.25">
      <c r="A1678" t="s">
        <v>1740</v>
      </c>
      <c r="B1678" t="s">
        <v>77</v>
      </c>
      <c r="C1678" t="s">
        <v>85</v>
      </c>
      <c r="D1678" t="s">
        <v>77</v>
      </c>
      <c r="J1678">
        <v>44</v>
      </c>
      <c r="K1678">
        <v>44</v>
      </c>
      <c r="R1678" t="s">
        <v>108</v>
      </c>
      <c r="S1678" t="s">
        <v>290</v>
      </c>
    </row>
    <row r="1679" spans="1:19" x14ac:dyDescent="0.25">
      <c r="A1679" t="s">
        <v>1741</v>
      </c>
      <c r="B1679" t="s">
        <v>77</v>
      </c>
      <c r="C1679" t="s">
        <v>85</v>
      </c>
      <c r="D1679" t="s">
        <v>77</v>
      </c>
      <c r="J1679">
        <v>44</v>
      </c>
      <c r="K1679">
        <v>44</v>
      </c>
      <c r="R1679" t="s">
        <v>108</v>
      </c>
      <c r="S1679" t="s">
        <v>292</v>
      </c>
    </row>
    <row r="1680" spans="1:19" x14ac:dyDescent="0.25">
      <c r="A1680" t="s">
        <v>1742</v>
      </c>
      <c r="B1680" t="s">
        <v>77</v>
      </c>
      <c r="D1680" t="s">
        <v>77</v>
      </c>
      <c r="J1680" t="s">
        <v>1738</v>
      </c>
      <c r="K1680">
        <v>55</v>
      </c>
    </row>
    <row r="1681" spans="1:11" x14ac:dyDescent="0.25">
      <c r="A1681" t="s">
        <v>1743</v>
      </c>
      <c r="B1681" t="s">
        <v>77</v>
      </c>
      <c r="C1681" t="s">
        <v>85</v>
      </c>
      <c r="D1681" t="s">
        <v>77</v>
      </c>
      <c r="J1681">
        <v>55</v>
      </c>
      <c r="K1681">
        <v>55</v>
      </c>
    </row>
    <row r="1682" spans="1:11" x14ac:dyDescent="0.25">
      <c r="A1682" t="s">
        <v>1744</v>
      </c>
      <c r="B1682" t="s">
        <v>173</v>
      </c>
      <c r="D1682" t="s">
        <v>20</v>
      </c>
      <c r="I1682" t="s">
        <v>79</v>
      </c>
    </row>
    <row r="1683" spans="1:11" x14ac:dyDescent="0.25">
      <c r="A1683" t="s">
        <v>1745</v>
      </c>
      <c r="B1683" t="s">
        <v>173</v>
      </c>
      <c r="D1683" t="s">
        <v>20</v>
      </c>
    </row>
    <row r="1684" spans="1:11" x14ac:dyDescent="0.25">
      <c r="A1684" t="s">
        <v>921</v>
      </c>
      <c r="B1684" t="s">
        <v>77</v>
      </c>
      <c r="D1684" t="s">
        <v>77</v>
      </c>
      <c r="J1684">
        <v>59.4</v>
      </c>
      <c r="K1684">
        <v>59.4</v>
      </c>
    </row>
    <row r="1685" spans="1:11" hidden="1" x14ac:dyDescent="0.25">
      <c r="A1685" t="s">
        <v>1746</v>
      </c>
      <c r="B1685" t="s">
        <v>95</v>
      </c>
    </row>
    <row r="1686" spans="1:11" x14ac:dyDescent="0.25">
      <c r="A1686" t="s">
        <v>919</v>
      </c>
      <c r="B1686" t="s">
        <v>48</v>
      </c>
      <c r="D1686" t="s">
        <v>46</v>
      </c>
      <c r="J1686">
        <v>59.4</v>
      </c>
      <c r="K1686">
        <v>59.4</v>
      </c>
    </row>
    <row r="1687" spans="1:11" hidden="1" x14ac:dyDescent="0.25">
      <c r="A1687" t="s">
        <v>1747</v>
      </c>
    </row>
    <row r="1688" spans="1:11" hidden="1" x14ac:dyDescent="0.25">
      <c r="A1688" t="s">
        <v>1748</v>
      </c>
    </row>
    <row r="1689" spans="1:11" x14ac:dyDescent="0.25">
      <c r="A1689" t="s">
        <v>1749</v>
      </c>
      <c r="B1689" t="s">
        <v>77</v>
      </c>
      <c r="D1689" t="s">
        <v>77</v>
      </c>
      <c r="J1689">
        <v>20</v>
      </c>
      <c r="K1689">
        <v>20</v>
      </c>
    </row>
    <row r="1690" spans="1:11" x14ac:dyDescent="0.25">
      <c r="A1690" t="s">
        <v>1092</v>
      </c>
      <c r="B1690" t="s">
        <v>48</v>
      </c>
      <c r="D1690" t="s">
        <v>46</v>
      </c>
      <c r="J1690">
        <v>30</v>
      </c>
      <c r="K1690">
        <v>30</v>
      </c>
    </row>
    <row r="1691" spans="1:11" x14ac:dyDescent="0.25">
      <c r="A1691" t="s">
        <v>1750</v>
      </c>
      <c r="B1691" t="s">
        <v>46</v>
      </c>
      <c r="D1691" t="s">
        <v>46</v>
      </c>
      <c r="J1691">
        <v>20</v>
      </c>
      <c r="K1691">
        <v>20</v>
      </c>
    </row>
    <row r="1692" spans="1:11" hidden="1" x14ac:dyDescent="0.25">
      <c r="A1692" t="s">
        <v>660</v>
      </c>
      <c r="B1692" t="s">
        <v>16</v>
      </c>
    </row>
    <row r="1693" spans="1:11" hidden="1" x14ac:dyDescent="0.25">
      <c r="A1693" t="s">
        <v>1751</v>
      </c>
      <c r="B1693" t="s">
        <v>46</v>
      </c>
    </row>
    <row r="1694" spans="1:11" hidden="1" x14ac:dyDescent="0.25">
      <c r="A1694" t="s">
        <v>1752</v>
      </c>
      <c r="B1694" t="s">
        <v>95</v>
      </c>
    </row>
    <row r="1695" spans="1:11" hidden="1" x14ac:dyDescent="0.25">
      <c r="A1695" t="s">
        <v>1753</v>
      </c>
      <c r="B1695" t="s">
        <v>95</v>
      </c>
    </row>
    <row r="1696" spans="1:11" hidden="1" x14ac:dyDescent="0.25">
      <c r="A1696" t="s">
        <v>1148</v>
      </c>
      <c r="B1696" t="s">
        <v>87</v>
      </c>
    </row>
    <row r="1697" spans="1:11" x14ac:dyDescent="0.25">
      <c r="A1697" t="s">
        <v>1754</v>
      </c>
      <c r="B1697" t="s">
        <v>46</v>
      </c>
      <c r="C1697" t="s">
        <v>83</v>
      </c>
      <c r="D1697" t="s">
        <v>46</v>
      </c>
      <c r="J1697">
        <v>60</v>
      </c>
      <c r="K1697">
        <v>60</v>
      </c>
    </row>
    <row r="1698" spans="1:11" x14ac:dyDescent="0.25">
      <c r="A1698" t="s">
        <v>1755</v>
      </c>
      <c r="B1698" t="s">
        <v>46</v>
      </c>
      <c r="C1698" t="s">
        <v>83</v>
      </c>
      <c r="D1698" t="s">
        <v>46</v>
      </c>
      <c r="J1698">
        <v>54</v>
      </c>
      <c r="K1698">
        <v>54</v>
      </c>
    </row>
    <row r="1699" spans="1:11" hidden="1" x14ac:dyDescent="0.25">
      <c r="A1699" t="s">
        <v>1756</v>
      </c>
      <c r="B1699" t="s">
        <v>341</v>
      </c>
    </row>
    <row r="1700" spans="1:11" hidden="1" x14ac:dyDescent="0.25">
      <c r="A1700" t="s">
        <v>915</v>
      </c>
      <c r="B1700" t="s">
        <v>87</v>
      </c>
    </row>
    <row r="1701" spans="1:11" hidden="1" x14ac:dyDescent="0.25">
      <c r="A1701" t="s">
        <v>1757</v>
      </c>
      <c r="B1701" t="s">
        <v>95</v>
      </c>
    </row>
    <row r="1702" spans="1:11" hidden="1" x14ac:dyDescent="0.25">
      <c r="A1702" t="s">
        <v>1758</v>
      </c>
      <c r="B1702" t="s">
        <v>87</v>
      </c>
    </row>
    <row r="1703" spans="1:11" hidden="1" x14ac:dyDescent="0.25">
      <c r="A1703" t="s">
        <v>1759</v>
      </c>
      <c r="B1703" t="s">
        <v>173</v>
      </c>
    </row>
    <row r="1704" spans="1:11" hidden="1" x14ac:dyDescent="0.25">
      <c r="A1704" t="s">
        <v>1760</v>
      </c>
      <c r="B1704" t="s">
        <v>173</v>
      </c>
    </row>
    <row r="1705" spans="1:11" x14ac:dyDescent="0.25">
      <c r="A1705" t="s">
        <v>377</v>
      </c>
      <c r="B1705" t="s">
        <v>46</v>
      </c>
      <c r="D1705" t="s">
        <v>377</v>
      </c>
    </row>
    <row r="1706" spans="1:11" hidden="1" x14ac:dyDescent="0.25">
      <c r="A1706" t="s">
        <v>1761</v>
      </c>
      <c r="B1706" t="s">
        <v>341</v>
      </c>
    </row>
    <row r="1707" spans="1:11" hidden="1" x14ac:dyDescent="0.25">
      <c r="A1707" t="s">
        <v>1762</v>
      </c>
      <c r="B1707" t="s">
        <v>341</v>
      </c>
    </row>
    <row r="1708" spans="1:11" hidden="1" x14ac:dyDescent="0.25">
      <c r="A1708" t="s">
        <v>1763</v>
      </c>
      <c r="B1708" t="s">
        <v>87</v>
      </c>
    </row>
    <row r="1709" spans="1:11" x14ac:dyDescent="0.25">
      <c r="A1709" t="s">
        <v>1764</v>
      </c>
      <c r="B1709" t="s">
        <v>77</v>
      </c>
      <c r="D1709" t="s">
        <v>77</v>
      </c>
      <c r="E1709">
        <v>1</v>
      </c>
      <c r="J1709" t="s">
        <v>1765</v>
      </c>
      <c r="K1709">
        <v>27.5</v>
      </c>
    </row>
    <row r="1710" spans="1:11" hidden="1" x14ac:dyDescent="0.25">
      <c r="A1710" t="s">
        <v>1766</v>
      </c>
      <c r="B1710" t="s">
        <v>341</v>
      </c>
    </row>
    <row r="1711" spans="1:11" hidden="1" x14ac:dyDescent="0.25">
      <c r="A1711" t="s">
        <v>1767</v>
      </c>
      <c r="B1711" t="s">
        <v>341</v>
      </c>
    </row>
    <row r="1712" spans="1:11" hidden="1" x14ac:dyDescent="0.25">
      <c r="A1712" t="s">
        <v>216</v>
      </c>
      <c r="B1712" t="s">
        <v>95</v>
      </c>
    </row>
    <row r="1713" spans="1:11" hidden="1" x14ac:dyDescent="0.25">
      <c r="A1713" t="s">
        <v>1768</v>
      </c>
      <c r="B1713" t="s">
        <v>87</v>
      </c>
    </row>
    <row r="1714" spans="1:11" hidden="1" x14ac:dyDescent="0.25">
      <c r="A1714" t="s">
        <v>335</v>
      </c>
      <c r="B1714" t="s">
        <v>95</v>
      </c>
    </row>
    <row r="1715" spans="1:11" x14ac:dyDescent="0.25">
      <c r="A1715" t="s">
        <v>1769</v>
      </c>
      <c r="B1715" t="s">
        <v>20</v>
      </c>
      <c r="D1715" t="s">
        <v>226</v>
      </c>
      <c r="E1715">
        <v>1</v>
      </c>
      <c r="J1715" t="s">
        <v>511</v>
      </c>
      <c r="K1715">
        <v>30</v>
      </c>
    </row>
    <row r="1716" spans="1:11" hidden="1" x14ac:dyDescent="0.25">
      <c r="A1716" t="s">
        <v>1770</v>
      </c>
      <c r="B1716" t="s">
        <v>341</v>
      </c>
    </row>
    <row r="1717" spans="1:11" x14ac:dyDescent="0.25">
      <c r="A1717" t="s">
        <v>1771</v>
      </c>
      <c r="B1717" t="s">
        <v>46</v>
      </c>
      <c r="D1717" t="s">
        <v>46</v>
      </c>
      <c r="J1717">
        <v>45</v>
      </c>
      <c r="K1717">
        <v>45</v>
      </c>
    </row>
    <row r="1718" spans="1:11" hidden="1" x14ac:dyDescent="0.25">
      <c r="A1718" t="s">
        <v>1772</v>
      </c>
      <c r="B1718" t="s">
        <v>48</v>
      </c>
    </row>
    <row r="1719" spans="1:11" hidden="1" x14ac:dyDescent="0.25">
      <c r="A1719" t="s">
        <v>335</v>
      </c>
      <c r="B1719" t="s">
        <v>48</v>
      </c>
    </row>
    <row r="1720" spans="1:11" hidden="1" x14ac:dyDescent="0.25">
      <c r="A1720" t="s">
        <v>1773</v>
      </c>
      <c r="B1720" t="s">
        <v>48</v>
      </c>
    </row>
    <row r="1721" spans="1:11" hidden="1" x14ac:dyDescent="0.25">
      <c r="A1721" t="s">
        <v>1774</v>
      </c>
      <c r="B1721" t="s">
        <v>48</v>
      </c>
    </row>
    <row r="1722" spans="1:11" hidden="1" x14ac:dyDescent="0.25">
      <c r="A1722" t="s">
        <v>1775</v>
      </c>
      <c r="B1722" t="s">
        <v>16</v>
      </c>
    </row>
    <row r="1723" spans="1:11" x14ac:dyDescent="0.25">
      <c r="A1723" t="s">
        <v>1776</v>
      </c>
      <c r="B1723" t="s">
        <v>46</v>
      </c>
      <c r="D1723" t="s">
        <v>46</v>
      </c>
      <c r="J1723">
        <v>50.4</v>
      </c>
      <c r="K1723">
        <v>50.4</v>
      </c>
    </row>
    <row r="1724" spans="1:11" hidden="1" x14ac:dyDescent="0.25">
      <c r="A1724" t="s">
        <v>1777</v>
      </c>
      <c r="B1724" t="s">
        <v>341</v>
      </c>
    </row>
    <row r="1725" spans="1:11" hidden="1" x14ac:dyDescent="0.25">
      <c r="A1725" t="s">
        <v>1778</v>
      </c>
      <c r="B1725" t="s">
        <v>173</v>
      </c>
    </row>
    <row r="1726" spans="1:11" hidden="1" x14ac:dyDescent="0.25">
      <c r="A1726" t="s">
        <v>1779</v>
      </c>
      <c r="B1726" t="s">
        <v>173</v>
      </c>
    </row>
    <row r="1727" spans="1:11" hidden="1" x14ac:dyDescent="0.25">
      <c r="A1727" t="s">
        <v>1780</v>
      </c>
      <c r="B1727" t="s">
        <v>173</v>
      </c>
    </row>
    <row r="1728" spans="1:11" hidden="1" x14ac:dyDescent="0.25">
      <c r="A1728" t="s">
        <v>1781</v>
      </c>
      <c r="B1728" t="s">
        <v>173</v>
      </c>
    </row>
    <row r="1729" spans="1:12" hidden="1" x14ac:dyDescent="0.25">
      <c r="A1729" t="s">
        <v>1782</v>
      </c>
      <c r="B1729" t="s">
        <v>16</v>
      </c>
    </row>
    <row r="1730" spans="1:12" hidden="1" x14ac:dyDescent="0.25">
      <c r="A1730" t="s">
        <v>1783</v>
      </c>
      <c r="B1730" t="s">
        <v>173</v>
      </c>
    </row>
    <row r="1731" spans="1:12" x14ac:dyDescent="0.25">
      <c r="A1731" t="s">
        <v>1784</v>
      </c>
      <c r="B1731" t="s">
        <v>20</v>
      </c>
      <c r="C1731" t="s">
        <v>85</v>
      </c>
      <c r="D1731" t="s">
        <v>77</v>
      </c>
      <c r="J1731">
        <v>54</v>
      </c>
      <c r="K1731">
        <v>54</v>
      </c>
    </row>
    <row r="1732" spans="1:12" hidden="1" x14ac:dyDescent="0.25">
      <c r="A1732" t="s">
        <v>807</v>
      </c>
      <c r="B1732" t="s">
        <v>341</v>
      </c>
    </row>
    <row r="1733" spans="1:12" x14ac:dyDescent="0.25">
      <c r="A1733" t="s">
        <v>1785</v>
      </c>
      <c r="B1733" t="s">
        <v>46</v>
      </c>
      <c r="D1733" t="s">
        <v>46</v>
      </c>
      <c r="L1733" t="s">
        <v>582</v>
      </c>
    </row>
    <row r="1734" spans="1:12" hidden="1" x14ac:dyDescent="0.25">
      <c r="A1734" t="s">
        <v>1786</v>
      </c>
      <c r="B1734" t="s">
        <v>341</v>
      </c>
    </row>
    <row r="1735" spans="1:12" x14ac:dyDescent="0.25">
      <c r="A1735" t="s">
        <v>1784</v>
      </c>
      <c r="B1735" t="s">
        <v>77</v>
      </c>
      <c r="C1735" t="s">
        <v>85</v>
      </c>
      <c r="D1735" t="s">
        <v>77</v>
      </c>
      <c r="J1735">
        <v>54</v>
      </c>
      <c r="K1735">
        <v>54</v>
      </c>
    </row>
    <row r="1736" spans="1:12" x14ac:dyDescent="0.25">
      <c r="A1736" t="s">
        <v>1787</v>
      </c>
      <c r="B1736" t="s">
        <v>77</v>
      </c>
      <c r="C1736" t="s">
        <v>85</v>
      </c>
      <c r="D1736" t="s">
        <v>77</v>
      </c>
      <c r="J1736">
        <v>60</v>
      </c>
      <c r="K1736">
        <v>60</v>
      </c>
    </row>
    <row r="1737" spans="1:12" hidden="1" x14ac:dyDescent="0.25">
      <c r="A1737" t="s">
        <v>1788</v>
      </c>
      <c r="B1737" t="s">
        <v>16</v>
      </c>
    </row>
    <row r="1738" spans="1:12" hidden="1" x14ac:dyDescent="0.25">
      <c r="A1738" t="s">
        <v>1789</v>
      </c>
      <c r="B1738" t="s">
        <v>173</v>
      </c>
    </row>
    <row r="1739" spans="1:12" hidden="1" x14ac:dyDescent="0.25">
      <c r="A1739" t="s">
        <v>1790</v>
      </c>
      <c r="B1739" t="s">
        <v>173</v>
      </c>
    </row>
    <row r="1740" spans="1:12" hidden="1" x14ac:dyDescent="0.25">
      <c r="A1740" t="s">
        <v>1791</v>
      </c>
      <c r="B1740" t="s">
        <v>173</v>
      </c>
    </row>
    <row r="1741" spans="1:12" hidden="1" x14ac:dyDescent="0.25">
      <c r="A1741" t="s">
        <v>1792</v>
      </c>
      <c r="B1741" t="s">
        <v>173</v>
      </c>
    </row>
    <row r="1742" spans="1:12" x14ac:dyDescent="0.25">
      <c r="A1742" t="s">
        <v>1793</v>
      </c>
      <c r="B1742" t="s">
        <v>20</v>
      </c>
      <c r="D1742" t="s">
        <v>20</v>
      </c>
      <c r="E1742">
        <v>1</v>
      </c>
      <c r="J1742" t="s">
        <v>1794</v>
      </c>
      <c r="K1742">
        <v>32.5</v>
      </c>
    </row>
    <row r="1743" spans="1:12" x14ac:dyDescent="0.25">
      <c r="A1743" t="s">
        <v>1795</v>
      </c>
      <c r="B1743" t="s">
        <v>77</v>
      </c>
      <c r="D1743" t="s">
        <v>77</v>
      </c>
      <c r="E1743">
        <v>1</v>
      </c>
      <c r="J1743" t="s">
        <v>1794</v>
      </c>
      <c r="K1743">
        <v>32.5</v>
      </c>
    </row>
    <row r="1744" spans="1:12" x14ac:dyDescent="0.25">
      <c r="A1744" t="s">
        <v>1796</v>
      </c>
      <c r="B1744" t="s">
        <v>77</v>
      </c>
      <c r="D1744" t="s">
        <v>77</v>
      </c>
      <c r="I1744" t="s">
        <v>79</v>
      </c>
    </row>
    <row r="1745" spans="1:19" x14ac:dyDescent="0.25">
      <c r="A1745" t="s">
        <v>1797</v>
      </c>
      <c r="B1745" t="s">
        <v>77</v>
      </c>
      <c r="D1745" t="s">
        <v>77</v>
      </c>
      <c r="I1745" t="s">
        <v>79</v>
      </c>
      <c r="L1745" t="s">
        <v>552</v>
      </c>
    </row>
    <row r="1746" spans="1:19" hidden="1" x14ac:dyDescent="0.25">
      <c r="A1746" t="s">
        <v>1798</v>
      </c>
      <c r="B1746" t="s">
        <v>16</v>
      </c>
    </row>
    <row r="1747" spans="1:19" x14ac:dyDescent="0.25">
      <c r="A1747" t="s">
        <v>1799</v>
      </c>
      <c r="B1747" t="s">
        <v>20</v>
      </c>
      <c r="D1747" t="s">
        <v>20</v>
      </c>
      <c r="I1747" t="s">
        <v>79</v>
      </c>
    </row>
    <row r="1748" spans="1:19" hidden="1" x14ac:dyDescent="0.25">
      <c r="A1748" t="s">
        <v>1800</v>
      </c>
      <c r="B1748" t="s">
        <v>173</v>
      </c>
    </row>
    <row r="1749" spans="1:19" hidden="1" x14ac:dyDescent="0.25">
      <c r="A1749" t="s">
        <v>1801</v>
      </c>
      <c r="B1749" t="s">
        <v>87</v>
      </c>
    </row>
    <row r="1750" spans="1:19" x14ac:dyDescent="0.25">
      <c r="A1750" t="s">
        <v>1802</v>
      </c>
      <c r="B1750" t="s">
        <v>20</v>
      </c>
      <c r="D1750" t="s">
        <v>226</v>
      </c>
      <c r="I1750" t="s">
        <v>235</v>
      </c>
    </row>
    <row r="1751" spans="1:19" x14ac:dyDescent="0.25">
      <c r="A1751" t="s">
        <v>1803</v>
      </c>
      <c r="B1751" t="s">
        <v>48</v>
      </c>
      <c r="D1751" t="s">
        <v>226</v>
      </c>
      <c r="I1751" t="s">
        <v>79</v>
      </c>
    </row>
    <row r="1752" spans="1:19" x14ac:dyDescent="0.25">
      <c r="A1752" t="s">
        <v>1804</v>
      </c>
      <c r="B1752" t="s">
        <v>77</v>
      </c>
      <c r="C1752" t="s">
        <v>85</v>
      </c>
      <c r="D1752" t="s">
        <v>77</v>
      </c>
      <c r="J1752">
        <v>66</v>
      </c>
      <c r="K1752">
        <v>66</v>
      </c>
    </row>
    <row r="1753" spans="1:19" hidden="1" x14ac:dyDescent="0.25">
      <c r="A1753" t="s">
        <v>1805</v>
      </c>
      <c r="B1753" t="s">
        <v>341</v>
      </c>
    </row>
    <row r="1754" spans="1:19" hidden="1" x14ac:dyDescent="0.25">
      <c r="A1754" t="s">
        <v>1806</v>
      </c>
      <c r="B1754" t="s">
        <v>341</v>
      </c>
    </row>
    <row r="1755" spans="1:19" x14ac:dyDescent="0.25">
      <c r="A1755" t="s">
        <v>1062</v>
      </c>
      <c r="B1755" t="s">
        <v>48</v>
      </c>
      <c r="D1755" t="s">
        <v>46</v>
      </c>
      <c r="J1755">
        <v>70</v>
      </c>
      <c r="K1755">
        <v>70</v>
      </c>
    </row>
    <row r="1756" spans="1:19" x14ac:dyDescent="0.25">
      <c r="A1756" t="s">
        <v>1807</v>
      </c>
      <c r="B1756" t="s">
        <v>77</v>
      </c>
      <c r="D1756" t="s">
        <v>77</v>
      </c>
      <c r="J1756">
        <v>54</v>
      </c>
      <c r="K1756">
        <v>54</v>
      </c>
    </row>
    <row r="1757" spans="1:19" hidden="1" x14ac:dyDescent="0.25">
      <c r="A1757" t="s">
        <v>1808</v>
      </c>
      <c r="B1757" t="s">
        <v>173</v>
      </c>
    </row>
    <row r="1758" spans="1:19" x14ac:dyDescent="0.25">
      <c r="A1758" t="s">
        <v>1809</v>
      </c>
      <c r="B1758" t="s">
        <v>46</v>
      </c>
      <c r="D1758" t="s">
        <v>46</v>
      </c>
      <c r="J1758">
        <v>54</v>
      </c>
      <c r="K1758">
        <v>54</v>
      </c>
    </row>
    <row r="1759" spans="1:19" x14ac:dyDescent="0.25">
      <c r="A1759" t="s">
        <v>1810</v>
      </c>
      <c r="B1759" t="s">
        <v>77</v>
      </c>
      <c r="C1759" t="s">
        <v>85</v>
      </c>
      <c r="D1759" t="s">
        <v>77</v>
      </c>
      <c r="J1759">
        <v>66</v>
      </c>
      <c r="K1759">
        <v>66</v>
      </c>
      <c r="S1759" t="s">
        <v>292</v>
      </c>
    </row>
    <row r="1760" spans="1:19" x14ac:dyDescent="0.25">
      <c r="A1760" t="s">
        <v>1811</v>
      </c>
      <c r="B1760" t="s">
        <v>77</v>
      </c>
      <c r="C1760" t="s">
        <v>85</v>
      </c>
      <c r="D1760" t="s">
        <v>77</v>
      </c>
      <c r="J1760">
        <v>66</v>
      </c>
      <c r="K1760">
        <v>66</v>
      </c>
      <c r="S1760" t="s">
        <v>290</v>
      </c>
    </row>
    <row r="1761" spans="1:19" x14ac:dyDescent="0.25">
      <c r="A1761" t="s">
        <v>1812</v>
      </c>
      <c r="B1761" t="s">
        <v>77</v>
      </c>
      <c r="C1761" t="s">
        <v>85</v>
      </c>
      <c r="D1761" t="s">
        <v>77</v>
      </c>
      <c r="J1761">
        <v>66</v>
      </c>
      <c r="K1761">
        <v>66</v>
      </c>
      <c r="S1761" t="s">
        <v>290</v>
      </c>
    </row>
    <row r="1762" spans="1:19" x14ac:dyDescent="0.25">
      <c r="A1762" t="s">
        <v>1813</v>
      </c>
      <c r="B1762" t="s">
        <v>77</v>
      </c>
      <c r="C1762" t="s">
        <v>85</v>
      </c>
      <c r="D1762" t="s">
        <v>77</v>
      </c>
      <c r="J1762" t="s">
        <v>1814</v>
      </c>
      <c r="K1762">
        <v>70</v>
      </c>
      <c r="Q1762" t="s">
        <v>1219</v>
      </c>
    </row>
    <row r="1763" spans="1:19" x14ac:dyDescent="0.25">
      <c r="A1763" t="s">
        <v>1815</v>
      </c>
      <c r="B1763" t="s">
        <v>77</v>
      </c>
      <c r="C1763" t="s">
        <v>85</v>
      </c>
      <c r="D1763" t="s">
        <v>77</v>
      </c>
      <c r="J1763">
        <v>70</v>
      </c>
      <c r="K1763">
        <v>70</v>
      </c>
      <c r="S1763" t="s">
        <v>292</v>
      </c>
    </row>
    <row r="1764" spans="1:19" x14ac:dyDescent="0.25">
      <c r="A1764" t="s">
        <v>1816</v>
      </c>
      <c r="B1764" t="s">
        <v>77</v>
      </c>
      <c r="C1764" t="s">
        <v>85</v>
      </c>
      <c r="D1764" t="s">
        <v>77</v>
      </c>
      <c r="J1764">
        <v>66</v>
      </c>
      <c r="K1764">
        <v>66</v>
      </c>
      <c r="S1764" t="s">
        <v>292</v>
      </c>
    </row>
    <row r="1765" spans="1:19" x14ac:dyDescent="0.25">
      <c r="A1765" t="s">
        <v>1817</v>
      </c>
      <c r="B1765" t="s">
        <v>77</v>
      </c>
      <c r="C1765" t="s">
        <v>85</v>
      </c>
      <c r="D1765" t="s">
        <v>77</v>
      </c>
      <c r="J1765">
        <v>66</v>
      </c>
      <c r="K1765">
        <v>66</v>
      </c>
      <c r="S1765" t="s">
        <v>292</v>
      </c>
    </row>
    <row r="1766" spans="1:19" hidden="1" x14ac:dyDescent="0.25">
      <c r="A1766" t="s">
        <v>1818</v>
      </c>
      <c r="B1766" t="s">
        <v>16</v>
      </c>
    </row>
    <row r="1767" spans="1:19" hidden="1" x14ac:dyDescent="0.25">
      <c r="A1767" t="s">
        <v>1819</v>
      </c>
      <c r="B1767" t="s">
        <v>87</v>
      </c>
    </row>
    <row r="1768" spans="1:19" hidden="1" x14ac:dyDescent="0.25">
      <c r="A1768" t="s">
        <v>595</v>
      </c>
      <c r="B1768" t="s">
        <v>87</v>
      </c>
    </row>
    <row r="1769" spans="1:19" hidden="1" x14ac:dyDescent="0.25">
      <c r="A1769" t="s">
        <v>1820</v>
      </c>
      <c r="B1769" t="s">
        <v>87</v>
      </c>
    </row>
    <row r="1770" spans="1:19" hidden="1" x14ac:dyDescent="0.25">
      <c r="A1770" t="s">
        <v>1821</v>
      </c>
      <c r="B1770" t="s">
        <v>173</v>
      </c>
    </row>
    <row r="1771" spans="1:19" hidden="1" x14ac:dyDescent="0.25">
      <c r="A1771" t="s">
        <v>1822</v>
      </c>
      <c r="B1771" t="s">
        <v>173</v>
      </c>
    </row>
    <row r="1772" spans="1:19" hidden="1" x14ac:dyDescent="0.25">
      <c r="A1772" t="s">
        <v>1823</v>
      </c>
      <c r="B1772" t="s">
        <v>173</v>
      </c>
    </row>
    <row r="1773" spans="1:19" hidden="1" x14ac:dyDescent="0.25">
      <c r="A1773" t="s">
        <v>1824</v>
      </c>
      <c r="B1773" t="s">
        <v>16</v>
      </c>
    </row>
    <row r="1774" spans="1:19" x14ac:dyDescent="0.25">
      <c r="A1774" t="s">
        <v>1825</v>
      </c>
      <c r="B1774" t="s">
        <v>77</v>
      </c>
      <c r="C1774" t="s">
        <v>85</v>
      </c>
      <c r="D1774" t="s">
        <v>77</v>
      </c>
      <c r="S1774" t="s">
        <v>294</v>
      </c>
    </row>
    <row r="1775" spans="1:19" hidden="1" x14ac:dyDescent="0.25">
      <c r="A1775" t="s">
        <v>1826</v>
      </c>
      <c r="B1775" t="s">
        <v>87</v>
      </c>
    </row>
    <row r="1776" spans="1:19" hidden="1" x14ac:dyDescent="0.25">
      <c r="A1776" t="s">
        <v>1107</v>
      </c>
      <c r="B1776" t="s">
        <v>87</v>
      </c>
    </row>
    <row r="1777" spans="1:11" hidden="1" x14ac:dyDescent="0.25">
      <c r="A1777" t="s">
        <v>1827</v>
      </c>
      <c r="B1777" t="s">
        <v>87</v>
      </c>
    </row>
    <row r="1778" spans="1:11" hidden="1" x14ac:dyDescent="0.25">
      <c r="A1778" t="s">
        <v>1828</v>
      </c>
      <c r="B1778" t="s">
        <v>87</v>
      </c>
    </row>
    <row r="1779" spans="1:11" hidden="1" x14ac:dyDescent="0.25">
      <c r="A1779" t="s">
        <v>1829</v>
      </c>
      <c r="B1779" t="s">
        <v>87</v>
      </c>
    </row>
    <row r="1780" spans="1:11" hidden="1" x14ac:dyDescent="0.25">
      <c r="A1780" t="s">
        <v>1830</v>
      </c>
      <c r="B1780" t="s">
        <v>87</v>
      </c>
    </row>
    <row r="1781" spans="1:11" hidden="1" x14ac:dyDescent="0.25">
      <c r="A1781" t="s">
        <v>1831</v>
      </c>
      <c r="B1781" t="s">
        <v>87</v>
      </c>
    </row>
    <row r="1782" spans="1:11" hidden="1" x14ac:dyDescent="0.25">
      <c r="A1782" t="s">
        <v>1832</v>
      </c>
      <c r="B1782" t="s">
        <v>341</v>
      </c>
    </row>
    <row r="1783" spans="1:11" hidden="1" x14ac:dyDescent="0.25">
      <c r="A1783" t="s">
        <v>1833</v>
      </c>
      <c r="B1783" t="s">
        <v>173</v>
      </c>
    </row>
    <row r="1784" spans="1:11" hidden="1" x14ac:dyDescent="0.25">
      <c r="A1784" t="s">
        <v>1834</v>
      </c>
      <c r="B1784" t="s">
        <v>173</v>
      </c>
    </row>
    <row r="1785" spans="1:11" hidden="1" x14ac:dyDescent="0.25">
      <c r="A1785" t="s">
        <v>1835</v>
      </c>
      <c r="B1785" t="s">
        <v>87</v>
      </c>
    </row>
    <row r="1786" spans="1:11" hidden="1" x14ac:dyDescent="0.25">
      <c r="A1786" t="s">
        <v>1836</v>
      </c>
      <c r="B1786" t="s">
        <v>87</v>
      </c>
    </row>
    <row r="1787" spans="1:11" hidden="1" x14ac:dyDescent="0.25">
      <c r="A1787" t="s">
        <v>1837</v>
      </c>
      <c r="B1787" t="s">
        <v>87</v>
      </c>
    </row>
    <row r="1788" spans="1:11" x14ac:dyDescent="0.25">
      <c r="A1788" t="s">
        <v>1838</v>
      </c>
      <c r="B1788" t="s">
        <v>20</v>
      </c>
      <c r="D1788" t="s">
        <v>20</v>
      </c>
      <c r="E1788">
        <v>4</v>
      </c>
      <c r="J1788" t="s">
        <v>525</v>
      </c>
      <c r="K1788">
        <v>27</v>
      </c>
    </row>
    <row r="1789" spans="1:11" x14ac:dyDescent="0.25">
      <c r="A1789" t="s">
        <v>1839</v>
      </c>
      <c r="B1789" t="s">
        <v>20</v>
      </c>
      <c r="D1789" t="s">
        <v>20</v>
      </c>
      <c r="E1789">
        <v>5</v>
      </c>
      <c r="J1789" t="s">
        <v>525</v>
      </c>
      <c r="K1789">
        <v>27</v>
      </c>
    </row>
    <row r="1790" spans="1:11" x14ac:dyDescent="0.25">
      <c r="A1790" t="s">
        <v>1840</v>
      </c>
      <c r="B1790" t="s">
        <v>20</v>
      </c>
      <c r="D1790" t="s">
        <v>20</v>
      </c>
      <c r="E1790">
        <v>6</v>
      </c>
      <c r="J1790" t="s">
        <v>525</v>
      </c>
      <c r="K1790">
        <v>27</v>
      </c>
    </row>
    <row r="1791" spans="1:11" x14ac:dyDescent="0.25">
      <c r="A1791" t="s">
        <v>1841</v>
      </c>
      <c r="B1791" t="s">
        <v>77</v>
      </c>
      <c r="D1791" t="s">
        <v>77</v>
      </c>
      <c r="E1791">
        <v>4</v>
      </c>
      <c r="J1791" t="s">
        <v>525</v>
      </c>
      <c r="K1791">
        <v>27</v>
      </c>
    </row>
    <row r="1792" spans="1:11" x14ac:dyDescent="0.25">
      <c r="A1792" t="s">
        <v>1842</v>
      </c>
      <c r="B1792" t="s">
        <v>77</v>
      </c>
      <c r="D1792" t="s">
        <v>77</v>
      </c>
      <c r="E1792">
        <v>5</v>
      </c>
      <c r="J1792" t="s">
        <v>525</v>
      </c>
      <c r="K1792">
        <v>27</v>
      </c>
    </row>
    <row r="1793" spans="1:19" x14ac:dyDescent="0.25">
      <c r="A1793" t="s">
        <v>1843</v>
      </c>
      <c r="B1793" t="s">
        <v>77</v>
      </c>
      <c r="D1793" t="s">
        <v>77</v>
      </c>
      <c r="E1793">
        <v>6</v>
      </c>
      <c r="J1793" t="s">
        <v>525</v>
      </c>
      <c r="K1793">
        <v>27</v>
      </c>
    </row>
    <row r="1794" spans="1:19" x14ac:dyDescent="0.25">
      <c r="A1794" t="s">
        <v>1844</v>
      </c>
      <c r="B1794" t="s">
        <v>77</v>
      </c>
      <c r="D1794" t="s">
        <v>77</v>
      </c>
      <c r="E1794">
        <v>7</v>
      </c>
      <c r="J1794" t="s">
        <v>684</v>
      </c>
      <c r="K1794">
        <v>24</v>
      </c>
    </row>
    <row r="1795" spans="1:19" x14ac:dyDescent="0.25">
      <c r="A1795" t="s">
        <v>1845</v>
      </c>
      <c r="B1795" t="s">
        <v>20</v>
      </c>
      <c r="D1795" t="s">
        <v>20</v>
      </c>
      <c r="E1795">
        <v>7</v>
      </c>
      <c r="J1795" t="s">
        <v>684</v>
      </c>
      <c r="K1795">
        <v>24</v>
      </c>
    </row>
    <row r="1796" spans="1:19" hidden="1" x14ac:dyDescent="0.25">
      <c r="A1796" t="s">
        <v>1846</v>
      </c>
      <c r="B1796" t="s">
        <v>341</v>
      </c>
    </row>
    <row r="1797" spans="1:19" hidden="1" x14ac:dyDescent="0.25">
      <c r="A1797" t="s">
        <v>89</v>
      </c>
      <c r="B1797" t="s">
        <v>77</v>
      </c>
    </row>
    <row r="1798" spans="1:19" hidden="1" x14ac:dyDescent="0.25">
      <c r="A1798" t="s">
        <v>1847</v>
      </c>
      <c r="B1798" t="s">
        <v>95</v>
      </c>
    </row>
    <row r="1799" spans="1:19" x14ac:dyDescent="0.25">
      <c r="A1799" t="s">
        <v>1848</v>
      </c>
      <c r="B1799" t="s">
        <v>77</v>
      </c>
      <c r="C1799" t="s">
        <v>85</v>
      </c>
      <c r="D1799" t="s">
        <v>77</v>
      </c>
      <c r="J1799">
        <v>40</v>
      </c>
      <c r="K1799">
        <v>40</v>
      </c>
    </row>
    <row r="1800" spans="1:19" hidden="1" x14ac:dyDescent="0.25">
      <c r="A1800" t="s">
        <v>1849</v>
      </c>
      <c r="B1800" t="s">
        <v>341</v>
      </c>
    </row>
    <row r="1801" spans="1:19" hidden="1" x14ac:dyDescent="0.25">
      <c r="A1801" t="s">
        <v>1850</v>
      </c>
      <c r="B1801" t="s">
        <v>341</v>
      </c>
    </row>
    <row r="1802" spans="1:19" x14ac:dyDescent="0.25">
      <c r="A1802" t="s">
        <v>226</v>
      </c>
      <c r="B1802" t="s">
        <v>173</v>
      </c>
      <c r="D1802" t="s">
        <v>226</v>
      </c>
    </row>
    <row r="1803" spans="1:19" x14ac:dyDescent="0.25">
      <c r="A1803" t="s">
        <v>1851</v>
      </c>
      <c r="B1803" t="s">
        <v>173</v>
      </c>
      <c r="D1803" t="s">
        <v>226</v>
      </c>
      <c r="M1803">
        <v>3</v>
      </c>
      <c r="O1803" t="s">
        <v>215</v>
      </c>
      <c r="S1803" t="s">
        <v>294</v>
      </c>
    </row>
    <row r="1804" spans="1:19" hidden="1" x14ac:dyDescent="0.25">
      <c r="A1804" t="s">
        <v>1824</v>
      </c>
      <c r="B1804" t="s">
        <v>173</v>
      </c>
    </row>
    <row r="1805" spans="1:19" hidden="1" x14ac:dyDescent="0.25">
      <c r="A1805" t="s">
        <v>1852</v>
      </c>
    </row>
    <row r="1806" spans="1:19" hidden="1" x14ac:dyDescent="0.25">
      <c r="A1806" t="s">
        <v>1853</v>
      </c>
      <c r="B1806" t="s">
        <v>87</v>
      </c>
    </row>
    <row r="1807" spans="1:19" hidden="1" x14ac:dyDescent="0.25">
      <c r="A1807" t="s">
        <v>1854</v>
      </c>
      <c r="B1807" t="s">
        <v>173</v>
      </c>
    </row>
    <row r="1808" spans="1:19" hidden="1" x14ac:dyDescent="0.25">
      <c r="A1808" t="s">
        <v>1855</v>
      </c>
      <c r="B1808" t="s">
        <v>173</v>
      </c>
    </row>
    <row r="1809" spans="1:18" x14ac:dyDescent="0.25">
      <c r="A1809" t="s">
        <v>1856</v>
      </c>
      <c r="B1809" t="s">
        <v>77</v>
      </c>
      <c r="D1809" t="s">
        <v>77</v>
      </c>
      <c r="J1809">
        <v>24</v>
      </c>
      <c r="K1809">
        <v>24</v>
      </c>
    </row>
    <row r="1810" spans="1:18" x14ac:dyDescent="0.25">
      <c r="A1810" t="s">
        <v>1857</v>
      </c>
      <c r="B1810" t="s">
        <v>46</v>
      </c>
      <c r="D1810" t="s">
        <v>46</v>
      </c>
      <c r="J1810">
        <v>24</v>
      </c>
      <c r="K1810">
        <v>24</v>
      </c>
    </row>
    <row r="1811" spans="1:18" x14ac:dyDescent="0.25">
      <c r="A1811" t="s">
        <v>1858</v>
      </c>
      <c r="B1811" t="s">
        <v>77</v>
      </c>
      <c r="C1811" t="s">
        <v>85</v>
      </c>
      <c r="D1811" t="s">
        <v>77</v>
      </c>
      <c r="R1811" t="s">
        <v>106</v>
      </c>
    </row>
    <row r="1812" spans="1:18" x14ac:dyDescent="0.25">
      <c r="A1812" t="s">
        <v>1859</v>
      </c>
      <c r="B1812" t="s">
        <v>77</v>
      </c>
      <c r="C1812" t="s">
        <v>83</v>
      </c>
      <c r="D1812" t="s">
        <v>77</v>
      </c>
      <c r="L1812" t="s">
        <v>605</v>
      </c>
    </row>
    <row r="1813" spans="1:18" x14ac:dyDescent="0.25">
      <c r="A1813" t="s">
        <v>1860</v>
      </c>
      <c r="B1813" t="s">
        <v>46</v>
      </c>
      <c r="C1813" t="s">
        <v>83</v>
      </c>
      <c r="D1813" t="s">
        <v>46</v>
      </c>
    </row>
    <row r="1814" spans="1:18" x14ac:dyDescent="0.25">
      <c r="A1814" t="s">
        <v>1861</v>
      </c>
      <c r="B1814" t="s">
        <v>48</v>
      </c>
      <c r="D1814" t="s">
        <v>20</v>
      </c>
      <c r="I1814" t="s">
        <v>79</v>
      </c>
      <c r="R1814" t="s">
        <v>106</v>
      </c>
    </row>
    <row r="1815" spans="1:18" x14ac:dyDescent="0.25">
      <c r="A1815" t="s">
        <v>1862</v>
      </c>
      <c r="B1815" t="s">
        <v>46</v>
      </c>
      <c r="D1815" t="s">
        <v>46</v>
      </c>
      <c r="R1815" t="s">
        <v>106</v>
      </c>
    </row>
    <row r="1816" spans="1:18" x14ac:dyDescent="0.25">
      <c r="A1816" t="s">
        <v>1863</v>
      </c>
      <c r="B1816" t="s">
        <v>46</v>
      </c>
      <c r="D1816" t="s">
        <v>46</v>
      </c>
      <c r="R1816" t="s">
        <v>108</v>
      </c>
    </row>
    <row r="1817" spans="1:18" x14ac:dyDescent="0.25">
      <c r="A1817" t="s">
        <v>1499</v>
      </c>
      <c r="B1817" t="s">
        <v>48</v>
      </c>
      <c r="D1817" t="s">
        <v>20</v>
      </c>
      <c r="I1817" t="s">
        <v>79</v>
      </c>
      <c r="R1817" t="s">
        <v>108</v>
      </c>
    </row>
    <row r="1818" spans="1:18" x14ac:dyDescent="0.25">
      <c r="A1818" t="s">
        <v>1864</v>
      </c>
      <c r="B1818" t="s">
        <v>77</v>
      </c>
      <c r="C1818" t="s">
        <v>85</v>
      </c>
      <c r="D1818" t="s">
        <v>77</v>
      </c>
      <c r="R1818" t="s">
        <v>108</v>
      </c>
    </row>
    <row r="1819" spans="1:18" hidden="1" x14ac:dyDescent="0.25">
      <c r="A1819" t="s">
        <v>1865</v>
      </c>
      <c r="B1819" t="s">
        <v>341</v>
      </c>
    </row>
    <row r="1820" spans="1:18" x14ac:dyDescent="0.25">
      <c r="A1820" t="s">
        <v>1866</v>
      </c>
      <c r="B1820" t="s">
        <v>77</v>
      </c>
      <c r="C1820" t="s">
        <v>85</v>
      </c>
      <c r="D1820" t="s">
        <v>77</v>
      </c>
      <c r="J1820">
        <v>30</v>
      </c>
      <c r="K1820">
        <v>30</v>
      </c>
    </row>
    <row r="1821" spans="1:18" hidden="1" x14ac:dyDescent="0.25">
      <c r="A1821" t="s">
        <v>1057</v>
      </c>
      <c r="B1821" t="s">
        <v>87</v>
      </c>
    </row>
    <row r="1822" spans="1:18" hidden="1" x14ac:dyDescent="0.25">
      <c r="A1822" t="s">
        <v>1867</v>
      </c>
      <c r="B1822" t="s">
        <v>341</v>
      </c>
    </row>
    <row r="1823" spans="1:18" hidden="1" x14ac:dyDescent="0.25">
      <c r="A1823" t="s">
        <v>1868</v>
      </c>
      <c r="B1823" t="s">
        <v>87</v>
      </c>
    </row>
    <row r="1824" spans="1:18" hidden="1" x14ac:dyDescent="0.25">
      <c r="A1824" t="s">
        <v>1869</v>
      </c>
      <c r="B1824" t="s">
        <v>87</v>
      </c>
    </row>
    <row r="1825" spans="1:11" hidden="1" x14ac:dyDescent="0.25">
      <c r="A1825" t="s">
        <v>1870</v>
      </c>
      <c r="B1825" t="s">
        <v>87</v>
      </c>
    </row>
    <row r="1826" spans="1:11" hidden="1" x14ac:dyDescent="0.25">
      <c r="A1826" t="s">
        <v>1871</v>
      </c>
      <c r="B1826" t="s">
        <v>341</v>
      </c>
    </row>
    <row r="1827" spans="1:11" hidden="1" x14ac:dyDescent="0.25">
      <c r="A1827" t="s">
        <v>1872</v>
      </c>
      <c r="B1827" t="s">
        <v>341</v>
      </c>
    </row>
    <row r="1828" spans="1:11" hidden="1" x14ac:dyDescent="0.25">
      <c r="A1828" t="s">
        <v>1873</v>
      </c>
      <c r="B1828" t="s">
        <v>341</v>
      </c>
    </row>
    <row r="1829" spans="1:11" hidden="1" x14ac:dyDescent="0.25">
      <c r="A1829" t="s">
        <v>1874</v>
      </c>
      <c r="B1829" t="s">
        <v>341</v>
      </c>
    </row>
    <row r="1830" spans="1:11" hidden="1" x14ac:dyDescent="0.25">
      <c r="A1830" t="s">
        <v>1875</v>
      </c>
      <c r="B1830" t="s">
        <v>341</v>
      </c>
    </row>
    <row r="1831" spans="1:11" hidden="1" x14ac:dyDescent="0.25">
      <c r="A1831" t="s">
        <v>1876</v>
      </c>
      <c r="B1831" t="s">
        <v>341</v>
      </c>
    </row>
    <row r="1832" spans="1:11" x14ac:dyDescent="0.25">
      <c r="A1832" t="s">
        <v>1877</v>
      </c>
      <c r="B1832" t="s">
        <v>20</v>
      </c>
      <c r="D1832" t="s">
        <v>20</v>
      </c>
      <c r="E1832">
        <v>5</v>
      </c>
      <c r="J1832" t="s">
        <v>686</v>
      </c>
      <c r="K1832">
        <v>21</v>
      </c>
    </row>
    <row r="1833" spans="1:11" x14ac:dyDescent="0.25">
      <c r="A1833" t="s">
        <v>1878</v>
      </c>
      <c r="B1833" t="s">
        <v>77</v>
      </c>
      <c r="D1833" t="s">
        <v>77</v>
      </c>
      <c r="E1833">
        <v>5</v>
      </c>
      <c r="J1833" t="s">
        <v>686</v>
      </c>
      <c r="K1833">
        <v>21</v>
      </c>
    </row>
    <row r="1834" spans="1:11" x14ac:dyDescent="0.25">
      <c r="A1834" t="s">
        <v>1879</v>
      </c>
      <c r="B1834" t="s">
        <v>20</v>
      </c>
      <c r="D1834" t="s">
        <v>20</v>
      </c>
      <c r="E1834">
        <v>4</v>
      </c>
      <c r="J1834" t="s">
        <v>960</v>
      </c>
      <c r="K1834">
        <v>15</v>
      </c>
    </row>
    <row r="1835" spans="1:11" x14ac:dyDescent="0.25">
      <c r="A1835" t="s">
        <v>1880</v>
      </c>
      <c r="B1835" t="s">
        <v>20</v>
      </c>
      <c r="D1835" t="s">
        <v>20</v>
      </c>
      <c r="E1835">
        <v>3</v>
      </c>
      <c r="J1835" t="s">
        <v>686</v>
      </c>
      <c r="K1835">
        <v>21</v>
      </c>
    </row>
    <row r="1836" spans="1:11" x14ac:dyDescent="0.25">
      <c r="A1836" t="s">
        <v>1881</v>
      </c>
      <c r="B1836" t="s">
        <v>20</v>
      </c>
      <c r="D1836" t="s">
        <v>20</v>
      </c>
      <c r="E1836">
        <v>1</v>
      </c>
      <c r="J1836" t="s">
        <v>960</v>
      </c>
      <c r="K1836">
        <v>15</v>
      </c>
    </row>
    <row r="1837" spans="1:11" x14ac:dyDescent="0.25">
      <c r="A1837" t="s">
        <v>1882</v>
      </c>
      <c r="B1837" t="s">
        <v>77</v>
      </c>
      <c r="D1837" t="s">
        <v>77</v>
      </c>
      <c r="E1837">
        <v>4</v>
      </c>
      <c r="J1837" t="s">
        <v>960</v>
      </c>
      <c r="K1837">
        <v>15</v>
      </c>
    </row>
    <row r="1838" spans="1:11" x14ac:dyDescent="0.25">
      <c r="A1838" t="s">
        <v>1883</v>
      </c>
      <c r="B1838" t="s">
        <v>77</v>
      </c>
      <c r="D1838" t="s">
        <v>77</v>
      </c>
      <c r="E1838">
        <v>3</v>
      </c>
      <c r="J1838" t="s">
        <v>686</v>
      </c>
      <c r="K1838">
        <v>21</v>
      </c>
    </row>
    <row r="1839" spans="1:11" x14ac:dyDescent="0.25">
      <c r="A1839" t="s">
        <v>1884</v>
      </c>
      <c r="B1839" t="s">
        <v>77</v>
      </c>
      <c r="D1839" t="s">
        <v>77</v>
      </c>
      <c r="E1839">
        <v>1</v>
      </c>
      <c r="J1839" t="s">
        <v>960</v>
      </c>
      <c r="K1839">
        <v>15</v>
      </c>
    </row>
    <row r="1840" spans="1:11" x14ac:dyDescent="0.25">
      <c r="A1840" t="s">
        <v>1885</v>
      </c>
      <c r="B1840" t="s">
        <v>77</v>
      </c>
      <c r="D1840" t="s">
        <v>77</v>
      </c>
      <c r="E1840">
        <v>6</v>
      </c>
      <c r="J1840" t="s">
        <v>686</v>
      </c>
      <c r="K1840">
        <v>21</v>
      </c>
    </row>
    <row r="1841" spans="1:19" x14ac:dyDescent="0.25">
      <c r="A1841" t="s">
        <v>1886</v>
      </c>
      <c r="B1841" t="s">
        <v>77</v>
      </c>
      <c r="D1841" t="s">
        <v>77</v>
      </c>
      <c r="E1841">
        <v>9</v>
      </c>
      <c r="J1841" t="s">
        <v>686</v>
      </c>
      <c r="K1841">
        <v>21</v>
      </c>
    </row>
    <row r="1842" spans="1:19" x14ac:dyDescent="0.25">
      <c r="A1842" t="s">
        <v>1887</v>
      </c>
      <c r="B1842" t="s">
        <v>77</v>
      </c>
      <c r="D1842" t="s">
        <v>77</v>
      </c>
      <c r="E1842">
        <v>8</v>
      </c>
      <c r="J1842" t="s">
        <v>686</v>
      </c>
      <c r="K1842">
        <v>21</v>
      </c>
    </row>
    <row r="1843" spans="1:19" x14ac:dyDescent="0.25">
      <c r="A1843" t="s">
        <v>1888</v>
      </c>
      <c r="B1843" t="s">
        <v>77</v>
      </c>
      <c r="D1843" t="s">
        <v>77</v>
      </c>
      <c r="E1843">
        <v>7</v>
      </c>
      <c r="J1843" t="s">
        <v>686</v>
      </c>
      <c r="K1843">
        <v>21</v>
      </c>
    </row>
    <row r="1844" spans="1:19" x14ac:dyDescent="0.25">
      <c r="A1844" t="s">
        <v>1889</v>
      </c>
      <c r="B1844" t="s">
        <v>20</v>
      </c>
      <c r="D1844" t="s">
        <v>20</v>
      </c>
      <c r="E1844">
        <v>9</v>
      </c>
      <c r="J1844" t="s">
        <v>686</v>
      </c>
      <c r="K1844">
        <v>21</v>
      </c>
    </row>
    <row r="1845" spans="1:19" x14ac:dyDescent="0.25">
      <c r="A1845" t="s">
        <v>1890</v>
      </c>
      <c r="B1845" t="s">
        <v>20</v>
      </c>
      <c r="D1845" t="s">
        <v>20</v>
      </c>
      <c r="E1845">
        <v>8</v>
      </c>
      <c r="J1845" t="s">
        <v>686</v>
      </c>
      <c r="K1845">
        <v>21</v>
      </c>
    </row>
    <row r="1846" spans="1:19" x14ac:dyDescent="0.25">
      <c r="A1846" t="s">
        <v>1891</v>
      </c>
      <c r="B1846" t="s">
        <v>20</v>
      </c>
      <c r="D1846" t="s">
        <v>20</v>
      </c>
      <c r="E1846">
        <v>7</v>
      </c>
      <c r="J1846" t="s">
        <v>686</v>
      </c>
      <c r="K1846">
        <v>21</v>
      </c>
    </row>
    <row r="1847" spans="1:19" x14ac:dyDescent="0.25">
      <c r="A1847" t="s">
        <v>1892</v>
      </c>
      <c r="B1847" t="s">
        <v>20</v>
      </c>
      <c r="D1847" t="s">
        <v>20</v>
      </c>
      <c r="E1847">
        <v>6</v>
      </c>
      <c r="J1847" t="s">
        <v>686</v>
      </c>
      <c r="K1847">
        <v>21</v>
      </c>
    </row>
    <row r="1848" spans="1:19" hidden="1" x14ac:dyDescent="0.25">
      <c r="A1848" t="s">
        <v>1893</v>
      </c>
      <c r="B1848" t="s">
        <v>87</v>
      </c>
    </row>
    <row r="1849" spans="1:19" hidden="1" x14ac:dyDescent="0.25">
      <c r="A1849" t="s">
        <v>1894</v>
      </c>
      <c r="B1849" t="s">
        <v>87</v>
      </c>
    </row>
    <row r="1850" spans="1:19" hidden="1" x14ac:dyDescent="0.25">
      <c r="A1850" t="s">
        <v>1895</v>
      </c>
      <c r="B1850" t="s">
        <v>87</v>
      </c>
    </row>
    <row r="1851" spans="1:19" hidden="1" x14ac:dyDescent="0.25">
      <c r="A1851" t="s">
        <v>1896</v>
      </c>
      <c r="B1851" t="s">
        <v>173</v>
      </c>
    </row>
    <row r="1852" spans="1:19" hidden="1" x14ac:dyDescent="0.25">
      <c r="A1852" t="s">
        <v>1897</v>
      </c>
      <c r="B1852" t="s">
        <v>173</v>
      </c>
    </row>
    <row r="1853" spans="1:19" hidden="1" x14ac:dyDescent="0.25">
      <c r="A1853" t="s">
        <v>1898</v>
      </c>
      <c r="B1853" t="s">
        <v>87</v>
      </c>
    </row>
    <row r="1854" spans="1:19" x14ac:dyDescent="0.25">
      <c r="A1854" t="s">
        <v>139</v>
      </c>
      <c r="B1854" t="s">
        <v>173</v>
      </c>
      <c r="D1854" t="s">
        <v>46</v>
      </c>
      <c r="I1854" t="s">
        <v>79</v>
      </c>
    </row>
    <row r="1855" spans="1:19" hidden="1" x14ac:dyDescent="0.25">
      <c r="A1855" t="s">
        <v>1899</v>
      </c>
      <c r="B1855" t="s">
        <v>87</v>
      </c>
    </row>
    <row r="1856" spans="1:19" x14ac:dyDescent="0.25">
      <c r="A1856" t="s">
        <v>1900</v>
      </c>
      <c r="B1856" t="s">
        <v>77</v>
      </c>
      <c r="C1856" t="s">
        <v>83</v>
      </c>
      <c r="D1856" t="s">
        <v>77</v>
      </c>
      <c r="J1856">
        <v>54</v>
      </c>
      <c r="K1856">
        <v>54</v>
      </c>
      <c r="S1856" t="s">
        <v>290</v>
      </c>
    </row>
    <row r="1857" spans="1:19" x14ac:dyDescent="0.25">
      <c r="A1857" t="s">
        <v>1901</v>
      </c>
      <c r="B1857" t="s">
        <v>77</v>
      </c>
      <c r="C1857" t="s">
        <v>85</v>
      </c>
      <c r="D1857" t="s">
        <v>77</v>
      </c>
      <c r="Q1857" t="s">
        <v>1902</v>
      </c>
      <c r="S1857" t="s">
        <v>290</v>
      </c>
    </row>
    <row r="1858" spans="1:19" x14ac:dyDescent="0.25">
      <c r="A1858" t="s">
        <v>1903</v>
      </c>
      <c r="B1858" t="s">
        <v>77</v>
      </c>
      <c r="C1858" t="s">
        <v>85</v>
      </c>
      <c r="D1858" t="s">
        <v>77</v>
      </c>
      <c r="Q1858" t="s">
        <v>1902</v>
      </c>
    </row>
    <row r="1859" spans="1:19" hidden="1" x14ac:dyDescent="0.25">
      <c r="A1859" t="s">
        <v>1904</v>
      </c>
      <c r="B1859" t="s">
        <v>173</v>
      </c>
    </row>
    <row r="1860" spans="1:19" hidden="1" x14ac:dyDescent="0.25">
      <c r="A1860" t="s">
        <v>1905</v>
      </c>
    </row>
    <row r="1861" spans="1:19" hidden="1" x14ac:dyDescent="0.25">
      <c r="A1861" t="s">
        <v>1906</v>
      </c>
      <c r="B1861" t="s">
        <v>341</v>
      </c>
    </row>
    <row r="1862" spans="1:19" hidden="1" x14ac:dyDescent="0.25">
      <c r="A1862" t="s">
        <v>1826</v>
      </c>
      <c r="B1862" t="s">
        <v>173</v>
      </c>
    </row>
    <row r="1863" spans="1:19" hidden="1" x14ac:dyDescent="0.25">
      <c r="A1863" t="s">
        <v>1907</v>
      </c>
      <c r="B1863" t="s">
        <v>16</v>
      </c>
    </row>
    <row r="1864" spans="1:19" hidden="1" x14ac:dyDescent="0.25">
      <c r="A1864" t="s">
        <v>1908</v>
      </c>
      <c r="B1864" t="s">
        <v>173</v>
      </c>
    </row>
    <row r="1865" spans="1:19" x14ac:dyDescent="0.25">
      <c r="A1865" t="s">
        <v>1909</v>
      </c>
      <c r="B1865" t="s">
        <v>20</v>
      </c>
      <c r="C1865" t="s">
        <v>85</v>
      </c>
      <c r="D1865" t="s">
        <v>20</v>
      </c>
    </row>
    <row r="1866" spans="1:19" x14ac:dyDescent="0.25">
      <c r="A1866" t="s">
        <v>1910</v>
      </c>
      <c r="B1866" t="s">
        <v>77</v>
      </c>
      <c r="C1866" t="s">
        <v>85</v>
      </c>
      <c r="D1866" t="s">
        <v>77</v>
      </c>
      <c r="J1866">
        <v>40</v>
      </c>
      <c r="K1866">
        <v>40</v>
      </c>
      <c r="S1866" t="s">
        <v>292</v>
      </c>
    </row>
    <row r="1867" spans="1:19" hidden="1" x14ac:dyDescent="0.25">
      <c r="A1867" t="s">
        <v>1911</v>
      </c>
      <c r="B1867" t="s">
        <v>173</v>
      </c>
    </row>
    <row r="1868" spans="1:19" x14ac:dyDescent="0.25">
      <c r="A1868" t="s">
        <v>1912</v>
      </c>
      <c r="B1868" t="s">
        <v>77</v>
      </c>
      <c r="D1868" t="s">
        <v>77</v>
      </c>
      <c r="E1868">
        <v>9</v>
      </c>
      <c r="J1868" t="s">
        <v>448</v>
      </c>
      <c r="K1868">
        <v>27</v>
      </c>
    </row>
    <row r="1869" spans="1:19" x14ac:dyDescent="0.25">
      <c r="A1869" t="s">
        <v>1913</v>
      </c>
      <c r="B1869" t="s">
        <v>20</v>
      </c>
      <c r="D1869" t="s">
        <v>20</v>
      </c>
      <c r="E1869">
        <v>6</v>
      </c>
      <c r="J1869" t="s">
        <v>490</v>
      </c>
      <c r="K1869">
        <v>24</v>
      </c>
    </row>
    <row r="1870" spans="1:19" x14ac:dyDescent="0.25">
      <c r="A1870" t="s">
        <v>1914</v>
      </c>
      <c r="B1870" t="s">
        <v>77</v>
      </c>
      <c r="D1870" t="s">
        <v>77</v>
      </c>
      <c r="E1870">
        <v>6</v>
      </c>
      <c r="J1870" t="s">
        <v>490</v>
      </c>
      <c r="K1870">
        <v>24</v>
      </c>
    </row>
    <row r="1871" spans="1:19" hidden="1" x14ac:dyDescent="0.25">
      <c r="A1871" t="s">
        <v>1915</v>
      </c>
      <c r="B1871" t="s">
        <v>173</v>
      </c>
    </row>
    <row r="1872" spans="1:19" x14ac:dyDescent="0.25">
      <c r="A1872" t="s">
        <v>78</v>
      </c>
      <c r="B1872" t="s">
        <v>173</v>
      </c>
      <c r="D1872" t="s">
        <v>20</v>
      </c>
      <c r="I1872" t="s">
        <v>79</v>
      </c>
    </row>
    <row r="1873" spans="1:18" hidden="1" x14ac:dyDescent="0.25">
      <c r="A1873" t="s">
        <v>1916</v>
      </c>
    </row>
    <row r="1874" spans="1:18" hidden="1" x14ac:dyDescent="0.25">
      <c r="A1874" t="s">
        <v>1917</v>
      </c>
    </row>
    <row r="1875" spans="1:18" hidden="1" x14ac:dyDescent="0.25">
      <c r="A1875" t="s">
        <v>1918</v>
      </c>
      <c r="B1875" t="s">
        <v>173</v>
      </c>
    </row>
    <row r="1876" spans="1:18" x14ac:dyDescent="0.25">
      <c r="A1876" t="s">
        <v>1919</v>
      </c>
      <c r="B1876" t="s">
        <v>173</v>
      </c>
      <c r="D1876" t="s">
        <v>77</v>
      </c>
      <c r="I1876" t="s">
        <v>79</v>
      </c>
      <c r="Q1876" t="s">
        <v>1038</v>
      </c>
    </row>
    <row r="1877" spans="1:18" hidden="1" x14ac:dyDescent="0.25">
      <c r="A1877" t="s">
        <v>1920</v>
      </c>
      <c r="B1877" t="s">
        <v>16</v>
      </c>
    </row>
    <row r="1878" spans="1:18" hidden="1" x14ac:dyDescent="0.25">
      <c r="A1878" t="s">
        <v>1921</v>
      </c>
      <c r="B1878" t="s">
        <v>87</v>
      </c>
    </row>
    <row r="1879" spans="1:18" hidden="1" x14ac:dyDescent="0.25">
      <c r="A1879" t="s">
        <v>1922</v>
      </c>
      <c r="B1879" t="s">
        <v>87</v>
      </c>
    </row>
    <row r="1880" spans="1:18" hidden="1" x14ac:dyDescent="0.25">
      <c r="A1880" t="s">
        <v>1923</v>
      </c>
      <c r="B1880" t="s">
        <v>87</v>
      </c>
    </row>
    <row r="1881" spans="1:18" hidden="1" x14ac:dyDescent="0.25">
      <c r="A1881" t="s">
        <v>1924</v>
      </c>
      <c r="B1881" t="s">
        <v>173</v>
      </c>
    </row>
    <row r="1882" spans="1:18" hidden="1" x14ac:dyDescent="0.25">
      <c r="A1882" t="s">
        <v>1925</v>
      </c>
      <c r="B1882" t="s">
        <v>173</v>
      </c>
    </row>
    <row r="1883" spans="1:18" hidden="1" x14ac:dyDescent="0.25">
      <c r="A1883" t="s">
        <v>1926</v>
      </c>
      <c r="B1883" t="s">
        <v>95</v>
      </c>
    </row>
    <row r="1884" spans="1:18" x14ac:dyDescent="0.25">
      <c r="A1884" t="s">
        <v>1927</v>
      </c>
      <c r="B1884" t="s">
        <v>46</v>
      </c>
      <c r="C1884" t="s">
        <v>83</v>
      </c>
      <c r="D1884" t="s">
        <v>45</v>
      </c>
      <c r="J1884">
        <v>60</v>
      </c>
      <c r="K1884">
        <v>60</v>
      </c>
    </row>
    <row r="1885" spans="1:18" x14ac:dyDescent="0.25">
      <c r="A1885" t="s">
        <v>1928</v>
      </c>
      <c r="B1885" t="s">
        <v>46</v>
      </c>
      <c r="C1885" t="s">
        <v>85</v>
      </c>
      <c r="D1885" t="s">
        <v>45</v>
      </c>
      <c r="J1885">
        <v>50</v>
      </c>
      <c r="K1885">
        <v>50</v>
      </c>
    </row>
    <row r="1886" spans="1:18" x14ac:dyDescent="0.25">
      <c r="A1886" t="s">
        <v>1929</v>
      </c>
      <c r="B1886" t="s">
        <v>77</v>
      </c>
      <c r="C1886" t="s">
        <v>85</v>
      </c>
      <c r="D1886" t="s">
        <v>77</v>
      </c>
      <c r="J1886">
        <v>60</v>
      </c>
      <c r="K1886">
        <v>60</v>
      </c>
      <c r="M1886" t="s">
        <v>1930</v>
      </c>
      <c r="N1886" t="s">
        <v>1931</v>
      </c>
    </row>
    <row r="1887" spans="1:18" x14ac:dyDescent="0.25">
      <c r="A1887" t="s">
        <v>1932</v>
      </c>
      <c r="B1887" t="s">
        <v>20</v>
      </c>
      <c r="D1887" t="s">
        <v>20</v>
      </c>
      <c r="I1887" t="s">
        <v>235</v>
      </c>
      <c r="R1887" t="s">
        <v>1933</v>
      </c>
    </row>
    <row r="1888" spans="1:18" x14ac:dyDescent="0.25">
      <c r="A1888" t="s">
        <v>1934</v>
      </c>
      <c r="B1888" t="s">
        <v>77</v>
      </c>
      <c r="D1888" t="s">
        <v>77</v>
      </c>
      <c r="J1888" t="s">
        <v>567</v>
      </c>
      <c r="K1888">
        <v>27</v>
      </c>
    </row>
    <row r="1889" spans="1:17" hidden="1" x14ac:dyDescent="0.25">
      <c r="A1889" t="s">
        <v>396</v>
      </c>
      <c r="B1889" t="s">
        <v>77</v>
      </c>
    </row>
    <row r="1890" spans="1:17" x14ac:dyDescent="0.25">
      <c r="A1890" t="s">
        <v>1935</v>
      </c>
      <c r="B1890" t="s">
        <v>46</v>
      </c>
      <c r="D1890" t="s">
        <v>46</v>
      </c>
      <c r="Q1890" t="s">
        <v>1936</v>
      </c>
    </row>
    <row r="1891" spans="1:17" x14ac:dyDescent="0.25">
      <c r="A1891" t="s">
        <v>1937</v>
      </c>
      <c r="B1891" t="s">
        <v>20</v>
      </c>
      <c r="D1891" t="s">
        <v>20</v>
      </c>
      <c r="Q1891" t="s">
        <v>1936</v>
      </c>
    </row>
    <row r="1892" spans="1:17" x14ac:dyDescent="0.25">
      <c r="A1892" t="s">
        <v>1938</v>
      </c>
      <c r="B1892" t="s">
        <v>77</v>
      </c>
      <c r="D1892" t="s">
        <v>77</v>
      </c>
      <c r="Q1892" t="s">
        <v>1936</v>
      </c>
    </row>
    <row r="1893" spans="1:17" hidden="1" x14ac:dyDescent="0.25">
      <c r="A1893" t="s">
        <v>93</v>
      </c>
      <c r="B1893" t="s">
        <v>95</v>
      </c>
    </row>
    <row r="1894" spans="1:17" hidden="1" x14ac:dyDescent="0.25">
      <c r="A1894" t="s">
        <v>89</v>
      </c>
      <c r="B1894" t="s">
        <v>95</v>
      </c>
    </row>
    <row r="1895" spans="1:17" hidden="1" x14ac:dyDescent="0.25">
      <c r="A1895" t="s">
        <v>1939</v>
      </c>
      <c r="B1895" t="s">
        <v>341</v>
      </c>
    </row>
    <row r="1896" spans="1:17" hidden="1" x14ac:dyDescent="0.25">
      <c r="A1896" t="s">
        <v>1940</v>
      </c>
      <c r="B1896" t="s">
        <v>87</v>
      </c>
    </row>
    <row r="1897" spans="1:17" hidden="1" x14ac:dyDescent="0.25">
      <c r="A1897" t="s">
        <v>1941</v>
      </c>
      <c r="B1897" t="s">
        <v>467</v>
      </c>
    </row>
    <row r="1898" spans="1:17" hidden="1" x14ac:dyDescent="0.25">
      <c r="A1898" t="s">
        <v>1942</v>
      </c>
      <c r="B1898" t="s">
        <v>467</v>
      </c>
    </row>
    <row r="1899" spans="1:17" hidden="1" x14ac:dyDescent="0.25">
      <c r="A1899" t="s">
        <v>1943</v>
      </c>
      <c r="B1899" t="s">
        <v>87</v>
      </c>
    </row>
    <row r="1900" spans="1:17" x14ac:dyDescent="0.25">
      <c r="A1900" t="s">
        <v>1944</v>
      </c>
      <c r="B1900" t="s">
        <v>173</v>
      </c>
      <c r="C1900" t="s">
        <v>1945</v>
      </c>
      <c r="D1900" t="s">
        <v>77</v>
      </c>
      <c r="Q1900" t="s">
        <v>1946</v>
      </c>
    </row>
    <row r="1901" spans="1:17" hidden="1" x14ac:dyDescent="0.25">
      <c r="A1901" t="s">
        <v>1947</v>
      </c>
      <c r="B1901" t="s">
        <v>95</v>
      </c>
    </row>
    <row r="1902" spans="1:17" x14ac:dyDescent="0.25">
      <c r="A1902" t="s">
        <v>1948</v>
      </c>
      <c r="B1902" t="s">
        <v>77</v>
      </c>
      <c r="D1902" t="s">
        <v>77</v>
      </c>
      <c r="Q1902" t="s">
        <v>1946</v>
      </c>
    </row>
    <row r="1903" spans="1:17" x14ac:dyDescent="0.25">
      <c r="A1903" t="s">
        <v>1949</v>
      </c>
      <c r="B1903" t="s">
        <v>77</v>
      </c>
      <c r="D1903" t="s">
        <v>77</v>
      </c>
      <c r="H1903" t="s">
        <v>1950</v>
      </c>
      <c r="Q1903" t="s">
        <v>1951</v>
      </c>
    </row>
    <row r="1904" spans="1:17" x14ac:dyDescent="0.25">
      <c r="A1904" t="s">
        <v>1952</v>
      </c>
      <c r="B1904" t="s">
        <v>77</v>
      </c>
      <c r="C1904" t="s">
        <v>1945</v>
      </c>
      <c r="D1904" t="s">
        <v>77</v>
      </c>
      <c r="H1904" t="s">
        <v>1950</v>
      </c>
      <c r="Q1904" t="s">
        <v>1951</v>
      </c>
    </row>
    <row r="1905" spans="1:19" x14ac:dyDescent="0.25">
      <c r="A1905" t="s">
        <v>1953</v>
      </c>
      <c r="B1905" t="s">
        <v>46</v>
      </c>
      <c r="D1905" t="s">
        <v>46</v>
      </c>
      <c r="H1905" t="s">
        <v>1950</v>
      </c>
      <c r="Q1905" t="s">
        <v>1951</v>
      </c>
    </row>
    <row r="1906" spans="1:19" x14ac:dyDescent="0.25">
      <c r="A1906" t="s">
        <v>1954</v>
      </c>
      <c r="B1906" t="s">
        <v>48</v>
      </c>
      <c r="D1906" t="s">
        <v>46</v>
      </c>
      <c r="Q1906" t="s">
        <v>1946</v>
      </c>
    </row>
    <row r="1907" spans="1:19" hidden="1" x14ac:dyDescent="0.25">
      <c r="A1907" t="s">
        <v>1955</v>
      </c>
      <c r="B1907" t="s">
        <v>173</v>
      </c>
    </row>
    <row r="1908" spans="1:19" hidden="1" x14ac:dyDescent="0.25">
      <c r="A1908" t="s">
        <v>1956</v>
      </c>
    </row>
    <row r="1909" spans="1:19" hidden="1" x14ac:dyDescent="0.25">
      <c r="A1909" t="s">
        <v>1957</v>
      </c>
    </row>
    <row r="1910" spans="1:19" hidden="1" x14ac:dyDescent="0.25">
      <c r="A1910" t="s">
        <v>1958</v>
      </c>
    </row>
    <row r="1911" spans="1:19" hidden="1" x14ac:dyDescent="0.25">
      <c r="A1911" t="s">
        <v>1959</v>
      </c>
    </row>
    <row r="1912" spans="1:19" hidden="1" x14ac:dyDescent="0.25">
      <c r="A1912" t="s">
        <v>1960</v>
      </c>
      <c r="B1912" t="s">
        <v>87</v>
      </c>
    </row>
    <row r="1913" spans="1:19" x14ac:dyDescent="0.25">
      <c r="A1913" t="s">
        <v>1961</v>
      </c>
      <c r="B1913" t="s">
        <v>77</v>
      </c>
      <c r="C1913" t="s">
        <v>85</v>
      </c>
      <c r="D1913" t="s">
        <v>77</v>
      </c>
      <c r="Q1913" t="s">
        <v>1946</v>
      </c>
    </row>
    <row r="1914" spans="1:19" x14ac:dyDescent="0.25">
      <c r="A1914" t="s">
        <v>1962</v>
      </c>
      <c r="B1914" t="s">
        <v>77</v>
      </c>
      <c r="C1914" t="s">
        <v>85</v>
      </c>
      <c r="D1914" t="s">
        <v>77</v>
      </c>
      <c r="J1914">
        <v>56</v>
      </c>
      <c r="K1914">
        <v>56</v>
      </c>
      <c r="R1914" t="s">
        <v>106</v>
      </c>
    </row>
    <row r="1915" spans="1:19" x14ac:dyDescent="0.25">
      <c r="A1915" t="s">
        <v>1963</v>
      </c>
      <c r="B1915" t="s">
        <v>77</v>
      </c>
      <c r="C1915" t="s">
        <v>85</v>
      </c>
      <c r="D1915" t="s">
        <v>77</v>
      </c>
      <c r="J1915">
        <v>56</v>
      </c>
      <c r="K1915">
        <v>56</v>
      </c>
      <c r="R1915" t="s">
        <v>108</v>
      </c>
    </row>
    <row r="1916" spans="1:19" x14ac:dyDescent="0.25">
      <c r="A1916" t="s">
        <v>1964</v>
      </c>
      <c r="B1916" t="s">
        <v>77</v>
      </c>
      <c r="C1916" t="s">
        <v>85</v>
      </c>
      <c r="D1916" t="s">
        <v>77</v>
      </c>
      <c r="J1916">
        <v>63</v>
      </c>
      <c r="K1916">
        <v>63</v>
      </c>
      <c r="S1916" t="s">
        <v>292</v>
      </c>
    </row>
    <row r="1917" spans="1:19" hidden="1" x14ac:dyDescent="0.25">
      <c r="A1917" t="s">
        <v>1965</v>
      </c>
      <c r="B1917" t="s">
        <v>341</v>
      </c>
    </row>
    <row r="1918" spans="1:19" hidden="1" x14ac:dyDescent="0.25">
      <c r="A1918" t="s">
        <v>1966</v>
      </c>
      <c r="B1918" t="s">
        <v>341</v>
      </c>
    </row>
    <row r="1919" spans="1:19" x14ac:dyDescent="0.25">
      <c r="A1919" t="s">
        <v>1967</v>
      </c>
      <c r="B1919" t="s">
        <v>77</v>
      </c>
      <c r="C1919" t="s">
        <v>85</v>
      </c>
      <c r="D1919" t="s">
        <v>77</v>
      </c>
      <c r="J1919" t="s">
        <v>1968</v>
      </c>
      <c r="K1919">
        <v>63</v>
      </c>
    </row>
    <row r="1920" spans="1:19" hidden="1" x14ac:dyDescent="0.25">
      <c r="A1920" t="s">
        <v>1969</v>
      </c>
      <c r="B1920" t="s">
        <v>341</v>
      </c>
    </row>
    <row r="1921" spans="1:19" hidden="1" x14ac:dyDescent="0.25">
      <c r="A1921" t="s">
        <v>1205</v>
      </c>
      <c r="B1921" t="s">
        <v>341</v>
      </c>
    </row>
    <row r="1922" spans="1:19" hidden="1" x14ac:dyDescent="0.25">
      <c r="A1922" t="s">
        <v>1970</v>
      </c>
      <c r="B1922" t="s">
        <v>87</v>
      </c>
    </row>
    <row r="1923" spans="1:19" x14ac:dyDescent="0.25">
      <c r="A1923" t="s">
        <v>1971</v>
      </c>
      <c r="B1923" t="s">
        <v>77</v>
      </c>
      <c r="D1923" t="s">
        <v>77</v>
      </c>
      <c r="Q1923" t="s">
        <v>1972</v>
      </c>
    </row>
    <row r="1924" spans="1:19" x14ac:dyDescent="0.25">
      <c r="A1924" t="s">
        <v>1973</v>
      </c>
      <c r="B1924" t="s">
        <v>77</v>
      </c>
      <c r="C1924" t="s">
        <v>85</v>
      </c>
      <c r="D1924" t="s">
        <v>77</v>
      </c>
      <c r="J1924">
        <v>45</v>
      </c>
      <c r="K1924">
        <v>45</v>
      </c>
      <c r="S1924" t="s">
        <v>292</v>
      </c>
    </row>
    <row r="1925" spans="1:19" x14ac:dyDescent="0.25">
      <c r="A1925" t="s">
        <v>1974</v>
      </c>
      <c r="B1925" t="s">
        <v>77</v>
      </c>
      <c r="C1925" t="s">
        <v>85</v>
      </c>
      <c r="D1925" t="s">
        <v>77</v>
      </c>
      <c r="J1925">
        <v>45</v>
      </c>
      <c r="K1925">
        <v>45</v>
      </c>
      <c r="S1925" t="s">
        <v>290</v>
      </c>
    </row>
    <row r="1926" spans="1:19" x14ac:dyDescent="0.25">
      <c r="A1926" t="s">
        <v>1975</v>
      </c>
      <c r="B1926" t="s">
        <v>77</v>
      </c>
      <c r="C1926" t="s">
        <v>85</v>
      </c>
      <c r="D1926" t="s">
        <v>77</v>
      </c>
      <c r="J1926">
        <v>5.4</v>
      </c>
      <c r="K1926">
        <v>5.4</v>
      </c>
      <c r="S1926" t="s">
        <v>292</v>
      </c>
    </row>
    <row r="1927" spans="1:19" x14ac:dyDescent="0.25">
      <c r="A1927" t="s">
        <v>1420</v>
      </c>
      <c r="B1927" t="s">
        <v>173</v>
      </c>
      <c r="D1927" t="s">
        <v>46</v>
      </c>
      <c r="J1927">
        <v>50.4</v>
      </c>
      <c r="K1927">
        <v>50.4</v>
      </c>
    </row>
    <row r="1928" spans="1:19" x14ac:dyDescent="0.25">
      <c r="A1928" t="s">
        <v>1976</v>
      </c>
      <c r="B1928" t="s">
        <v>77</v>
      </c>
      <c r="C1928" t="s">
        <v>85</v>
      </c>
      <c r="D1928" t="s">
        <v>77</v>
      </c>
      <c r="J1928">
        <v>5.4</v>
      </c>
      <c r="K1928">
        <v>5.4</v>
      </c>
    </row>
    <row r="1929" spans="1:19" hidden="1" x14ac:dyDescent="0.25">
      <c r="A1929" t="s">
        <v>1977</v>
      </c>
      <c r="B1929" t="s">
        <v>87</v>
      </c>
    </row>
    <row r="1930" spans="1:19" hidden="1" x14ac:dyDescent="0.25">
      <c r="A1930" t="s">
        <v>1978</v>
      </c>
      <c r="B1930" t="s">
        <v>87</v>
      </c>
    </row>
    <row r="1931" spans="1:19" x14ac:dyDescent="0.25">
      <c r="A1931" t="s">
        <v>1979</v>
      </c>
      <c r="B1931" t="s">
        <v>77</v>
      </c>
      <c r="C1931" t="s">
        <v>85</v>
      </c>
      <c r="D1931" t="s">
        <v>77</v>
      </c>
      <c r="J1931">
        <v>5.4</v>
      </c>
      <c r="K1931">
        <v>5.4</v>
      </c>
      <c r="S1931" t="s">
        <v>290</v>
      </c>
    </row>
    <row r="1932" spans="1:19" x14ac:dyDescent="0.25">
      <c r="A1932" t="s">
        <v>1980</v>
      </c>
      <c r="B1932" t="s">
        <v>173</v>
      </c>
      <c r="D1932" t="s">
        <v>77</v>
      </c>
      <c r="J1932">
        <v>50.4</v>
      </c>
      <c r="K1932">
        <v>50.4</v>
      </c>
    </row>
    <row r="1933" spans="1:19" hidden="1" x14ac:dyDescent="0.25">
      <c r="A1933" t="s">
        <v>882</v>
      </c>
      <c r="B1933" t="s">
        <v>341</v>
      </c>
    </row>
    <row r="1934" spans="1:19" x14ac:dyDescent="0.25">
      <c r="A1934" t="s">
        <v>1981</v>
      </c>
      <c r="B1934" t="s">
        <v>77</v>
      </c>
      <c r="D1934" t="s">
        <v>77</v>
      </c>
      <c r="I1934" t="s">
        <v>79</v>
      </c>
      <c r="Q1934" t="s">
        <v>83</v>
      </c>
    </row>
    <row r="1935" spans="1:19" x14ac:dyDescent="0.25">
      <c r="A1935" t="s">
        <v>1982</v>
      </c>
      <c r="B1935" t="s">
        <v>46</v>
      </c>
      <c r="D1935" t="s">
        <v>46</v>
      </c>
      <c r="J1935">
        <v>56</v>
      </c>
      <c r="K1935">
        <v>56</v>
      </c>
      <c r="R1935" t="s">
        <v>106</v>
      </c>
    </row>
    <row r="1936" spans="1:19" x14ac:dyDescent="0.25">
      <c r="A1936" t="s">
        <v>1983</v>
      </c>
      <c r="B1936" t="s">
        <v>46</v>
      </c>
      <c r="D1936" t="s">
        <v>46</v>
      </c>
      <c r="J1936">
        <v>70</v>
      </c>
      <c r="K1936">
        <v>70</v>
      </c>
      <c r="Q1936" t="s">
        <v>1380</v>
      </c>
    </row>
    <row r="1937" spans="1:18" x14ac:dyDescent="0.25">
      <c r="A1937" t="s">
        <v>1984</v>
      </c>
      <c r="B1937" t="s">
        <v>77</v>
      </c>
      <c r="D1937" t="s">
        <v>77</v>
      </c>
      <c r="J1937">
        <v>56</v>
      </c>
      <c r="K1937">
        <v>56</v>
      </c>
      <c r="R1937" t="s">
        <v>106</v>
      </c>
    </row>
    <row r="1938" spans="1:18" x14ac:dyDescent="0.25">
      <c r="A1938" t="s">
        <v>1985</v>
      </c>
      <c r="B1938" t="s">
        <v>77</v>
      </c>
      <c r="D1938" t="s">
        <v>77</v>
      </c>
      <c r="J1938">
        <v>70</v>
      </c>
      <c r="K1938">
        <v>70</v>
      </c>
      <c r="Q1938" t="s">
        <v>1380</v>
      </c>
    </row>
    <row r="1939" spans="1:18" hidden="1" x14ac:dyDescent="0.25">
      <c r="A1939" t="s">
        <v>1986</v>
      </c>
      <c r="B1939" t="s">
        <v>173</v>
      </c>
    </row>
    <row r="1940" spans="1:18" hidden="1" x14ac:dyDescent="0.25">
      <c r="A1940" t="s">
        <v>1987</v>
      </c>
    </row>
    <row r="1941" spans="1:18" hidden="1" x14ac:dyDescent="0.25">
      <c r="A1941" t="s">
        <v>1988</v>
      </c>
      <c r="B1941" t="s">
        <v>341</v>
      </c>
    </row>
    <row r="1942" spans="1:18" hidden="1" x14ac:dyDescent="0.25">
      <c r="A1942" t="s">
        <v>1989</v>
      </c>
      <c r="B1942" t="s">
        <v>341</v>
      </c>
    </row>
    <row r="1943" spans="1:18" hidden="1" x14ac:dyDescent="0.25">
      <c r="A1943" t="s">
        <v>1990</v>
      </c>
      <c r="B1943" t="s">
        <v>341</v>
      </c>
    </row>
    <row r="1944" spans="1:18" x14ac:dyDescent="0.25">
      <c r="A1944" t="s">
        <v>1991</v>
      </c>
      <c r="B1944" t="s">
        <v>77</v>
      </c>
      <c r="D1944" t="s">
        <v>77</v>
      </c>
      <c r="J1944">
        <v>52.5</v>
      </c>
      <c r="K1944">
        <v>52.5</v>
      </c>
    </row>
    <row r="1945" spans="1:18" x14ac:dyDescent="0.25">
      <c r="A1945" t="s">
        <v>1992</v>
      </c>
      <c r="B1945" t="s">
        <v>46</v>
      </c>
      <c r="D1945" t="s">
        <v>46</v>
      </c>
      <c r="J1945">
        <v>52.5</v>
      </c>
      <c r="K1945">
        <v>52.5</v>
      </c>
    </row>
    <row r="1946" spans="1:18" hidden="1" x14ac:dyDescent="0.25">
      <c r="A1946" t="s">
        <v>1139</v>
      </c>
      <c r="B1946" t="s">
        <v>173</v>
      </c>
    </row>
    <row r="1947" spans="1:18" hidden="1" x14ac:dyDescent="0.25">
      <c r="A1947" t="s">
        <v>1497</v>
      </c>
      <c r="B1947" t="s">
        <v>173</v>
      </c>
    </row>
    <row r="1948" spans="1:18" x14ac:dyDescent="0.25">
      <c r="A1948" t="s">
        <v>1993</v>
      </c>
      <c r="B1948" t="s">
        <v>20</v>
      </c>
      <c r="D1948" t="s">
        <v>20</v>
      </c>
      <c r="E1948">
        <v>1</v>
      </c>
      <c r="Q1948" t="s">
        <v>1994</v>
      </c>
    </row>
    <row r="1949" spans="1:18" x14ac:dyDescent="0.25">
      <c r="A1949" t="s">
        <v>1995</v>
      </c>
      <c r="B1949" t="s">
        <v>77</v>
      </c>
      <c r="D1949" t="s">
        <v>77</v>
      </c>
      <c r="E1949">
        <v>1</v>
      </c>
      <c r="Q1949" t="s">
        <v>1994</v>
      </c>
    </row>
    <row r="1950" spans="1:18" x14ac:dyDescent="0.25">
      <c r="A1950" t="s">
        <v>1996</v>
      </c>
      <c r="B1950" t="s">
        <v>77</v>
      </c>
      <c r="D1950" t="s">
        <v>77</v>
      </c>
      <c r="L1950" t="s">
        <v>350</v>
      </c>
      <c r="Q1950" t="s">
        <v>1161</v>
      </c>
    </row>
    <row r="1951" spans="1:18" x14ac:dyDescent="0.25">
      <c r="A1951" t="s">
        <v>1997</v>
      </c>
      <c r="B1951" t="s">
        <v>46</v>
      </c>
      <c r="D1951" t="s">
        <v>45</v>
      </c>
      <c r="Q1951" t="s">
        <v>1998</v>
      </c>
    </row>
    <row r="1952" spans="1:18" x14ac:dyDescent="0.25">
      <c r="A1952" t="s">
        <v>1999</v>
      </c>
      <c r="B1952" t="s">
        <v>46</v>
      </c>
      <c r="D1952" t="s">
        <v>45</v>
      </c>
      <c r="E1952">
        <v>2</v>
      </c>
    </row>
    <row r="1953" spans="1:19" x14ac:dyDescent="0.25">
      <c r="A1953" t="s">
        <v>2000</v>
      </c>
      <c r="B1953" t="s">
        <v>46</v>
      </c>
      <c r="D1953" t="s">
        <v>45</v>
      </c>
      <c r="E1953">
        <v>3</v>
      </c>
    </row>
    <row r="1954" spans="1:19" x14ac:dyDescent="0.25">
      <c r="A1954" t="s">
        <v>2001</v>
      </c>
      <c r="B1954" t="s">
        <v>77</v>
      </c>
      <c r="C1954" t="s">
        <v>83</v>
      </c>
      <c r="D1954" t="s">
        <v>77</v>
      </c>
      <c r="J1954">
        <v>60</v>
      </c>
      <c r="K1954">
        <v>60</v>
      </c>
      <c r="R1954" t="s">
        <v>108</v>
      </c>
    </row>
    <row r="1955" spans="1:19" x14ac:dyDescent="0.25">
      <c r="A1955" t="s">
        <v>2002</v>
      </c>
      <c r="B1955" t="s">
        <v>77</v>
      </c>
      <c r="D1955" t="s">
        <v>77</v>
      </c>
      <c r="J1955">
        <v>60</v>
      </c>
      <c r="K1955">
        <v>60</v>
      </c>
      <c r="Q1955" t="s">
        <v>2003</v>
      </c>
      <c r="S1955" t="s">
        <v>294</v>
      </c>
    </row>
    <row r="1956" spans="1:19" x14ac:dyDescent="0.25">
      <c r="A1956" t="s">
        <v>2004</v>
      </c>
      <c r="B1956" t="s">
        <v>77</v>
      </c>
      <c r="C1956" t="s">
        <v>85</v>
      </c>
      <c r="D1956" t="s">
        <v>77</v>
      </c>
    </row>
    <row r="1957" spans="1:19" x14ac:dyDescent="0.25">
      <c r="A1957" t="s">
        <v>2005</v>
      </c>
      <c r="B1957" t="s">
        <v>46</v>
      </c>
      <c r="C1957" t="s">
        <v>83</v>
      </c>
      <c r="D1957" t="s">
        <v>46</v>
      </c>
    </row>
    <row r="1958" spans="1:19" x14ac:dyDescent="0.25">
      <c r="A1958" t="s">
        <v>2006</v>
      </c>
      <c r="B1958" t="s">
        <v>20</v>
      </c>
      <c r="D1958" t="s">
        <v>20</v>
      </c>
      <c r="F1958" t="s">
        <v>2007</v>
      </c>
    </row>
    <row r="1959" spans="1:19" hidden="1" x14ac:dyDescent="0.25">
      <c r="A1959" t="s">
        <v>2008</v>
      </c>
    </row>
    <row r="1960" spans="1:19" hidden="1" x14ac:dyDescent="0.25">
      <c r="A1960" t="s">
        <v>2009</v>
      </c>
    </row>
    <row r="1961" spans="1:19" hidden="1" x14ac:dyDescent="0.25">
      <c r="A1961" t="s">
        <v>2010</v>
      </c>
      <c r="B1961" t="s">
        <v>341</v>
      </c>
    </row>
    <row r="1962" spans="1:19" hidden="1" x14ac:dyDescent="0.25">
      <c r="A1962" t="s">
        <v>2011</v>
      </c>
      <c r="B1962" t="s">
        <v>87</v>
      </c>
    </row>
    <row r="1963" spans="1:19" hidden="1" x14ac:dyDescent="0.25">
      <c r="A1963" t="s">
        <v>2012</v>
      </c>
      <c r="B1963" t="s">
        <v>173</v>
      </c>
    </row>
    <row r="1964" spans="1:19" x14ac:dyDescent="0.25">
      <c r="A1964" t="s">
        <v>2013</v>
      </c>
      <c r="B1964" t="s">
        <v>173</v>
      </c>
      <c r="D1964" t="s">
        <v>77</v>
      </c>
      <c r="I1964" t="s">
        <v>858</v>
      </c>
    </row>
    <row r="1965" spans="1:19" x14ac:dyDescent="0.25">
      <c r="A1965" t="s">
        <v>2014</v>
      </c>
      <c r="B1965" t="s">
        <v>173</v>
      </c>
      <c r="D1965" t="s">
        <v>77</v>
      </c>
      <c r="I1965" t="s">
        <v>858</v>
      </c>
      <c r="Q1965" t="s">
        <v>2015</v>
      </c>
    </row>
    <row r="1966" spans="1:19" x14ac:dyDescent="0.25">
      <c r="A1966" t="s">
        <v>2016</v>
      </c>
      <c r="B1966" t="s">
        <v>173</v>
      </c>
      <c r="D1966" t="s">
        <v>46</v>
      </c>
      <c r="I1966" t="s">
        <v>858</v>
      </c>
      <c r="Q1966" t="s">
        <v>2015</v>
      </c>
    </row>
    <row r="1967" spans="1:19" x14ac:dyDescent="0.25">
      <c r="A1967" t="s">
        <v>2017</v>
      </c>
      <c r="B1967" t="s">
        <v>77</v>
      </c>
      <c r="D1967" t="s">
        <v>77</v>
      </c>
      <c r="Q1967" t="s">
        <v>1380</v>
      </c>
    </row>
    <row r="1968" spans="1:19" x14ac:dyDescent="0.25">
      <c r="A1968" t="s">
        <v>2018</v>
      </c>
      <c r="B1968" t="s">
        <v>46</v>
      </c>
      <c r="D1968" t="s">
        <v>46</v>
      </c>
      <c r="Q1968" t="s">
        <v>1380</v>
      </c>
    </row>
    <row r="1969" spans="1:17" hidden="1" x14ac:dyDescent="0.25">
      <c r="A1969" t="s">
        <v>2019</v>
      </c>
      <c r="B1969" t="s">
        <v>16</v>
      </c>
    </row>
    <row r="1970" spans="1:17" hidden="1" x14ac:dyDescent="0.25">
      <c r="A1970" t="s">
        <v>2020</v>
      </c>
      <c r="B1970" t="s">
        <v>16</v>
      </c>
    </row>
    <row r="1971" spans="1:17" hidden="1" x14ac:dyDescent="0.25">
      <c r="A1971" t="s">
        <v>2021</v>
      </c>
      <c r="B1971" t="s">
        <v>173</v>
      </c>
    </row>
    <row r="1972" spans="1:17" x14ac:dyDescent="0.25">
      <c r="A1972" t="s">
        <v>2022</v>
      </c>
      <c r="B1972" t="s">
        <v>173</v>
      </c>
      <c r="D1972" t="s">
        <v>77</v>
      </c>
      <c r="Q1972" t="s">
        <v>83</v>
      </c>
    </row>
    <row r="1973" spans="1:17" x14ac:dyDescent="0.25">
      <c r="A1973" t="s">
        <v>2023</v>
      </c>
      <c r="B1973" t="s">
        <v>77</v>
      </c>
      <c r="D1973" t="s">
        <v>77</v>
      </c>
      <c r="J1973" t="s">
        <v>2024</v>
      </c>
      <c r="K1973">
        <v>60</v>
      </c>
    </row>
    <row r="1974" spans="1:17" x14ac:dyDescent="0.25">
      <c r="A1974" t="s">
        <v>2025</v>
      </c>
      <c r="B1974" t="s">
        <v>20</v>
      </c>
      <c r="D1974" t="s">
        <v>44</v>
      </c>
      <c r="J1974" t="s">
        <v>2024</v>
      </c>
      <c r="K1974">
        <v>60</v>
      </c>
    </row>
    <row r="1975" spans="1:17" x14ac:dyDescent="0.25">
      <c r="A1975" t="s">
        <v>2026</v>
      </c>
      <c r="B1975" t="s">
        <v>46</v>
      </c>
      <c r="C1975" t="s">
        <v>1159</v>
      </c>
      <c r="D1975" t="s">
        <v>45</v>
      </c>
      <c r="J1975">
        <v>50</v>
      </c>
      <c r="K1975">
        <v>50</v>
      </c>
    </row>
    <row r="1976" spans="1:17" x14ac:dyDescent="0.25">
      <c r="A1976" t="s">
        <v>2027</v>
      </c>
      <c r="B1976" t="s">
        <v>46</v>
      </c>
      <c r="C1976" t="s">
        <v>1159</v>
      </c>
      <c r="D1976" t="s">
        <v>45</v>
      </c>
      <c r="J1976">
        <v>60</v>
      </c>
      <c r="K1976">
        <v>60</v>
      </c>
    </row>
    <row r="1977" spans="1:17" hidden="1" x14ac:dyDescent="0.25">
      <c r="A1977" t="s">
        <v>2028</v>
      </c>
      <c r="B1977" t="s">
        <v>341</v>
      </c>
    </row>
    <row r="1978" spans="1:17" hidden="1" x14ac:dyDescent="0.25">
      <c r="A1978" t="s">
        <v>1054</v>
      </c>
      <c r="B1978" t="s">
        <v>46</v>
      </c>
    </row>
    <row r="1979" spans="1:17" hidden="1" x14ac:dyDescent="0.25">
      <c r="A1979" t="s">
        <v>1055</v>
      </c>
      <c r="B1979" t="s">
        <v>46</v>
      </c>
    </row>
    <row r="1980" spans="1:17" x14ac:dyDescent="0.25">
      <c r="A1980" t="s">
        <v>2029</v>
      </c>
      <c r="B1980" t="s">
        <v>16</v>
      </c>
      <c r="D1980" t="s">
        <v>46</v>
      </c>
      <c r="I1980" t="s">
        <v>858</v>
      </c>
      <c r="Q1980" t="s">
        <v>859</v>
      </c>
    </row>
    <row r="1981" spans="1:17" hidden="1" x14ac:dyDescent="0.25">
      <c r="A1981" t="s">
        <v>2030</v>
      </c>
      <c r="B1981" t="s">
        <v>16</v>
      </c>
    </row>
    <row r="1982" spans="1:17" x14ac:dyDescent="0.25">
      <c r="A1982" t="s">
        <v>2031</v>
      </c>
      <c r="B1982" t="s">
        <v>173</v>
      </c>
      <c r="D1982" t="s">
        <v>77</v>
      </c>
      <c r="I1982" t="s">
        <v>858</v>
      </c>
      <c r="Q1982" t="s">
        <v>859</v>
      </c>
    </row>
    <row r="1983" spans="1:17" hidden="1" x14ac:dyDescent="0.25">
      <c r="A1983" t="s">
        <v>2032</v>
      </c>
      <c r="B1983" t="s">
        <v>87</v>
      </c>
    </row>
    <row r="1984" spans="1:17" x14ac:dyDescent="0.25">
      <c r="A1984" t="s">
        <v>389</v>
      </c>
      <c r="B1984" t="s">
        <v>173</v>
      </c>
      <c r="D1984" t="s">
        <v>46</v>
      </c>
      <c r="J1984">
        <v>48</v>
      </c>
      <c r="K1984">
        <v>48</v>
      </c>
    </row>
    <row r="1985" spans="1:18" x14ac:dyDescent="0.25">
      <c r="A1985" t="s">
        <v>391</v>
      </c>
      <c r="B1985" t="s">
        <v>173</v>
      </c>
      <c r="D1985" t="s">
        <v>77</v>
      </c>
      <c r="J1985">
        <v>48</v>
      </c>
      <c r="K1985">
        <v>48</v>
      </c>
    </row>
    <row r="1986" spans="1:18" hidden="1" x14ac:dyDescent="0.25">
      <c r="A1986" t="s">
        <v>2033</v>
      </c>
      <c r="B1986" t="s">
        <v>173</v>
      </c>
    </row>
    <row r="1987" spans="1:18" x14ac:dyDescent="0.25">
      <c r="A1987" t="s">
        <v>2034</v>
      </c>
      <c r="B1987" t="s">
        <v>46</v>
      </c>
      <c r="D1987" t="s">
        <v>46</v>
      </c>
      <c r="E1987">
        <v>1</v>
      </c>
      <c r="J1987" t="s">
        <v>612</v>
      </c>
      <c r="K1987">
        <v>21</v>
      </c>
    </row>
    <row r="1988" spans="1:18" x14ac:dyDescent="0.25">
      <c r="A1988" t="s">
        <v>2035</v>
      </c>
      <c r="B1988" t="s">
        <v>20</v>
      </c>
      <c r="D1988" t="s">
        <v>20</v>
      </c>
      <c r="E1988">
        <v>1</v>
      </c>
      <c r="J1988" t="s">
        <v>612</v>
      </c>
      <c r="K1988">
        <v>21</v>
      </c>
    </row>
    <row r="1989" spans="1:18" x14ac:dyDescent="0.25">
      <c r="A1989" t="s">
        <v>2036</v>
      </c>
      <c r="B1989" t="s">
        <v>46</v>
      </c>
      <c r="D1989" t="s">
        <v>46</v>
      </c>
      <c r="E1989">
        <v>2</v>
      </c>
      <c r="J1989" t="s">
        <v>490</v>
      </c>
      <c r="K1989">
        <v>24</v>
      </c>
    </row>
    <row r="1990" spans="1:18" hidden="1" x14ac:dyDescent="0.25">
      <c r="A1990" t="s">
        <v>2037</v>
      </c>
      <c r="B1990" t="s">
        <v>341</v>
      </c>
    </row>
    <row r="1991" spans="1:18" x14ac:dyDescent="0.25">
      <c r="A1991" t="s">
        <v>877</v>
      </c>
      <c r="B1991" t="s">
        <v>87</v>
      </c>
      <c r="C1991" t="s">
        <v>85</v>
      </c>
      <c r="D1991" t="s">
        <v>77</v>
      </c>
      <c r="R1991" t="s">
        <v>878</v>
      </c>
    </row>
    <row r="1992" spans="1:18" x14ac:dyDescent="0.25">
      <c r="A1992" t="s">
        <v>2038</v>
      </c>
      <c r="B1992" t="s">
        <v>46</v>
      </c>
      <c r="D1992" t="s">
        <v>45</v>
      </c>
      <c r="R1992" t="s">
        <v>873</v>
      </c>
    </row>
    <row r="1993" spans="1:18" hidden="1" x14ac:dyDescent="0.25">
      <c r="A1993" t="s">
        <v>2039</v>
      </c>
      <c r="B1993" t="s">
        <v>173</v>
      </c>
    </row>
    <row r="1994" spans="1:18" x14ac:dyDescent="0.25">
      <c r="A1994" t="s">
        <v>2040</v>
      </c>
      <c r="B1994" t="s">
        <v>173</v>
      </c>
      <c r="D1994" t="s">
        <v>20</v>
      </c>
      <c r="I1994" t="s">
        <v>858</v>
      </c>
    </row>
    <row r="1995" spans="1:18" x14ac:dyDescent="0.25">
      <c r="A1995" t="s">
        <v>2041</v>
      </c>
      <c r="B1995" t="s">
        <v>77</v>
      </c>
      <c r="D1995" t="s">
        <v>77</v>
      </c>
      <c r="J1995" t="s">
        <v>2042</v>
      </c>
      <c r="K1995">
        <v>66</v>
      </c>
    </row>
    <row r="1996" spans="1:18" x14ac:dyDescent="0.25">
      <c r="A1996" t="s">
        <v>2043</v>
      </c>
      <c r="B1996" t="s">
        <v>46</v>
      </c>
      <c r="D1996" t="s">
        <v>46</v>
      </c>
      <c r="J1996" t="s">
        <v>2042</v>
      </c>
      <c r="K1996">
        <v>66</v>
      </c>
    </row>
    <row r="1997" spans="1:18" hidden="1" x14ac:dyDescent="0.25">
      <c r="A1997" t="s">
        <v>1412</v>
      </c>
      <c r="B1997" t="s">
        <v>341</v>
      </c>
    </row>
    <row r="1998" spans="1:18" hidden="1" x14ac:dyDescent="0.25">
      <c r="A1998" t="s">
        <v>2044</v>
      </c>
      <c r="B1998" t="s">
        <v>87</v>
      </c>
    </row>
    <row r="1999" spans="1:18" hidden="1" x14ac:dyDescent="0.25">
      <c r="A1999" t="s">
        <v>2045</v>
      </c>
      <c r="B1999" t="s">
        <v>87</v>
      </c>
    </row>
    <row r="2000" spans="1:18" hidden="1" x14ac:dyDescent="0.25">
      <c r="A2000" t="s">
        <v>2046</v>
      </c>
      <c r="B2000" t="s">
        <v>87</v>
      </c>
    </row>
    <row r="2001" spans="1:12" hidden="1" x14ac:dyDescent="0.25">
      <c r="A2001" t="s">
        <v>2047</v>
      </c>
      <c r="B2001" t="s">
        <v>173</v>
      </c>
    </row>
    <row r="2002" spans="1:12" hidden="1" x14ac:dyDescent="0.25">
      <c r="A2002" t="s">
        <v>2048</v>
      </c>
      <c r="B2002" t="s">
        <v>173</v>
      </c>
    </row>
    <row r="2003" spans="1:12" hidden="1" x14ac:dyDescent="0.25">
      <c r="A2003" t="s">
        <v>2049</v>
      </c>
    </row>
    <row r="2004" spans="1:12" x14ac:dyDescent="0.25">
      <c r="A2004" t="s">
        <v>2050</v>
      </c>
      <c r="B2004" t="s">
        <v>77</v>
      </c>
      <c r="D2004" t="s">
        <v>77</v>
      </c>
      <c r="E2004">
        <v>4</v>
      </c>
    </row>
    <row r="2005" spans="1:12" x14ac:dyDescent="0.25">
      <c r="A2005" t="s">
        <v>2051</v>
      </c>
      <c r="B2005" t="s">
        <v>77</v>
      </c>
      <c r="C2005" t="s">
        <v>85</v>
      </c>
      <c r="D2005" t="s">
        <v>77</v>
      </c>
      <c r="E2005">
        <v>4</v>
      </c>
      <c r="J2005" t="s">
        <v>560</v>
      </c>
      <c r="K2005">
        <v>18</v>
      </c>
    </row>
    <row r="2006" spans="1:12" x14ac:dyDescent="0.25">
      <c r="A2006" t="s">
        <v>2052</v>
      </c>
      <c r="B2006" t="s">
        <v>20</v>
      </c>
      <c r="D2006" t="s">
        <v>20</v>
      </c>
      <c r="E2006">
        <v>4</v>
      </c>
    </row>
    <row r="2007" spans="1:12" x14ac:dyDescent="0.25">
      <c r="A2007" t="s">
        <v>2053</v>
      </c>
      <c r="B2007" t="s">
        <v>77</v>
      </c>
      <c r="D2007" t="s">
        <v>77</v>
      </c>
      <c r="E2007">
        <v>3</v>
      </c>
    </row>
    <row r="2008" spans="1:12" x14ac:dyDescent="0.25">
      <c r="A2008" t="s">
        <v>2054</v>
      </c>
      <c r="B2008" t="s">
        <v>20</v>
      </c>
      <c r="D2008" t="s">
        <v>20</v>
      </c>
      <c r="E2008">
        <v>1</v>
      </c>
      <c r="J2008" t="s">
        <v>560</v>
      </c>
      <c r="K2008">
        <v>18</v>
      </c>
    </row>
    <row r="2009" spans="1:12" x14ac:dyDescent="0.25">
      <c r="A2009" t="s">
        <v>2055</v>
      </c>
      <c r="B2009" t="s">
        <v>20</v>
      </c>
      <c r="D2009" t="s">
        <v>20</v>
      </c>
      <c r="E2009">
        <v>2</v>
      </c>
      <c r="J2009" t="s">
        <v>560</v>
      </c>
      <c r="K2009">
        <v>18</v>
      </c>
    </row>
    <row r="2010" spans="1:12" x14ac:dyDescent="0.25">
      <c r="A2010" t="s">
        <v>2056</v>
      </c>
      <c r="B2010" t="s">
        <v>20</v>
      </c>
      <c r="D2010" t="s">
        <v>20</v>
      </c>
      <c r="E2010">
        <v>4</v>
      </c>
      <c r="J2010" t="s">
        <v>560</v>
      </c>
      <c r="K2010">
        <v>18</v>
      </c>
    </row>
    <row r="2011" spans="1:12" x14ac:dyDescent="0.25">
      <c r="A2011" t="s">
        <v>2057</v>
      </c>
      <c r="B2011" t="s">
        <v>173</v>
      </c>
      <c r="D2011" t="s">
        <v>77</v>
      </c>
      <c r="L2011" t="s">
        <v>1261</v>
      </c>
    </row>
    <row r="2012" spans="1:12" x14ac:dyDescent="0.25">
      <c r="A2012" t="s">
        <v>2058</v>
      </c>
      <c r="B2012" t="s">
        <v>46</v>
      </c>
      <c r="D2012" t="s">
        <v>46</v>
      </c>
      <c r="J2012">
        <v>30</v>
      </c>
      <c r="K2012">
        <v>30</v>
      </c>
    </row>
    <row r="2013" spans="1:12" x14ac:dyDescent="0.25">
      <c r="A2013" t="s">
        <v>2059</v>
      </c>
      <c r="B2013" t="s">
        <v>77</v>
      </c>
      <c r="D2013" t="s">
        <v>77</v>
      </c>
      <c r="J2013">
        <v>36</v>
      </c>
      <c r="K2013">
        <v>36</v>
      </c>
    </row>
    <row r="2014" spans="1:12" x14ac:dyDescent="0.25">
      <c r="A2014" t="s">
        <v>2060</v>
      </c>
      <c r="B2014" t="s">
        <v>173</v>
      </c>
      <c r="D2014" t="s">
        <v>46</v>
      </c>
      <c r="J2014">
        <v>36</v>
      </c>
      <c r="K2014">
        <v>36</v>
      </c>
    </row>
    <row r="2015" spans="1:12" x14ac:dyDescent="0.25">
      <c r="A2015" t="s">
        <v>2061</v>
      </c>
      <c r="B2015" t="s">
        <v>173</v>
      </c>
      <c r="D2015" t="s">
        <v>46</v>
      </c>
      <c r="J2015">
        <v>40</v>
      </c>
      <c r="K2015">
        <v>40</v>
      </c>
    </row>
    <row r="2016" spans="1:12" x14ac:dyDescent="0.25">
      <c r="A2016" t="s">
        <v>2062</v>
      </c>
      <c r="B2016" t="s">
        <v>173</v>
      </c>
      <c r="D2016" t="s">
        <v>77</v>
      </c>
      <c r="J2016">
        <v>40</v>
      </c>
      <c r="K2016">
        <v>40</v>
      </c>
    </row>
    <row r="2017" spans="1:18" x14ac:dyDescent="0.25">
      <c r="A2017" t="s">
        <v>2063</v>
      </c>
      <c r="B2017" t="s">
        <v>77</v>
      </c>
      <c r="D2017" t="s">
        <v>77</v>
      </c>
      <c r="J2017">
        <v>30</v>
      </c>
      <c r="K2017">
        <v>30</v>
      </c>
    </row>
    <row r="2018" spans="1:18" x14ac:dyDescent="0.25">
      <c r="A2018" t="s">
        <v>2064</v>
      </c>
      <c r="B2018" t="s">
        <v>46</v>
      </c>
      <c r="C2018" t="s">
        <v>83</v>
      </c>
      <c r="D2018" t="s">
        <v>46</v>
      </c>
      <c r="J2018">
        <v>66</v>
      </c>
      <c r="K2018">
        <v>66</v>
      </c>
    </row>
    <row r="2019" spans="1:18" hidden="1" x14ac:dyDescent="0.25">
      <c r="A2019" t="s">
        <v>2065</v>
      </c>
      <c r="B2019" t="s">
        <v>341</v>
      </c>
    </row>
    <row r="2020" spans="1:18" hidden="1" x14ac:dyDescent="0.25">
      <c r="A2020" t="s">
        <v>2066</v>
      </c>
      <c r="B2020" t="s">
        <v>341</v>
      </c>
    </row>
    <row r="2021" spans="1:18" hidden="1" x14ac:dyDescent="0.25">
      <c r="A2021" t="s">
        <v>2067</v>
      </c>
      <c r="B2021" t="s">
        <v>87</v>
      </c>
    </row>
    <row r="2022" spans="1:18" x14ac:dyDescent="0.25">
      <c r="A2022" t="s">
        <v>2068</v>
      </c>
      <c r="B2022" t="s">
        <v>77</v>
      </c>
      <c r="C2022" t="s">
        <v>85</v>
      </c>
      <c r="D2022" t="s">
        <v>77</v>
      </c>
      <c r="R2022" t="s">
        <v>106</v>
      </c>
    </row>
    <row r="2023" spans="1:18" x14ac:dyDescent="0.25">
      <c r="A2023" t="s">
        <v>2069</v>
      </c>
      <c r="B2023" t="s">
        <v>77</v>
      </c>
      <c r="D2023" t="s">
        <v>77</v>
      </c>
      <c r="R2023" t="s">
        <v>106</v>
      </c>
    </row>
    <row r="2024" spans="1:18" hidden="1" x14ac:dyDescent="0.25">
      <c r="A2024" t="s">
        <v>2070</v>
      </c>
      <c r="B2024" t="s">
        <v>16</v>
      </c>
    </row>
    <row r="2025" spans="1:18" x14ac:dyDescent="0.25">
      <c r="A2025" t="s">
        <v>2071</v>
      </c>
      <c r="B2025" t="s">
        <v>46</v>
      </c>
      <c r="D2025" t="s">
        <v>46</v>
      </c>
      <c r="F2025" t="s">
        <v>175</v>
      </c>
    </row>
    <row r="2026" spans="1:18" x14ac:dyDescent="0.25">
      <c r="A2026" t="s">
        <v>2072</v>
      </c>
      <c r="B2026" t="s">
        <v>20</v>
      </c>
      <c r="D2026" t="s">
        <v>20</v>
      </c>
      <c r="F2026" t="s">
        <v>175</v>
      </c>
    </row>
    <row r="2027" spans="1:18" x14ac:dyDescent="0.25">
      <c r="A2027" t="s">
        <v>2073</v>
      </c>
      <c r="B2027" t="s">
        <v>77</v>
      </c>
      <c r="D2027" t="s">
        <v>77</v>
      </c>
      <c r="F2027" t="s">
        <v>175</v>
      </c>
    </row>
    <row r="2028" spans="1:18" hidden="1" x14ac:dyDescent="0.25">
      <c r="A2028" t="s">
        <v>2074</v>
      </c>
      <c r="B2028" t="s">
        <v>77</v>
      </c>
    </row>
    <row r="2029" spans="1:18" hidden="1" x14ac:dyDescent="0.25">
      <c r="A2029" t="s">
        <v>2075</v>
      </c>
      <c r="B2029" t="s">
        <v>77</v>
      </c>
    </row>
    <row r="2030" spans="1:18" x14ac:dyDescent="0.25">
      <c r="A2030" t="s">
        <v>2076</v>
      </c>
      <c r="B2030" t="s">
        <v>77</v>
      </c>
      <c r="C2030" t="s">
        <v>85</v>
      </c>
      <c r="D2030" t="s">
        <v>77</v>
      </c>
      <c r="F2030" t="s">
        <v>175</v>
      </c>
    </row>
    <row r="2031" spans="1:18" hidden="1" x14ac:dyDescent="0.25">
      <c r="A2031" t="s">
        <v>2077</v>
      </c>
      <c r="B2031" t="s">
        <v>87</v>
      </c>
    </row>
    <row r="2032" spans="1:18" hidden="1" x14ac:dyDescent="0.25">
      <c r="A2032" t="s">
        <v>2078</v>
      </c>
      <c r="B2032" t="s">
        <v>87</v>
      </c>
    </row>
    <row r="2033" spans="1:11" hidden="1" x14ac:dyDescent="0.25">
      <c r="A2033" t="s">
        <v>2079</v>
      </c>
      <c r="B2033" t="s">
        <v>173</v>
      </c>
    </row>
    <row r="2034" spans="1:11" x14ac:dyDescent="0.25">
      <c r="A2034" t="s">
        <v>2080</v>
      </c>
      <c r="B2034" t="s">
        <v>77</v>
      </c>
      <c r="D2034" t="s">
        <v>77</v>
      </c>
      <c r="J2034" t="s">
        <v>2081</v>
      </c>
      <c r="K2034">
        <v>36</v>
      </c>
    </row>
    <row r="2035" spans="1:11" x14ac:dyDescent="0.25">
      <c r="A2035" t="s">
        <v>2082</v>
      </c>
      <c r="B2035" t="s">
        <v>46</v>
      </c>
      <c r="D2035" t="s">
        <v>46</v>
      </c>
      <c r="J2035" t="s">
        <v>2081</v>
      </c>
      <c r="K2035">
        <v>36</v>
      </c>
    </row>
    <row r="2036" spans="1:11" hidden="1" x14ac:dyDescent="0.25">
      <c r="A2036" t="s">
        <v>2083</v>
      </c>
      <c r="B2036" t="s">
        <v>16</v>
      </c>
    </row>
    <row r="2037" spans="1:11" hidden="1" x14ac:dyDescent="0.25">
      <c r="A2037" t="s">
        <v>2084</v>
      </c>
      <c r="B2037" t="s">
        <v>16</v>
      </c>
    </row>
    <row r="2038" spans="1:11" hidden="1" x14ac:dyDescent="0.25">
      <c r="A2038" t="s">
        <v>2085</v>
      </c>
      <c r="B2038" t="s">
        <v>173</v>
      </c>
    </row>
    <row r="2039" spans="1:11" hidden="1" x14ac:dyDescent="0.25">
      <c r="A2039" t="s">
        <v>92</v>
      </c>
      <c r="B2039" t="s">
        <v>173</v>
      </c>
    </row>
    <row r="2040" spans="1:11" hidden="1" x14ac:dyDescent="0.25">
      <c r="A2040" t="s">
        <v>2086</v>
      </c>
      <c r="B2040" t="s">
        <v>87</v>
      </c>
    </row>
    <row r="2041" spans="1:11" hidden="1" x14ac:dyDescent="0.25">
      <c r="A2041" t="s">
        <v>2087</v>
      </c>
      <c r="B2041" t="s">
        <v>87</v>
      </c>
    </row>
    <row r="2042" spans="1:11" hidden="1" x14ac:dyDescent="0.25">
      <c r="A2042" t="s">
        <v>2088</v>
      </c>
      <c r="B2042" t="s">
        <v>16</v>
      </c>
    </row>
    <row r="2043" spans="1:11" hidden="1" x14ac:dyDescent="0.25">
      <c r="A2043" t="s">
        <v>2089</v>
      </c>
      <c r="B2043" t="s">
        <v>16</v>
      </c>
    </row>
    <row r="2044" spans="1:11" hidden="1" x14ac:dyDescent="0.25">
      <c r="A2044" t="s">
        <v>2090</v>
      </c>
      <c r="B2044" t="s">
        <v>87</v>
      </c>
    </row>
    <row r="2045" spans="1:11" hidden="1" x14ac:dyDescent="0.25">
      <c r="A2045" t="s">
        <v>2091</v>
      </c>
      <c r="B2045" t="s">
        <v>87</v>
      </c>
    </row>
    <row r="2046" spans="1:11" hidden="1" x14ac:dyDescent="0.25">
      <c r="A2046" t="s">
        <v>2092</v>
      </c>
      <c r="B2046" t="s">
        <v>87</v>
      </c>
    </row>
    <row r="2047" spans="1:11" hidden="1" x14ac:dyDescent="0.25">
      <c r="A2047" t="s">
        <v>2093</v>
      </c>
      <c r="B2047" t="s">
        <v>16</v>
      </c>
    </row>
    <row r="2048" spans="1:11" hidden="1" x14ac:dyDescent="0.25">
      <c r="A2048" t="s">
        <v>2094</v>
      </c>
      <c r="B2048" t="s">
        <v>16</v>
      </c>
    </row>
    <row r="2049" spans="1:17" hidden="1" x14ac:dyDescent="0.25">
      <c r="A2049" t="s">
        <v>2095</v>
      </c>
      <c r="B2049" t="s">
        <v>16</v>
      </c>
    </row>
    <row r="2050" spans="1:17" x14ac:dyDescent="0.25">
      <c r="A2050" t="s">
        <v>2096</v>
      </c>
      <c r="B2050" t="s">
        <v>20</v>
      </c>
      <c r="D2050" t="s">
        <v>20</v>
      </c>
      <c r="E2050">
        <v>1</v>
      </c>
      <c r="Q2050" t="s">
        <v>41</v>
      </c>
    </row>
    <row r="2051" spans="1:17" hidden="1" x14ac:dyDescent="0.25">
      <c r="A2051" t="s">
        <v>2097</v>
      </c>
      <c r="B2051" t="s">
        <v>173</v>
      </c>
    </row>
    <row r="2052" spans="1:17" x14ac:dyDescent="0.25">
      <c r="A2052" t="s">
        <v>1162</v>
      </c>
      <c r="B2052" t="s">
        <v>173</v>
      </c>
      <c r="D2052" t="s">
        <v>20</v>
      </c>
      <c r="I2052" t="s">
        <v>79</v>
      </c>
      <c r="Q2052" t="s">
        <v>1038</v>
      </c>
    </row>
    <row r="2053" spans="1:17" hidden="1" x14ac:dyDescent="0.25">
      <c r="A2053" t="s">
        <v>2098</v>
      </c>
      <c r="B2053" t="s">
        <v>95</v>
      </c>
    </row>
    <row r="2054" spans="1:17" hidden="1" x14ac:dyDescent="0.25">
      <c r="A2054" t="s">
        <v>2099</v>
      </c>
      <c r="B2054" t="s">
        <v>341</v>
      </c>
    </row>
    <row r="2055" spans="1:17" hidden="1" x14ac:dyDescent="0.25">
      <c r="A2055" t="s">
        <v>2100</v>
      </c>
      <c r="B2055" t="s">
        <v>341</v>
      </c>
    </row>
    <row r="2056" spans="1:17" hidden="1" x14ac:dyDescent="0.25">
      <c r="A2056" t="s">
        <v>2101</v>
      </c>
      <c r="B2056" t="s">
        <v>95</v>
      </c>
    </row>
    <row r="2057" spans="1:17" hidden="1" x14ac:dyDescent="0.25">
      <c r="A2057" t="s">
        <v>2102</v>
      </c>
      <c r="B2057" t="s">
        <v>341</v>
      </c>
    </row>
    <row r="2058" spans="1:17" hidden="1" x14ac:dyDescent="0.25">
      <c r="A2058" t="s">
        <v>2103</v>
      </c>
      <c r="B2058" t="s">
        <v>341</v>
      </c>
    </row>
    <row r="2059" spans="1:17" hidden="1" x14ac:dyDescent="0.25">
      <c r="A2059" t="s">
        <v>2104</v>
      </c>
      <c r="B2059" t="s">
        <v>341</v>
      </c>
    </row>
    <row r="2060" spans="1:17" hidden="1" x14ac:dyDescent="0.25">
      <c r="A2060" t="s">
        <v>445</v>
      </c>
      <c r="B2060" t="s">
        <v>173</v>
      </c>
    </row>
    <row r="2061" spans="1:17" x14ac:dyDescent="0.25">
      <c r="A2061" t="s">
        <v>2105</v>
      </c>
      <c r="B2061" t="s">
        <v>77</v>
      </c>
      <c r="C2061" t="s">
        <v>83</v>
      </c>
      <c r="D2061" t="s">
        <v>77</v>
      </c>
      <c r="I2061" t="s">
        <v>235</v>
      </c>
      <c r="Q2061" t="s">
        <v>2106</v>
      </c>
    </row>
    <row r="2062" spans="1:17" hidden="1" x14ac:dyDescent="0.25">
      <c r="A2062" t="s">
        <v>2107</v>
      </c>
    </row>
    <row r="2063" spans="1:17" hidden="1" x14ac:dyDescent="0.25">
      <c r="A2063" t="s">
        <v>2108</v>
      </c>
    </row>
    <row r="2064" spans="1:17" hidden="1" x14ac:dyDescent="0.25">
      <c r="A2064" t="s">
        <v>2109</v>
      </c>
    </row>
    <row r="2065" spans="1:19" hidden="1" x14ac:dyDescent="0.25">
      <c r="A2065" t="s">
        <v>119</v>
      </c>
      <c r="B2065" t="s">
        <v>46</v>
      </c>
    </row>
    <row r="2066" spans="1:19" x14ac:dyDescent="0.25">
      <c r="A2066" t="s">
        <v>1196</v>
      </c>
      <c r="B2066" t="s">
        <v>214</v>
      </c>
      <c r="D2066" t="s">
        <v>46</v>
      </c>
      <c r="J2066">
        <v>50</v>
      </c>
      <c r="K2066">
        <v>50</v>
      </c>
    </row>
    <row r="2067" spans="1:19" x14ac:dyDescent="0.25">
      <c r="A2067" t="s">
        <v>1003</v>
      </c>
      <c r="B2067" t="s">
        <v>173</v>
      </c>
      <c r="D2067" t="s">
        <v>77</v>
      </c>
      <c r="J2067">
        <v>66</v>
      </c>
      <c r="K2067">
        <v>66</v>
      </c>
    </row>
    <row r="2068" spans="1:19" x14ac:dyDescent="0.25">
      <c r="A2068" t="s">
        <v>1493</v>
      </c>
      <c r="B2068" t="s">
        <v>173</v>
      </c>
      <c r="D2068" t="s">
        <v>77</v>
      </c>
      <c r="J2068">
        <v>60</v>
      </c>
      <c r="K2068">
        <v>60</v>
      </c>
    </row>
    <row r="2069" spans="1:19" x14ac:dyDescent="0.25">
      <c r="A2069" t="s">
        <v>1007</v>
      </c>
      <c r="B2069" t="s">
        <v>173</v>
      </c>
      <c r="D2069" t="s">
        <v>46</v>
      </c>
      <c r="J2069">
        <v>66</v>
      </c>
      <c r="K2069">
        <v>66</v>
      </c>
    </row>
    <row r="2070" spans="1:19" x14ac:dyDescent="0.25">
      <c r="A2070" t="s">
        <v>2110</v>
      </c>
      <c r="B2070" t="s">
        <v>77</v>
      </c>
      <c r="C2070" t="s">
        <v>85</v>
      </c>
      <c r="D2070" t="s">
        <v>77</v>
      </c>
      <c r="J2070">
        <v>66</v>
      </c>
      <c r="K2070">
        <v>66</v>
      </c>
    </row>
    <row r="2071" spans="1:19" x14ac:dyDescent="0.25">
      <c r="A2071" t="s">
        <v>2111</v>
      </c>
      <c r="B2071" t="s">
        <v>77</v>
      </c>
      <c r="D2071" t="s">
        <v>77</v>
      </c>
      <c r="Q2071" t="s">
        <v>83</v>
      </c>
    </row>
    <row r="2072" spans="1:19" x14ac:dyDescent="0.25">
      <c r="A2072" t="s">
        <v>2112</v>
      </c>
      <c r="B2072" t="s">
        <v>77</v>
      </c>
      <c r="D2072" t="s">
        <v>77</v>
      </c>
      <c r="Q2072" t="s">
        <v>83</v>
      </c>
    </row>
    <row r="2073" spans="1:19" x14ac:dyDescent="0.25">
      <c r="A2073" t="s">
        <v>2113</v>
      </c>
      <c r="B2073" t="s">
        <v>77</v>
      </c>
      <c r="D2073" t="s">
        <v>77</v>
      </c>
      <c r="Q2073" t="s">
        <v>83</v>
      </c>
    </row>
    <row r="2074" spans="1:19" x14ac:dyDescent="0.25">
      <c r="A2074" t="s">
        <v>2114</v>
      </c>
      <c r="B2074" t="s">
        <v>77</v>
      </c>
      <c r="D2074" t="s">
        <v>77</v>
      </c>
      <c r="Q2074" t="s">
        <v>83</v>
      </c>
      <c r="S2074" t="s">
        <v>1642</v>
      </c>
    </row>
    <row r="2075" spans="1:19" x14ac:dyDescent="0.25">
      <c r="A2075" t="s">
        <v>2115</v>
      </c>
      <c r="B2075" t="s">
        <v>77</v>
      </c>
      <c r="C2075" t="s">
        <v>85</v>
      </c>
      <c r="D2075" t="s">
        <v>77</v>
      </c>
      <c r="J2075">
        <v>50</v>
      </c>
      <c r="K2075">
        <v>50</v>
      </c>
    </row>
    <row r="2076" spans="1:19" hidden="1" x14ac:dyDescent="0.25">
      <c r="A2076" t="s">
        <v>2116</v>
      </c>
      <c r="B2076" t="s">
        <v>87</v>
      </c>
    </row>
    <row r="2077" spans="1:19" x14ac:dyDescent="0.25">
      <c r="A2077" t="s">
        <v>2117</v>
      </c>
      <c r="B2077" t="s">
        <v>77</v>
      </c>
      <c r="C2077" t="s">
        <v>85</v>
      </c>
      <c r="D2077" t="s">
        <v>77</v>
      </c>
      <c r="J2077">
        <v>60</v>
      </c>
      <c r="K2077">
        <v>60</v>
      </c>
      <c r="S2077" t="s">
        <v>290</v>
      </c>
    </row>
    <row r="2078" spans="1:19" x14ac:dyDescent="0.25">
      <c r="A2078" t="s">
        <v>2118</v>
      </c>
      <c r="B2078" t="s">
        <v>77</v>
      </c>
      <c r="C2078" t="s">
        <v>85</v>
      </c>
      <c r="D2078" t="s">
        <v>77</v>
      </c>
      <c r="J2078">
        <v>60</v>
      </c>
      <c r="K2078">
        <v>60</v>
      </c>
      <c r="S2078" t="s">
        <v>292</v>
      </c>
    </row>
    <row r="2079" spans="1:19" x14ac:dyDescent="0.25">
      <c r="A2079" t="s">
        <v>2119</v>
      </c>
      <c r="B2079" t="s">
        <v>46</v>
      </c>
      <c r="C2079" t="s">
        <v>85</v>
      </c>
      <c r="D2079" t="s">
        <v>46</v>
      </c>
      <c r="J2079">
        <v>60</v>
      </c>
      <c r="K2079">
        <v>60</v>
      </c>
    </row>
    <row r="2080" spans="1:19" x14ac:dyDescent="0.25">
      <c r="A2080" t="s">
        <v>2120</v>
      </c>
      <c r="B2080" t="s">
        <v>20</v>
      </c>
      <c r="D2080" t="s">
        <v>20</v>
      </c>
      <c r="P2080" t="s">
        <v>172</v>
      </c>
    </row>
    <row r="2081" spans="1:18" x14ac:dyDescent="0.25">
      <c r="A2081" t="s">
        <v>1755</v>
      </c>
      <c r="B2081" t="s">
        <v>48</v>
      </c>
      <c r="C2081" t="s">
        <v>83</v>
      </c>
      <c r="D2081" t="s">
        <v>46</v>
      </c>
      <c r="J2081">
        <v>54</v>
      </c>
      <c r="K2081">
        <v>54</v>
      </c>
    </row>
    <row r="2082" spans="1:18" hidden="1" x14ac:dyDescent="0.25">
      <c r="A2082" t="s">
        <v>2121</v>
      </c>
      <c r="B2082" t="s">
        <v>341</v>
      </c>
    </row>
    <row r="2083" spans="1:18" hidden="1" x14ac:dyDescent="0.25">
      <c r="A2083" t="s">
        <v>2122</v>
      </c>
      <c r="B2083" t="s">
        <v>87</v>
      </c>
    </row>
    <row r="2084" spans="1:18" hidden="1" x14ac:dyDescent="0.25">
      <c r="A2084" t="s">
        <v>2123</v>
      </c>
      <c r="B2084" t="s">
        <v>341</v>
      </c>
    </row>
    <row r="2085" spans="1:18" hidden="1" x14ac:dyDescent="0.25">
      <c r="A2085" t="s">
        <v>2124</v>
      </c>
      <c r="B2085" t="s">
        <v>341</v>
      </c>
    </row>
    <row r="2086" spans="1:18" hidden="1" x14ac:dyDescent="0.25">
      <c r="A2086" t="s">
        <v>2125</v>
      </c>
      <c r="B2086" t="s">
        <v>341</v>
      </c>
    </row>
    <row r="2087" spans="1:18" x14ac:dyDescent="0.25">
      <c r="A2087" t="s">
        <v>2126</v>
      </c>
      <c r="B2087" t="s">
        <v>48</v>
      </c>
      <c r="D2087" t="s">
        <v>48</v>
      </c>
      <c r="R2087" t="s">
        <v>108</v>
      </c>
    </row>
    <row r="2088" spans="1:18" x14ac:dyDescent="0.25">
      <c r="A2088" t="s">
        <v>2127</v>
      </c>
      <c r="B2088" t="s">
        <v>48</v>
      </c>
      <c r="D2088" t="s">
        <v>48</v>
      </c>
      <c r="R2088" t="s">
        <v>106</v>
      </c>
    </row>
    <row r="2089" spans="1:18" x14ac:dyDescent="0.25">
      <c r="A2089" t="s">
        <v>2128</v>
      </c>
      <c r="B2089" t="s">
        <v>16</v>
      </c>
      <c r="D2089" t="s">
        <v>137</v>
      </c>
      <c r="E2089">
        <v>2</v>
      </c>
    </row>
    <row r="2090" spans="1:18" hidden="1" x14ac:dyDescent="0.25">
      <c r="A2090" t="s">
        <v>2129</v>
      </c>
      <c r="B2090" t="s">
        <v>173</v>
      </c>
    </row>
    <row r="2091" spans="1:18" hidden="1" x14ac:dyDescent="0.25">
      <c r="A2091" t="s">
        <v>2130</v>
      </c>
      <c r="B2091" t="s">
        <v>341</v>
      </c>
    </row>
    <row r="2092" spans="1:18" hidden="1" x14ac:dyDescent="0.25">
      <c r="A2092" t="s">
        <v>2131</v>
      </c>
      <c r="B2092" t="s">
        <v>87</v>
      </c>
    </row>
    <row r="2093" spans="1:18" hidden="1" x14ac:dyDescent="0.25">
      <c r="A2093" t="s">
        <v>2132</v>
      </c>
      <c r="B2093" t="s">
        <v>341</v>
      </c>
    </row>
    <row r="2094" spans="1:18" hidden="1" x14ac:dyDescent="0.25">
      <c r="A2094" t="s">
        <v>2133</v>
      </c>
      <c r="B2094" t="s">
        <v>87</v>
      </c>
    </row>
    <row r="2095" spans="1:18" hidden="1" x14ac:dyDescent="0.25">
      <c r="A2095" t="s">
        <v>2134</v>
      </c>
      <c r="B2095" t="s">
        <v>16</v>
      </c>
    </row>
    <row r="2096" spans="1:18" x14ac:dyDescent="0.25">
      <c r="A2096" t="s">
        <v>103</v>
      </c>
      <c r="B2096" t="s">
        <v>20</v>
      </c>
      <c r="C2096" t="s">
        <v>85</v>
      </c>
      <c r="D2096" t="s">
        <v>77</v>
      </c>
      <c r="J2096">
        <v>66</v>
      </c>
      <c r="K2096">
        <v>66</v>
      </c>
    </row>
    <row r="2097" spans="1:19" x14ac:dyDescent="0.25">
      <c r="A2097" t="s">
        <v>2135</v>
      </c>
      <c r="B2097" t="s">
        <v>77</v>
      </c>
      <c r="D2097" t="s">
        <v>77</v>
      </c>
      <c r="J2097" t="s">
        <v>1238</v>
      </c>
      <c r="K2097">
        <v>18</v>
      </c>
    </row>
    <row r="2098" spans="1:19" x14ac:dyDescent="0.25">
      <c r="A2098" t="s">
        <v>2136</v>
      </c>
      <c r="B2098" t="s">
        <v>20</v>
      </c>
      <c r="D2098" t="s">
        <v>20</v>
      </c>
      <c r="J2098" t="s">
        <v>1238</v>
      </c>
      <c r="K2098">
        <v>18</v>
      </c>
    </row>
    <row r="2099" spans="1:19" x14ac:dyDescent="0.25">
      <c r="A2099" t="s">
        <v>2137</v>
      </c>
      <c r="B2099" t="s">
        <v>173</v>
      </c>
      <c r="D2099" t="s">
        <v>77</v>
      </c>
      <c r="Q2099" t="s">
        <v>83</v>
      </c>
    </row>
    <row r="2100" spans="1:19" hidden="1" x14ac:dyDescent="0.25">
      <c r="A2100" t="s">
        <v>2138</v>
      </c>
      <c r="B2100" t="s">
        <v>173</v>
      </c>
    </row>
    <row r="2101" spans="1:19" hidden="1" x14ac:dyDescent="0.25">
      <c r="A2101" t="s">
        <v>665</v>
      </c>
      <c r="B2101" t="s">
        <v>20</v>
      </c>
    </row>
    <row r="2102" spans="1:19" hidden="1" x14ac:dyDescent="0.25">
      <c r="A2102" t="s">
        <v>2139</v>
      </c>
      <c r="B2102" t="s">
        <v>341</v>
      </c>
    </row>
    <row r="2103" spans="1:19" x14ac:dyDescent="0.25">
      <c r="A2103" t="s">
        <v>234</v>
      </c>
      <c r="B2103" t="s">
        <v>48</v>
      </c>
      <c r="D2103" t="s">
        <v>46</v>
      </c>
      <c r="I2103" t="s">
        <v>235</v>
      </c>
    </row>
    <row r="2104" spans="1:19" x14ac:dyDescent="0.25">
      <c r="A2104" t="s">
        <v>2140</v>
      </c>
      <c r="B2104" t="s">
        <v>20</v>
      </c>
      <c r="D2104" t="s">
        <v>137</v>
      </c>
      <c r="Q2104" t="s">
        <v>2141</v>
      </c>
    </row>
    <row r="2105" spans="1:19" x14ac:dyDescent="0.25">
      <c r="A2105" t="s">
        <v>2142</v>
      </c>
      <c r="B2105" t="s">
        <v>46</v>
      </c>
      <c r="D2105" t="s">
        <v>46</v>
      </c>
      <c r="I2105" t="s">
        <v>137</v>
      </c>
      <c r="Q2105" t="s">
        <v>2141</v>
      </c>
    </row>
    <row r="2106" spans="1:19" x14ac:dyDescent="0.25">
      <c r="A2106" t="s">
        <v>2143</v>
      </c>
      <c r="B2106" t="s">
        <v>77</v>
      </c>
      <c r="D2106" t="s">
        <v>77</v>
      </c>
      <c r="I2106" t="s">
        <v>137</v>
      </c>
      <c r="Q2106" t="s">
        <v>2141</v>
      </c>
    </row>
    <row r="2107" spans="1:19" x14ac:dyDescent="0.25">
      <c r="A2107" t="s">
        <v>2144</v>
      </c>
      <c r="B2107" t="s">
        <v>77</v>
      </c>
      <c r="D2107" t="s">
        <v>77</v>
      </c>
      <c r="Q2107" t="s">
        <v>83</v>
      </c>
      <c r="S2107" t="s">
        <v>1136</v>
      </c>
    </row>
    <row r="2108" spans="1:19" x14ac:dyDescent="0.25">
      <c r="A2108" t="s">
        <v>2145</v>
      </c>
      <c r="B2108" t="s">
        <v>20</v>
      </c>
      <c r="D2108" t="s">
        <v>137</v>
      </c>
      <c r="R2108" t="s">
        <v>873</v>
      </c>
      <c r="S2108" t="s">
        <v>1136</v>
      </c>
    </row>
    <row r="2109" spans="1:19" x14ac:dyDescent="0.25">
      <c r="A2109" t="s">
        <v>2146</v>
      </c>
      <c r="B2109" t="s">
        <v>46</v>
      </c>
      <c r="D2109" t="s">
        <v>46</v>
      </c>
      <c r="Q2109" t="s">
        <v>2147</v>
      </c>
    </row>
    <row r="2110" spans="1:19" x14ac:dyDescent="0.25">
      <c r="A2110" t="s">
        <v>2148</v>
      </c>
      <c r="B2110" t="s">
        <v>77</v>
      </c>
      <c r="D2110" t="s">
        <v>77</v>
      </c>
      <c r="Q2110" t="s">
        <v>2149</v>
      </c>
    </row>
    <row r="2111" spans="1:19" x14ac:dyDescent="0.25">
      <c r="A2111" t="s">
        <v>2150</v>
      </c>
      <c r="B2111" t="s">
        <v>77</v>
      </c>
      <c r="D2111" t="s">
        <v>77</v>
      </c>
      <c r="Q2111" t="s">
        <v>83</v>
      </c>
    </row>
    <row r="2112" spans="1:19" x14ac:dyDescent="0.25">
      <c r="A2112" t="s">
        <v>2151</v>
      </c>
      <c r="B2112" t="s">
        <v>77</v>
      </c>
      <c r="D2112" t="s">
        <v>77</v>
      </c>
      <c r="Q2112" t="s">
        <v>83</v>
      </c>
    </row>
    <row r="2113" spans="1:18" x14ac:dyDescent="0.25">
      <c r="A2113" t="s">
        <v>2152</v>
      </c>
      <c r="B2113" t="s">
        <v>77</v>
      </c>
      <c r="D2113" t="s">
        <v>77</v>
      </c>
      <c r="I2113" t="s">
        <v>137</v>
      </c>
      <c r="R2113" t="s">
        <v>873</v>
      </c>
    </row>
    <row r="2114" spans="1:18" x14ac:dyDescent="0.25">
      <c r="A2114" t="s">
        <v>2153</v>
      </c>
      <c r="B2114" t="s">
        <v>46</v>
      </c>
      <c r="D2114" t="s">
        <v>46</v>
      </c>
      <c r="I2114" t="s">
        <v>137</v>
      </c>
      <c r="R2114" t="s">
        <v>873</v>
      </c>
    </row>
    <row r="2115" spans="1:18" x14ac:dyDescent="0.25">
      <c r="A2115" t="s">
        <v>2154</v>
      </c>
      <c r="B2115" t="s">
        <v>20</v>
      </c>
      <c r="D2115" t="s">
        <v>137</v>
      </c>
      <c r="R2115" t="s">
        <v>873</v>
      </c>
    </row>
    <row r="2116" spans="1:18" x14ac:dyDescent="0.25">
      <c r="A2116" t="s">
        <v>2155</v>
      </c>
      <c r="B2116" t="s">
        <v>20</v>
      </c>
      <c r="D2116" t="s">
        <v>137</v>
      </c>
      <c r="R2116" t="s">
        <v>878</v>
      </c>
    </row>
    <row r="2117" spans="1:18" hidden="1" x14ac:dyDescent="0.25">
      <c r="A2117" t="s">
        <v>2156</v>
      </c>
      <c r="B2117" t="s">
        <v>77</v>
      </c>
    </row>
    <row r="2118" spans="1:18" hidden="1" x14ac:dyDescent="0.25">
      <c r="A2118" t="s">
        <v>2157</v>
      </c>
      <c r="B2118" t="s">
        <v>77</v>
      </c>
    </row>
    <row r="2119" spans="1:18" hidden="1" x14ac:dyDescent="0.25">
      <c r="A2119" t="s">
        <v>2158</v>
      </c>
      <c r="B2119" t="s">
        <v>173</v>
      </c>
    </row>
    <row r="2120" spans="1:18" hidden="1" x14ac:dyDescent="0.25">
      <c r="A2120" t="s">
        <v>2159</v>
      </c>
      <c r="B2120" t="s">
        <v>87</v>
      </c>
    </row>
    <row r="2121" spans="1:18" hidden="1" x14ac:dyDescent="0.25">
      <c r="A2121" t="s">
        <v>2160</v>
      </c>
      <c r="B2121" t="s">
        <v>341</v>
      </c>
    </row>
    <row r="2122" spans="1:18" hidden="1" x14ac:dyDescent="0.25">
      <c r="A2122" t="s">
        <v>2161</v>
      </c>
      <c r="B2122" t="s">
        <v>87</v>
      </c>
    </row>
    <row r="2123" spans="1:18" hidden="1" x14ac:dyDescent="0.25">
      <c r="A2123" t="s">
        <v>2162</v>
      </c>
      <c r="B2123" t="s">
        <v>87</v>
      </c>
    </row>
    <row r="2124" spans="1:18" hidden="1" x14ac:dyDescent="0.25">
      <c r="A2124" t="s">
        <v>2163</v>
      </c>
      <c r="B2124" t="s">
        <v>87</v>
      </c>
    </row>
    <row r="2125" spans="1:18" hidden="1" x14ac:dyDescent="0.25">
      <c r="A2125" t="s">
        <v>2164</v>
      </c>
      <c r="B2125" t="s">
        <v>87</v>
      </c>
    </row>
    <row r="2126" spans="1:18" hidden="1" x14ac:dyDescent="0.25">
      <c r="A2126" t="s">
        <v>2165</v>
      </c>
      <c r="B2126" t="s">
        <v>87</v>
      </c>
    </row>
    <row r="2127" spans="1:18" hidden="1" x14ac:dyDescent="0.25">
      <c r="A2127" t="s">
        <v>2166</v>
      </c>
      <c r="B2127" t="s">
        <v>341</v>
      </c>
    </row>
    <row r="2128" spans="1:18" hidden="1" x14ac:dyDescent="0.25">
      <c r="A2128" t="s">
        <v>2167</v>
      </c>
      <c r="B2128" t="s">
        <v>341</v>
      </c>
    </row>
    <row r="2129" spans="1:11" hidden="1" x14ac:dyDescent="0.25">
      <c r="A2129" t="s">
        <v>2168</v>
      </c>
      <c r="B2129" t="s">
        <v>87</v>
      </c>
    </row>
    <row r="2130" spans="1:11" hidden="1" x14ac:dyDescent="0.25">
      <c r="A2130" t="s">
        <v>2169</v>
      </c>
      <c r="B2130" t="s">
        <v>87</v>
      </c>
    </row>
    <row r="2131" spans="1:11" hidden="1" x14ac:dyDescent="0.25">
      <c r="A2131" t="s">
        <v>2170</v>
      </c>
      <c r="B2131" t="s">
        <v>87</v>
      </c>
    </row>
    <row r="2132" spans="1:11" hidden="1" x14ac:dyDescent="0.25">
      <c r="A2132" t="s">
        <v>2171</v>
      </c>
      <c r="B2132" t="s">
        <v>87</v>
      </c>
    </row>
    <row r="2133" spans="1:11" hidden="1" x14ac:dyDescent="0.25">
      <c r="A2133" t="s">
        <v>2172</v>
      </c>
      <c r="B2133" t="s">
        <v>173</v>
      </c>
    </row>
    <row r="2134" spans="1:11" hidden="1" x14ac:dyDescent="0.25">
      <c r="A2134" t="s">
        <v>2173</v>
      </c>
      <c r="B2134" t="s">
        <v>341</v>
      </c>
    </row>
    <row r="2135" spans="1:11" hidden="1" x14ac:dyDescent="0.25">
      <c r="A2135" t="s">
        <v>2174</v>
      </c>
      <c r="B2135" t="s">
        <v>87</v>
      </c>
    </row>
    <row r="2136" spans="1:11" x14ac:dyDescent="0.25">
      <c r="A2136" t="s">
        <v>1008</v>
      </c>
      <c r="B2136" t="s">
        <v>48</v>
      </c>
      <c r="D2136" t="s">
        <v>46</v>
      </c>
      <c r="J2136">
        <v>46</v>
      </c>
      <c r="K2136">
        <v>46</v>
      </c>
    </row>
    <row r="2137" spans="1:11" hidden="1" x14ac:dyDescent="0.25">
      <c r="A2137" t="s">
        <v>2175</v>
      </c>
      <c r="B2137" t="s">
        <v>173</v>
      </c>
    </row>
    <row r="2138" spans="1:11" hidden="1" x14ac:dyDescent="0.25">
      <c r="A2138" t="s">
        <v>2176</v>
      </c>
      <c r="B2138" t="s">
        <v>87</v>
      </c>
    </row>
    <row r="2139" spans="1:11" hidden="1" x14ac:dyDescent="0.25">
      <c r="A2139" t="s">
        <v>2177</v>
      </c>
      <c r="B2139" t="s">
        <v>87</v>
      </c>
    </row>
    <row r="2140" spans="1:11" x14ac:dyDescent="0.25">
      <c r="A2140" t="s">
        <v>2178</v>
      </c>
      <c r="B2140" t="s">
        <v>77</v>
      </c>
      <c r="D2140" t="s">
        <v>77</v>
      </c>
      <c r="E2140">
        <v>9</v>
      </c>
      <c r="J2140" t="s">
        <v>525</v>
      </c>
      <c r="K2140">
        <v>27</v>
      </c>
    </row>
    <row r="2141" spans="1:11" x14ac:dyDescent="0.25">
      <c r="A2141" t="s">
        <v>2179</v>
      </c>
      <c r="B2141" t="s">
        <v>77</v>
      </c>
      <c r="D2141" t="s">
        <v>77</v>
      </c>
      <c r="E2141">
        <v>8</v>
      </c>
      <c r="J2141" t="s">
        <v>684</v>
      </c>
      <c r="K2141">
        <v>24</v>
      </c>
    </row>
    <row r="2142" spans="1:11" x14ac:dyDescent="0.25">
      <c r="A2142" t="s">
        <v>2180</v>
      </c>
      <c r="B2142" t="s">
        <v>77</v>
      </c>
      <c r="D2142" t="s">
        <v>77</v>
      </c>
      <c r="E2142">
        <v>7</v>
      </c>
      <c r="J2142" t="s">
        <v>525</v>
      </c>
      <c r="K2142">
        <v>27</v>
      </c>
    </row>
    <row r="2143" spans="1:11" x14ac:dyDescent="0.25">
      <c r="A2143" t="s">
        <v>2181</v>
      </c>
      <c r="B2143" t="s">
        <v>77</v>
      </c>
      <c r="D2143" t="s">
        <v>77</v>
      </c>
      <c r="E2143">
        <v>6</v>
      </c>
      <c r="J2143" t="s">
        <v>684</v>
      </c>
      <c r="K2143">
        <v>24</v>
      </c>
    </row>
    <row r="2144" spans="1:11" x14ac:dyDescent="0.25">
      <c r="A2144" t="s">
        <v>2182</v>
      </c>
      <c r="B2144" t="s">
        <v>20</v>
      </c>
      <c r="D2144" t="s">
        <v>20</v>
      </c>
      <c r="E2144">
        <v>9</v>
      </c>
      <c r="J2144" t="s">
        <v>525</v>
      </c>
      <c r="K2144">
        <v>27</v>
      </c>
    </row>
    <row r="2145" spans="1:11" x14ac:dyDescent="0.25">
      <c r="A2145" t="s">
        <v>2183</v>
      </c>
      <c r="B2145" t="s">
        <v>20</v>
      </c>
      <c r="D2145" t="s">
        <v>20</v>
      </c>
      <c r="E2145">
        <v>8</v>
      </c>
      <c r="J2145" t="s">
        <v>684</v>
      </c>
      <c r="K2145">
        <v>24</v>
      </c>
    </row>
    <row r="2146" spans="1:11" x14ac:dyDescent="0.25">
      <c r="A2146" t="s">
        <v>2184</v>
      </c>
      <c r="B2146" t="s">
        <v>20</v>
      </c>
      <c r="D2146" t="s">
        <v>20</v>
      </c>
      <c r="E2146">
        <v>7</v>
      </c>
      <c r="J2146" t="s">
        <v>525</v>
      </c>
      <c r="K2146">
        <v>27</v>
      </c>
    </row>
    <row r="2147" spans="1:11" x14ac:dyDescent="0.25">
      <c r="A2147" t="s">
        <v>2185</v>
      </c>
      <c r="B2147" t="s">
        <v>20</v>
      </c>
      <c r="D2147" t="s">
        <v>20</v>
      </c>
      <c r="E2147">
        <v>6</v>
      </c>
      <c r="J2147" t="s">
        <v>684</v>
      </c>
      <c r="K2147">
        <v>24</v>
      </c>
    </row>
    <row r="2148" spans="1:11" x14ac:dyDescent="0.25">
      <c r="A2148" t="s">
        <v>2186</v>
      </c>
      <c r="B2148" t="s">
        <v>20</v>
      </c>
      <c r="D2148" t="s">
        <v>20</v>
      </c>
      <c r="E2148">
        <v>10</v>
      </c>
      <c r="J2148" t="s">
        <v>684</v>
      </c>
      <c r="K2148">
        <v>24</v>
      </c>
    </row>
    <row r="2149" spans="1:11" x14ac:dyDescent="0.25">
      <c r="A2149" t="s">
        <v>2187</v>
      </c>
      <c r="B2149" t="s">
        <v>77</v>
      </c>
      <c r="D2149" t="s">
        <v>77</v>
      </c>
      <c r="E2149">
        <v>10</v>
      </c>
      <c r="J2149" t="s">
        <v>684</v>
      </c>
      <c r="K2149">
        <v>24</v>
      </c>
    </row>
    <row r="2150" spans="1:11" hidden="1" x14ac:dyDescent="0.25">
      <c r="A2150" t="s">
        <v>2188</v>
      </c>
      <c r="B2150" t="s">
        <v>87</v>
      </c>
    </row>
    <row r="2151" spans="1:11" hidden="1" x14ac:dyDescent="0.25">
      <c r="A2151" t="s">
        <v>2189</v>
      </c>
      <c r="B2151" t="s">
        <v>173</v>
      </c>
    </row>
    <row r="2152" spans="1:11" hidden="1" x14ac:dyDescent="0.25">
      <c r="A2152" t="s">
        <v>2190</v>
      </c>
      <c r="B2152" t="s">
        <v>87</v>
      </c>
    </row>
    <row r="2153" spans="1:11" hidden="1" x14ac:dyDescent="0.25">
      <c r="A2153" t="s">
        <v>2191</v>
      </c>
      <c r="B2153" t="s">
        <v>87</v>
      </c>
    </row>
    <row r="2154" spans="1:11" hidden="1" x14ac:dyDescent="0.25">
      <c r="A2154" t="s">
        <v>2192</v>
      </c>
      <c r="B2154" t="s">
        <v>87</v>
      </c>
    </row>
    <row r="2155" spans="1:11" hidden="1" x14ac:dyDescent="0.25">
      <c r="A2155" t="s">
        <v>2193</v>
      </c>
      <c r="B2155" t="s">
        <v>341</v>
      </c>
    </row>
    <row r="2156" spans="1:11" hidden="1" x14ac:dyDescent="0.25">
      <c r="A2156" t="s">
        <v>2194</v>
      </c>
      <c r="B2156" t="s">
        <v>87</v>
      </c>
    </row>
    <row r="2157" spans="1:11" hidden="1" x14ac:dyDescent="0.25">
      <c r="A2157" t="s">
        <v>2195</v>
      </c>
      <c r="B2157" t="s">
        <v>341</v>
      </c>
    </row>
    <row r="2158" spans="1:11" hidden="1" x14ac:dyDescent="0.25">
      <c r="A2158" t="s">
        <v>2196</v>
      </c>
      <c r="B2158" t="s">
        <v>87</v>
      </c>
    </row>
    <row r="2159" spans="1:11" x14ac:dyDescent="0.25">
      <c r="A2159" t="s">
        <v>2197</v>
      </c>
      <c r="B2159" t="s">
        <v>20</v>
      </c>
      <c r="D2159" t="s">
        <v>44</v>
      </c>
      <c r="J2159" t="s">
        <v>2198</v>
      </c>
      <c r="K2159">
        <v>48</v>
      </c>
    </row>
    <row r="2160" spans="1:11" x14ac:dyDescent="0.25">
      <c r="A2160" t="s">
        <v>2199</v>
      </c>
      <c r="B2160" t="s">
        <v>77</v>
      </c>
      <c r="D2160" t="s">
        <v>77</v>
      </c>
      <c r="J2160" t="s">
        <v>2198</v>
      </c>
      <c r="K2160">
        <v>48</v>
      </c>
    </row>
    <row r="2161" spans="1:18" x14ac:dyDescent="0.25">
      <c r="A2161" t="s">
        <v>2200</v>
      </c>
      <c r="B2161" t="s">
        <v>77</v>
      </c>
      <c r="D2161" t="s">
        <v>77</v>
      </c>
      <c r="E2161">
        <v>1</v>
      </c>
      <c r="J2161" t="s">
        <v>2201</v>
      </c>
      <c r="K2161">
        <v>16</v>
      </c>
    </row>
    <row r="2162" spans="1:18" x14ac:dyDescent="0.25">
      <c r="A2162" t="s">
        <v>2202</v>
      </c>
      <c r="B2162" t="s">
        <v>20</v>
      </c>
      <c r="D2162" t="s">
        <v>20</v>
      </c>
      <c r="E2162">
        <v>1</v>
      </c>
      <c r="J2162" t="s">
        <v>2201</v>
      </c>
      <c r="K2162">
        <v>16</v>
      </c>
    </row>
    <row r="2163" spans="1:18" hidden="1" x14ac:dyDescent="0.25">
      <c r="A2163" t="s">
        <v>833</v>
      </c>
      <c r="B2163" t="s">
        <v>77</v>
      </c>
    </row>
    <row r="2164" spans="1:18" hidden="1" x14ac:dyDescent="0.25">
      <c r="A2164" t="s">
        <v>1166</v>
      </c>
      <c r="B2164" t="s">
        <v>341</v>
      </c>
    </row>
    <row r="2165" spans="1:18" x14ac:dyDescent="0.25">
      <c r="A2165" t="s">
        <v>2203</v>
      </c>
      <c r="B2165" t="s">
        <v>20</v>
      </c>
      <c r="D2165" t="s">
        <v>20</v>
      </c>
    </row>
    <row r="2166" spans="1:18" hidden="1" x14ac:dyDescent="0.25">
      <c r="A2166" t="s">
        <v>667</v>
      </c>
      <c r="B2166" t="s">
        <v>341</v>
      </c>
    </row>
    <row r="2167" spans="1:18" hidden="1" x14ac:dyDescent="0.25">
      <c r="A2167" t="s">
        <v>2204</v>
      </c>
      <c r="B2167" t="s">
        <v>16</v>
      </c>
    </row>
    <row r="2168" spans="1:18" hidden="1" x14ac:dyDescent="0.25">
      <c r="A2168" t="s">
        <v>2205</v>
      </c>
      <c r="B2168" t="s">
        <v>87</v>
      </c>
    </row>
    <row r="2169" spans="1:18" x14ac:dyDescent="0.25">
      <c r="A2169" t="s">
        <v>2206</v>
      </c>
      <c r="B2169" t="s">
        <v>77</v>
      </c>
      <c r="D2169" t="s">
        <v>77</v>
      </c>
      <c r="J2169">
        <v>70</v>
      </c>
      <c r="K2169">
        <v>70</v>
      </c>
      <c r="P2169" t="s">
        <v>605</v>
      </c>
    </row>
    <row r="2170" spans="1:18" x14ac:dyDescent="0.25">
      <c r="A2170" t="s">
        <v>2207</v>
      </c>
      <c r="B2170" t="s">
        <v>77</v>
      </c>
      <c r="D2170" t="s">
        <v>77</v>
      </c>
      <c r="I2170" t="s">
        <v>235</v>
      </c>
      <c r="J2170">
        <v>70</v>
      </c>
      <c r="K2170">
        <v>70</v>
      </c>
    </row>
    <row r="2171" spans="1:18" x14ac:dyDescent="0.25">
      <c r="A2171" t="s">
        <v>2208</v>
      </c>
      <c r="B2171" t="s">
        <v>46</v>
      </c>
      <c r="D2171" t="s">
        <v>46</v>
      </c>
      <c r="I2171" t="s">
        <v>79</v>
      </c>
      <c r="J2171">
        <v>63</v>
      </c>
      <c r="K2171">
        <v>63</v>
      </c>
    </row>
    <row r="2172" spans="1:18" x14ac:dyDescent="0.25">
      <c r="A2172" t="s">
        <v>2209</v>
      </c>
      <c r="B2172" t="s">
        <v>77</v>
      </c>
      <c r="D2172" t="s">
        <v>77</v>
      </c>
      <c r="I2172" t="s">
        <v>79</v>
      </c>
      <c r="J2172">
        <v>70</v>
      </c>
      <c r="K2172">
        <v>70</v>
      </c>
    </row>
    <row r="2173" spans="1:18" x14ac:dyDescent="0.25">
      <c r="A2173" t="s">
        <v>2210</v>
      </c>
      <c r="B2173" t="s">
        <v>77</v>
      </c>
      <c r="D2173" t="s">
        <v>77</v>
      </c>
      <c r="I2173" t="s">
        <v>79</v>
      </c>
      <c r="J2173">
        <v>63</v>
      </c>
      <c r="K2173">
        <v>63</v>
      </c>
    </row>
    <row r="2174" spans="1:18" x14ac:dyDescent="0.25">
      <c r="A2174" t="s">
        <v>2211</v>
      </c>
      <c r="B2174" t="s">
        <v>48</v>
      </c>
      <c r="D2174" t="s">
        <v>20</v>
      </c>
      <c r="I2174" t="s">
        <v>79</v>
      </c>
      <c r="J2174">
        <v>70</v>
      </c>
      <c r="K2174">
        <v>70</v>
      </c>
    </row>
    <row r="2175" spans="1:18" x14ac:dyDescent="0.25">
      <c r="A2175" t="s">
        <v>2212</v>
      </c>
      <c r="B2175" t="s">
        <v>46</v>
      </c>
      <c r="D2175" t="s">
        <v>46</v>
      </c>
      <c r="R2175" t="s">
        <v>106</v>
      </c>
    </row>
    <row r="2176" spans="1:18" x14ac:dyDescent="0.25">
      <c r="A2176" t="s">
        <v>2213</v>
      </c>
      <c r="B2176" t="s">
        <v>77</v>
      </c>
      <c r="D2176" t="s">
        <v>77</v>
      </c>
      <c r="R2176" t="s">
        <v>106</v>
      </c>
    </row>
    <row r="2177" spans="1:17" x14ac:dyDescent="0.25">
      <c r="A2177" t="s">
        <v>2214</v>
      </c>
      <c r="B2177" t="s">
        <v>20</v>
      </c>
      <c r="D2177" t="s">
        <v>20</v>
      </c>
      <c r="E2177">
        <v>8</v>
      </c>
      <c r="J2177" t="s">
        <v>448</v>
      </c>
      <c r="K2177">
        <v>27</v>
      </c>
    </row>
    <row r="2178" spans="1:17" x14ac:dyDescent="0.25">
      <c r="A2178" t="s">
        <v>2215</v>
      </c>
      <c r="B2178" t="s">
        <v>173</v>
      </c>
      <c r="D2178" t="s">
        <v>20</v>
      </c>
      <c r="Q2178" t="s">
        <v>2216</v>
      </c>
    </row>
    <row r="2179" spans="1:17" hidden="1" x14ac:dyDescent="0.25">
      <c r="A2179" t="s">
        <v>2217</v>
      </c>
      <c r="B2179" t="s">
        <v>173</v>
      </c>
    </row>
    <row r="2180" spans="1:17" x14ac:dyDescent="0.25">
      <c r="A2180" t="s">
        <v>2218</v>
      </c>
      <c r="B2180" t="s">
        <v>77</v>
      </c>
      <c r="D2180" t="s">
        <v>77</v>
      </c>
    </row>
    <row r="2181" spans="1:17" x14ac:dyDescent="0.25">
      <c r="A2181" t="s">
        <v>2219</v>
      </c>
      <c r="B2181" t="s">
        <v>77</v>
      </c>
      <c r="D2181" t="s">
        <v>77</v>
      </c>
      <c r="L2181" t="s">
        <v>211</v>
      </c>
    </row>
    <row r="2182" spans="1:17" hidden="1" x14ac:dyDescent="0.25">
      <c r="A2182" t="s">
        <v>2220</v>
      </c>
      <c r="B2182" t="s">
        <v>87</v>
      </c>
    </row>
    <row r="2183" spans="1:17" x14ac:dyDescent="0.25">
      <c r="A2183" t="s">
        <v>2221</v>
      </c>
      <c r="B2183" t="s">
        <v>77</v>
      </c>
      <c r="D2183" t="s">
        <v>77</v>
      </c>
      <c r="Q2183" t="s">
        <v>2222</v>
      </c>
    </row>
    <row r="2184" spans="1:17" x14ac:dyDescent="0.25">
      <c r="A2184" t="s">
        <v>2223</v>
      </c>
      <c r="B2184" t="s">
        <v>20</v>
      </c>
      <c r="D2184" t="s">
        <v>20</v>
      </c>
      <c r="Q2184" t="s">
        <v>2222</v>
      </c>
    </row>
    <row r="2185" spans="1:17" x14ac:dyDescent="0.25">
      <c r="A2185" t="s">
        <v>2224</v>
      </c>
      <c r="B2185" t="s">
        <v>46</v>
      </c>
      <c r="D2185" t="s">
        <v>46</v>
      </c>
      <c r="Q2185" t="s">
        <v>2222</v>
      </c>
    </row>
    <row r="2186" spans="1:17" hidden="1" x14ac:dyDescent="0.25">
      <c r="A2186" t="s">
        <v>2225</v>
      </c>
    </row>
    <row r="2187" spans="1:17" x14ac:dyDescent="0.25">
      <c r="A2187" t="s">
        <v>2226</v>
      </c>
      <c r="B2187" t="s">
        <v>46</v>
      </c>
      <c r="D2187" t="s">
        <v>46</v>
      </c>
      <c r="Q2187" t="s">
        <v>2227</v>
      </c>
    </row>
    <row r="2188" spans="1:17" x14ac:dyDescent="0.25">
      <c r="A2188" t="s">
        <v>2228</v>
      </c>
      <c r="B2188" t="s">
        <v>20</v>
      </c>
      <c r="D2188" t="s">
        <v>20</v>
      </c>
      <c r="Q2188" t="s">
        <v>2227</v>
      </c>
    </row>
    <row r="2189" spans="1:17" x14ac:dyDescent="0.25">
      <c r="A2189" t="s">
        <v>2229</v>
      </c>
      <c r="B2189" t="s">
        <v>77</v>
      </c>
      <c r="D2189" t="s">
        <v>77</v>
      </c>
      <c r="Q2189" t="s">
        <v>2227</v>
      </c>
    </row>
    <row r="2190" spans="1:17" hidden="1" x14ac:dyDescent="0.25">
      <c r="A2190" t="s">
        <v>2230</v>
      </c>
      <c r="B2190" t="s">
        <v>341</v>
      </c>
    </row>
    <row r="2191" spans="1:17" x14ac:dyDescent="0.25">
      <c r="A2191" t="s">
        <v>2231</v>
      </c>
      <c r="B2191" t="s">
        <v>77</v>
      </c>
      <c r="C2191" t="s">
        <v>85</v>
      </c>
      <c r="D2191" t="s">
        <v>77</v>
      </c>
      <c r="J2191">
        <v>45</v>
      </c>
      <c r="K2191">
        <v>45</v>
      </c>
    </row>
    <row r="2192" spans="1:17" hidden="1" x14ac:dyDescent="0.25">
      <c r="A2192" t="s">
        <v>667</v>
      </c>
      <c r="B2192" t="s">
        <v>173</v>
      </c>
    </row>
    <row r="2193" spans="1:19" hidden="1" x14ac:dyDescent="0.25">
      <c r="A2193" t="s">
        <v>2232</v>
      </c>
      <c r="B2193" t="s">
        <v>173</v>
      </c>
    </row>
    <row r="2194" spans="1:19" x14ac:dyDescent="0.25">
      <c r="A2194" t="s">
        <v>2233</v>
      </c>
      <c r="B2194" t="s">
        <v>20</v>
      </c>
      <c r="D2194" t="s">
        <v>20</v>
      </c>
      <c r="E2194">
        <v>8</v>
      </c>
      <c r="J2194" t="s">
        <v>525</v>
      </c>
      <c r="K2194">
        <v>27</v>
      </c>
    </row>
    <row r="2195" spans="1:19" x14ac:dyDescent="0.25">
      <c r="A2195" t="s">
        <v>2234</v>
      </c>
      <c r="B2195" t="s">
        <v>20</v>
      </c>
      <c r="D2195" t="s">
        <v>20</v>
      </c>
      <c r="E2195">
        <v>9</v>
      </c>
      <c r="J2195" t="s">
        <v>684</v>
      </c>
      <c r="K2195">
        <v>24</v>
      </c>
    </row>
    <row r="2196" spans="1:19" x14ac:dyDescent="0.25">
      <c r="A2196" t="s">
        <v>2235</v>
      </c>
      <c r="B2196" t="s">
        <v>77</v>
      </c>
      <c r="D2196" t="s">
        <v>77</v>
      </c>
      <c r="E2196">
        <v>8</v>
      </c>
      <c r="J2196" t="s">
        <v>525</v>
      </c>
      <c r="K2196">
        <v>27</v>
      </c>
    </row>
    <row r="2197" spans="1:19" x14ac:dyDescent="0.25">
      <c r="A2197" t="s">
        <v>2236</v>
      </c>
      <c r="B2197" t="s">
        <v>77</v>
      </c>
      <c r="D2197" t="s">
        <v>77</v>
      </c>
      <c r="E2197">
        <v>9</v>
      </c>
      <c r="J2197" t="s">
        <v>684</v>
      </c>
      <c r="K2197">
        <v>24</v>
      </c>
    </row>
    <row r="2198" spans="1:19" hidden="1" x14ac:dyDescent="0.25">
      <c r="A2198" t="s">
        <v>2237</v>
      </c>
      <c r="B2198" t="s">
        <v>341</v>
      </c>
    </row>
    <row r="2199" spans="1:19" hidden="1" x14ac:dyDescent="0.25">
      <c r="A2199" t="s">
        <v>2238</v>
      </c>
    </row>
    <row r="2200" spans="1:19" hidden="1" x14ac:dyDescent="0.25">
      <c r="A2200" t="s">
        <v>2239</v>
      </c>
    </row>
    <row r="2201" spans="1:19" hidden="1" x14ac:dyDescent="0.25">
      <c r="A2201" t="s">
        <v>2240</v>
      </c>
    </row>
    <row r="2202" spans="1:19" hidden="1" x14ac:dyDescent="0.25">
      <c r="A2202" t="s">
        <v>2241</v>
      </c>
      <c r="B2202" t="s">
        <v>173</v>
      </c>
    </row>
    <row r="2203" spans="1:19" hidden="1" x14ac:dyDescent="0.25">
      <c r="A2203" t="s">
        <v>2242</v>
      </c>
      <c r="B2203" t="s">
        <v>87</v>
      </c>
    </row>
    <row r="2204" spans="1:19" x14ac:dyDescent="0.25">
      <c r="A2204" t="s">
        <v>2243</v>
      </c>
      <c r="B2204" t="s">
        <v>173</v>
      </c>
      <c r="D2204" t="s">
        <v>77</v>
      </c>
      <c r="J2204" t="s">
        <v>1036</v>
      </c>
      <c r="K2204">
        <v>55</v>
      </c>
    </row>
    <row r="2205" spans="1:19" x14ac:dyDescent="0.25">
      <c r="A2205" t="s">
        <v>2244</v>
      </c>
      <c r="B2205" t="s">
        <v>173</v>
      </c>
      <c r="D2205" t="s">
        <v>46</v>
      </c>
      <c r="J2205" t="s">
        <v>1036</v>
      </c>
      <c r="K2205">
        <v>55</v>
      </c>
    </row>
    <row r="2206" spans="1:19" x14ac:dyDescent="0.25">
      <c r="A2206" t="s">
        <v>2245</v>
      </c>
      <c r="B2206" t="s">
        <v>77</v>
      </c>
      <c r="D2206" t="s">
        <v>77</v>
      </c>
      <c r="J2206" t="s">
        <v>2246</v>
      </c>
      <c r="K2206">
        <v>50</v>
      </c>
    </row>
    <row r="2207" spans="1:19" x14ac:dyDescent="0.25">
      <c r="A2207" t="s">
        <v>2247</v>
      </c>
      <c r="B2207" t="s">
        <v>77</v>
      </c>
      <c r="C2207" t="s">
        <v>85</v>
      </c>
      <c r="D2207" t="s">
        <v>77</v>
      </c>
      <c r="J2207">
        <v>50</v>
      </c>
      <c r="K2207">
        <v>50</v>
      </c>
      <c r="R2207" t="s">
        <v>108</v>
      </c>
      <c r="S2207" t="s">
        <v>292</v>
      </c>
    </row>
    <row r="2208" spans="1:19" x14ac:dyDescent="0.25">
      <c r="A2208" t="s">
        <v>2248</v>
      </c>
      <c r="B2208" t="s">
        <v>77</v>
      </c>
      <c r="C2208" t="s">
        <v>85</v>
      </c>
      <c r="D2208" t="s">
        <v>77</v>
      </c>
      <c r="J2208">
        <v>50</v>
      </c>
      <c r="K2208">
        <v>50</v>
      </c>
      <c r="R2208" t="s">
        <v>108</v>
      </c>
      <c r="S2208" t="s">
        <v>290</v>
      </c>
    </row>
    <row r="2209" spans="1:17" x14ac:dyDescent="0.25">
      <c r="A2209" t="s">
        <v>2249</v>
      </c>
      <c r="B2209" t="s">
        <v>46</v>
      </c>
      <c r="D2209" t="s">
        <v>46</v>
      </c>
      <c r="J2209" t="s">
        <v>2246</v>
      </c>
      <c r="K2209">
        <v>50</v>
      </c>
    </row>
    <row r="2210" spans="1:17" hidden="1" x14ac:dyDescent="0.25">
      <c r="A2210" t="s">
        <v>2250</v>
      </c>
      <c r="B2210" t="s">
        <v>341</v>
      </c>
    </row>
    <row r="2211" spans="1:17" hidden="1" x14ac:dyDescent="0.25">
      <c r="A2211" t="s">
        <v>2251</v>
      </c>
      <c r="B2211" t="s">
        <v>341</v>
      </c>
    </row>
    <row r="2212" spans="1:17" hidden="1" x14ac:dyDescent="0.25">
      <c r="A2212" t="s">
        <v>2252</v>
      </c>
      <c r="B2212" t="s">
        <v>341</v>
      </c>
    </row>
    <row r="2213" spans="1:17" x14ac:dyDescent="0.25">
      <c r="A2213" t="s">
        <v>2253</v>
      </c>
      <c r="B2213" t="s">
        <v>46</v>
      </c>
      <c r="C2213" t="s">
        <v>83</v>
      </c>
      <c r="D2213" t="s">
        <v>46</v>
      </c>
      <c r="Q2213" t="s">
        <v>2254</v>
      </c>
    </row>
    <row r="2214" spans="1:17" x14ac:dyDescent="0.25">
      <c r="A2214" t="s">
        <v>2255</v>
      </c>
      <c r="B2214" t="s">
        <v>77</v>
      </c>
      <c r="D2214" t="s">
        <v>46</v>
      </c>
      <c r="I2214" t="s">
        <v>190</v>
      </c>
      <c r="Q2214" t="s">
        <v>2256</v>
      </c>
    </row>
    <row r="2215" spans="1:17" hidden="1" x14ac:dyDescent="0.25">
      <c r="A2215" t="s">
        <v>2257</v>
      </c>
      <c r="B2215" t="s">
        <v>341</v>
      </c>
    </row>
    <row r="2216" spans="1:17" hidden="1" x14ac:dyDescent="0.25">
      <c r="A2216" t="s">
        <v>2258</v>
      </c>
      <c r="B2216" t="s">
        <v>341</v>
      </c>
    </row>
    <row r="2217" spans="1:17" hidden="1" x14ac:dyDescent="0.25">
      <c r="A2217" t="s">
        <v>2259</v>
      </c>
      <c r="B2217" t="s">
        <v>341</v>
      </c>
    </row>
    <row r="2218" spans="1:17" x14ac:dyDescent="0.25">
      <c r="A2218" t="s">
        <v>2260</v>
      </c>
      <c r="B2218" t="s">
        <v>77</v>
      </c>
      <c r="D2218" t="s">
        <v>77</v>
      </c>
      <c r="I2218" t="s">
        <v>858</v>
      </c>
    </row>
    <row r="2219" spans="1:17" x14ac:dyDescent="0.25">
      <c r="A2219" t="s">
        <v>2261</v>
      </c>
      <c r="B2219" t="s">
        <v>46</v>
      </c>
      <c r="D2219" t="s">
        <v>46</v>
      </c>
      <c r="I2219" t="s">
        <v>79</v>
      </c>
    </row>
    <row r="2220" spans="1:17" x14ac:dyDescent="0.25">
      <c r="A2220" t="s">
        <v>2262</v>
      </c>
      <c r="B2220" t="s">
        <v>48</v>
      </c>
      <c r="D2220" t="s">
        <v>46</v>
      </c>
      <c r="J2220" t="s">
        <v>2263</v>
      </c>
      <c r="K2220">
        <v>38</v>
      </c>
    </row>
    <row r="2221" spans="1:17" x14ac:dyDescent="0.25">
      <c r="A2221" t="s">
        <v>2264</v>
      </c>
      <c r="B2221" t="s">
        <v>77</v>
      </c>
      <c r="D2221" t="s">
        <v>77</v>
      </c>
      <c r="J2221" t="s">
        <v>2265</v>
      </c>
      <c r="K2221">
        <v>38</v>
      </c>
    </row>
    <row r="2222" spans="1:17" hidden="1" x14ac:dyDescent="0.25">
      <c r="A2222" t="s">
        <v>2266</v>
      </c>
      <c r="B2222" t="s">
        <v>16</v>
      </c>
    </row>
    <row r="2223" spans="1:17" hidden="1" x14ac:dyDescent="0.25">
      <c r="A2223" t="s">
        <v>1187</v>
      </c>
      <c r="B2223" t="s">
        <v>341</v>
      </c>
    </row>
    <row r="2224" spans="1:17" hidden="1" x14ac:dyDescent="0.25">
      <c r="A2224" t="s">
        <v>2267</v>
      </c>
      <c r="B2224" t="s">
        <v>341</v>
      </c>
    </row>
    <row r="2225" spans="1:17" hidden="1" x14ac:dyDescent="0.25">
      <c r="A2225" t="s">
        <v>2268</v>
      </c>
      <c r="B2225" t="s">
        <v>16</v>
      </c>
    </row>
    <row r="2226" spans="1:17" hidden="1" x14ac:dyDescent="0.25">
      <c r="A2226" t="s">
        <v>2269</v>
      </c>
      <c r="B2226" t="s">
        <v>16</v>
      </c>
    </row>
    <row r="2227" spans="1:17" x14ac:dyDescent="0.25">
      <c r="A2227" t="s">
        <v>2270</v>
      </c>
      <c r="B2227" t="s">
        <v>46</v>
      </c>
      <c r="D2227" t="s">
        <v>46</v>
      </c>
      <c r="J2227">
        <v>56</v>
      </c>
      <c r="K2227">
        <v>56</v>
      </c>
      <c r="Q2227" t="s">
        <v>1380</v>
      </c>
    </row>
    <row r="2228" spans="1:17" x14ac:dyDescent="0.25">
      <c r="A2228" t="s">
        <v>2271</v>
      </c>
      <c r="B2228" t="s">
        <v>77</v>
      </c>
      <c r="D2228" t="s">
        <v>77</v>
      </c>
      <c r="J2228">
        <v>56</v>
      </c>
      <c r="K2228">
        <v>56</v>
      </c>
      <c r="Q2228" t="s">
        <v>1380</v>
      </c>
    </row>
    <row r="2229" spans="1:17" x14ac:dyDescent="0.25">
      <c r="A2229" t="s">
        <v>2272</v>
      </c>
      <c r="B2229" t="s">
        <v>173</v>
      </c>
      <c r="D2229" t="s">
        <v>46</v>
      </c>
      <c r="J2229" t="s">
        <v>2273</v>
      </c>
      <c r="K2229">
        <v>56</v>
      </c>
      <c r="Q2229" t="s">
        <v>2274</v>
      </c>
    </row>
    <row r="2230" spans="1:17" x14ac:dyDescent="0.25">
      <c r="A2230" t="s">
        <v>2275</v>
      </c>
      <c r="B2230" t="s">
        <v>173</v>
      </c>
      <c r="D2230" t="s">
        <v>77</v>
      </c>
      <c r="J2230" t="s">
        <v>2276</v>
      </c>
      <c r="K2230">
        <v>56</v>
      </c>
      <c r="Q2230" t="s">
        <v>2274</v>
      </c>
    </row>
    <row r="2231" spans="1:17" x14ac:dyDescent="0.25">
      <c r="A2231" t="s">
        <v>2277</v>
      </c>
      <c r="B2231" t="s">
        <v>173</v>
      </c>
      <c r="D2231" t="s">
        <v>46</v>
      </c>
      <c r="I2231" t="s">
        <v>1309</v>
      </c>
    </row>
    <row r="2232" spans="1:17" hidden="1" x14ac:dyDescent="0.25">
      <c r="A2232" t="s">
        <v>1835</v>
      </c>
      <c r="B2232" t="s">
        <v>341</v>
      </c>
    </row>
    <row r="2233" spans="1:17" hidden="1" x14ac:dyDescent="0.25">
      <c r="A2233" t="s">
        <v>1837</v>
      </c>
      <c r="B2233" t="s">
        <v>341</v>
      </c>
    </row>
    <row r="2234" spans="1:17" hidden="1" x14ac:dyDescent="0.25">
      <c r="A2234" t="s">
        <v>1836</v>
      </c>
      <c r="B2234" t="s">
        <v>341</v>
      </c>
    </row>
    <row r="2235" spans="1:17" hidden="1" x14ac:dyDescent="0.25">
      <c r="A2235" t="s">
        <v>2278</v>
      </c>
      <c r="B2235" t="s">
        <v>48</v>
      </c>
    </row>
    <row r="2236" spans="1:17" hidden="1" x14ac:dyDescent="0.25">
      <c r="A2236" t="s">
        <v>2279</v>
      </c>
      <c r="B2236" t="s">
        <v>48</v>
      </c>
    </row>
    <row r="2237" spans="1:17" hidden="1" x14ac:dyDescent="0.25">
      <c r="A2237" t="s">
        <v>2280</v>
      </c>
      <c r="B2237" t="s">
        <v>16</v>
      </c>
    </row>
    <row r="2238" spans="1:17" hidden="1" x14ac:dyDescent="0.25">
      <c r="A2238" t="s">
        <v>1819</v>
      </c>
      <c r="B2238" t="s">
        <v>173</v>
      </c>
    </row>
    <row r="2239" spans="1:17" hidden="1" x14ac:dyDescent="0.25">
      <c r="A2239" t="s">
        <v>361</v>
      </c>
      <c r="B2239" t="s">
        <v>173</v>
      </c>
    </row>
    <row r="2240" spans="1:17" x14ac:dyDescent="0.25">
      <c r="A2240" t="s">
        <v>203</v>
      </c>
      <c r="B2240" t="s">
        <v>48</v>
      </c>
      <c r="D2240" t="s">
        <v>20</v>
      </c>
      <c r="F2240" t="s">
        <v>204</v>
      </c>
    </row>
    <row r="2241" spans="1:17" hidden="1" x14ac:dyDescent="0.25">
      <c r="A2241" t="s">
        <v>2281</v>
      </c>
      <c r="B2241" t="s">
        <v>173</v>
      </c>
    </row>
    <row r="2242" spans="1:17" x14ac:dyDescent="0.25">
      <c r="A2242" t="s">
        <v>2282</v>
      </c>
      <c r="B2242" t="s">
        <v>46</v>
      </c>
      <c r="D2242" t="s">
        <v>46</v>
      </c>
      <c r="Q2242" t="s">
        <v>2283</v>
      </c>
    </row>
    <row r="2243" spans="1:17" x14ac:dyDescent="0.25">
      <c r="A2243" t="s">
        <v>2284</v>
      </c>
      <c r="B2243" t="s">
        <v>77</v>
      </c>
      <c r="D2243" t="s">
        <v>77</v>
      </c>
      <c r="Q2243" t="s">
        <v>1568</v>
      </c>
    </row>
    <row r="2244" spans="1:17" x14ac:dyDescent="0.25">
      <c r="A2244" t="s">
        <v>1809</v>
      </c>
      <c r="B2244" t="s">
        <v>48</v>
      </c>
      <c r="D2244" t="s">
        <v>46</v>
      </c>
      <c r="J2244">
        <v>54</v>
      </c>
      <c r="K2244">
        <v>54</v>
      </c>
    </row>
    <row r="2245" spans="1:17" x14ac:dyDescent="0.25">
      <c r="A2245" t="s">
        <v>919</v>
      </c>
      <c r="B2245" t="s">
        <v>46</v>
      </c>
      <c r="D2245" t="s">
        <v>46</v>
      </c>
      <c r="J2245">
        <v>59.4</v>
      </c>
      <c r="K2245">
        <v>59.4</v>
      </c>
    </row>
    <row r="2246" spans="1:17" hidden="1" x14ac:dyDescent="0.25">
      <c r="A2246" t="s">
        <v>2285</v>
      </c>
      <c r="B2246" t="s">
        <v>173</v>
      </c>
    </row>
    <row r="2247" spans="1:17" hidden="1" x14ac:dyDescent="0.25">
      <c r="A2247" t="s">
        <v>2286</v>
      </c>
      <c r="B2247" t="s">
        <v>95</v>
      </c>
    </row>
    <row r="2248" spans="1:17" hidden="1" x14ac:dyDescent="0.25">
      <c r="A2248" t="s">
        <v>2287</v>
      </c>
      <c r="B2248" t="s">
        <v>95</v>
      </c>
    </row>
    <row r="2249" spans="1:17" x14ac:dyDescent="0.25">
      <c r="A2249" t="s">
        <v>2288</v>
      </c>
      <c r="B2249" t="s">
        <v>77</v>
      </c>
      <c r="C2249" t="s">
        <v>83</v>
      </c>
      <c r="D2249" t="s">
        <v>77</v>
      </c>
      <c r="J2249">
        <v>59.4</v>
      </c>
      <c r="K2249">
        <v>59.4</v>
      </c>
    </row>
    <row r="2250" spans="1:17" x14ac:dyDescent="0.25">
      <c r="A2250" t="s">
        <v>2289</v>
      </c>
      <c r="B2250" t="s">
        <v>77</v>
      </c>
      <c r="C2250" t="s">
        <v>83</v>
      </c>
      <c r="D2250" t="s">
        <v>77</v>
      </c>
      <c r="J2250">
        <v>45</v>
      </c>
      <c r="K2250">
        <v>45</v>
      </c>
    </row>
    <row r="2251" spans="1:17" x14ac:dyDescent="0.25">
      <c r="A2251" t="s">
        <v>2290</v>
      </c>
      <c r="B2251" t="s">
        <v>77</v>
      </c>
      <c r="C2251" t="s">
        <v>85</v>
      </c>
      <c r="D2251" t="s">
        <v>77</v>
      </c>
      <c r="J2251">
        <v>59.4</v>
      </c>
      <c r="K2251">
        <v>59.4</v>
      </c>
    </row>
    <row r="2252" spans="1:17" hidden="1" x14ac:dyDescent="0.25">
      <c r="A2252" t="s">
        <v>2291</v>
      </c>
      <c r="B2252" t="s">
        <v>95</v>
      </c>
    </row>
    <row r="2253" spans="1:17" hidden="1" x14ac:dyDescent="0.25">
      <c r="A2253" t="s">
        <v>2292</v>
      </c>
      <c r="B2253" t="s">
        <v>87</v>
      </c>
    </row>
    <row r="2254" spans="1:17" hidden="1" x14ac:dyDescent="0.25">
      <c r="A2254" t="s">
        <v>1498</v>
      </c>
      <c r="B2254" t="s">
        <v>341</v>
      </c>
    </row>
    <row r="2255" spans="1:17" hidden="1" x14ac:dyDescent="0.25">
      <c r="A2255" t="s">
        <v>2293</v>
      </c>
      <c r="B2255" t="s">
        <v>341</v>
      </c>
    </row>
    <row r="2256" spans="1:17" hidden="1" x14ac:dyDescent="0.25">
      <c r="A2256" t="s">
        <v>1469</v>
      </c>
      <c r="B2256" t="s">
        <v>173</v>
      </c>
    </row>
    <row r="2257" spans="1:18" hidden="1" x14ac:dyDescent="0.25">
      <c r="A2257" t="s">
        <v>2294</v>
      </c>
      <c r="B2257" t="s">
        <v>48</v>
      </c>
    </row>
    <row r="2258" spans="1:18" hidden="1" x14ac:dyDescent="0.25">
      <c r="A2258" t="s">
        <v>2295</v>
      </c>
      <c r="B2258" t="s">
        <v>48</v>
      </c>
    </row>
    <row r="2259" spans="1:18" hidden="1" x14ac:dyDescent="0.25">
      <c r="A2259" t="s">
        <v>1278</v>
      </c>
      <c r="B2259" t="s">
        <v>173</v>
      </c>
    </row>
    <row r="2260" spans="1:18" hidden="1" x14ac:dyDescent="0.25">
      <c r="A2260" t="s">
        <v>2296</v>
      </c>
      <c r="B2260" t="s">
        <v>95</v>
      </c>
    </row>
    <row r="2261" spans="1:18" x14ac:dyDescent="0.25">
      <c r="A2261" t="s">
        <v>2297</v>
      </c>
      <c r="B2261" t="s">
        <v>46</v>
      </c>
      <c r="D2261" t="s">
        <v>46</v>
      </c>
      <c r="J2261">
        <v>66</v>
      </c>
      <c r="K2261">
        <v>66</v>
      </c>
      <c r="R2261" t="s">
        <v>106</v>
      </c>
    </row>
    <row r="2262" spans="1:18" hidden="1" x14ac:dyDescent="0.25">
      <c r="A2262" t="s">
        <v>2298</v>
      </c>
      <c r="B2262" t="s">
        <v>87</v>
      </c>
    </row>
    <row r="2263" spans="1:18" hidden="1" x14ac:dyDescent="0.25">
      <c r="A2263" t="s">
        <v>2299</v>
      </c>
      <c r="B2263" t="s">
        <v>341</v>
      </c>
    </row>
    <row r="2264" spans="1:18" hidden="1" x14ac:dyDescent="0.25">
      <c r="A2264" t="s">
        <v>2300</v>
      </c>
      <c r="B2264" t="s">
        <v>87</v>
      </c>
    </row>
    <row r="2265" spans="1:18" x14ac:dyDescent="0.25">
      <c r="A2265" t="s">
        <v>2301</v>
      </c>
      <c r="B2265" t="s">
        <v>20</v>
      </c>
      <c r="C2265" t="s">
        <v>85</v>
      </c>
      <c r="D2265" t="s">
        <v>77</v>
      </c>
      <c r="J2265">
        <v>20</v>
      </c>
      <c r="K2265">
        <v>20</v>
      </c>
      <c r="R2265" t="s">
        <v>106</v>
      </c>
    </row>
    <row r="2266" spans="1:18" x14ac:dyDescent="0.25">
      <c r="A2266" t="s">
        <v>2302</v>
      </c>
      <c r="B2266" t="s">
        <v>48</v>
      </c>
      <c r="D2266" t="s">
        <v>46</v>
      </c>
      <c r="J2266">
        <v>20</v>
      </c>
      <c r="K2266">
        <v>20</v>
      </c>
      <c r="R2266" t="s">
        <v>106</v>
      </c>
    </row>
    <row r="2267" spans="1:18" x14ac:dyDescent="0.25">
      <c r="A2267" t="s">
        <v>2303</v>
      </c>
      <c r="B2267" t="s">
        <v>77</v>
      </c>
      <c r="D2267" t="s">
        <v>77</v>
      </c>
      <c r="J2267">
        <v>20</v>
      </c>
      <c r="K2267">
        <v>20</v>
      </c>
      <c r="R2267" t="s">
        <v>106</v>
      </c>
    </row>
    <row r="2268" spans="1:18" x14ac:dyDescent="0.25">
      <c r="A2268" t="s">
        <v>2304</v>
      </c>
      <c r="B2268" t="s">
        <v>20</v>
      </c>
      <c r="D2268" t="s">
        <v>137</v>
      </c>
      <c r="E2268">
        <v>1</v>
      </c>
    </row>
    <row r="2269" spans="1:18" hidden="1" x14ac:dyDescent="0.25">
      <c r="A2269" t="s">
        <v>2305</v>
      </c>
      <c r="B2269" t="s">
        <v>87</v>
      </c>
    </row>
    <row r="2270" spans="1:18" x14ac:dyDescent="0.25">
      <c r="A2270" t="s">
        <v>2306</v>
      </c>
      <c r="B2270" t="s">
        <v>46</v>
      </c>
      <c r="C2270" t="s">
        <v>85</v>
      </c>
      <c r="D2270" t="s">
        <v>46</v>
      </c>
      <c r="J2270">
        <v>46</v>
      </c>
      <c r="K2270">
        <v>46</v>
      </c>
    </row>
    <row r="2271" spans="1:18" x14ac:dyDescent="0.25">
      <c r="A2271" t="s">
        <v>2307</v>
      </c>
      <c r="B2271" t="s">
        <v>77</v>
      </c>
      <c r="D2271" t="s">
        <v>77</v>
      </c>
      <c r="L2271" t="s">
        <v>2308</v>
      </c>
    </row>
    <row r="2272" spans="1:18" x14ac:dyDescent="0.25">
      <c r="A2272" t="s">
        <v>2309</v>
      </c>
      <c r="B2272" t="s">
        <v>20</v>
      </c>
      <c r="D2272" t="s">
        <v>20</v>
      </c>
      <c r="L2272" t="s">
        <v>2308</v>
      </c>
    </row>
    <row r="2273" spans="1:2" hidden="1" x14ac:dyDescent="0.25">
      <c r="A2273" t="s">
        <v>396</v>
      </c>
      <c r="B2273" t="s">
        <v>87</v>
      </c>
    </row>
    <row r="2274" spans="1:2" hidden="1" x14ac:dyDescent="0.25">
      <c r="A2274" t="s">
        <v>2310</v>
      </c>
      <c r="B2274" t="s">
        <v>95</v>
      </c>
    </row>
    <row r="2275" spans="1:2" hidden="1" x14ac:dyDescent="0.25">
      <c r="A2275" t="s">
        <v>2311</v>
      </c>
      <c r="B2275" t="s">
        <v>87</v>
      </c>
    </row>
    <row r="2276" spans="1:2" hidden="1" x14ac:dyDescent="0.25">
      <c r="A2276" t="s">
        <v>2312</v>
      </c>
      <c r="B2276" t="s">
        <v>87</v>
      </c>
    </row>
    <row r="2277" spans="1:2" hidden="1" x14ac:dyDescent="0.25">
      <c r="A2277" t="s">
        <v>2313</v>
      </c>
      <c r="B2277" t="s">
        <v>341</v>
      </c>
    </row>
    <row r="2278" spans="1:2" hidden="1" x14ac:dyDescent="0.25">
      <c r="A2278" t="s">
        <v>2314</v>
      </c>
      <c r="B2278" t="s">
        <v>87</v>
      </c>
    </row>
    <row r="2279" spans="1:2" hidden="1" x14ac:dyDescent="0.25">
      <c r="A2279" t="s">
        <v>2315</v>
      </c>
      <c r="B2279" t="s">
        <v>87</v>
      </c>
    </row>
    <row r="2280" spans="1:2" hidden="1" x14ac:dyDescent="0.25">
      <c r="A2280" t="s">
        <v>2316</v>
      </c>
      <c r="B2280" t="s">
        <v>341</v>
      </c>
    </row>
    <row r="2281" spans="1:2" hidden="1" x14ac:dyDescent="0.25">
      <c r="A2281" t="s">
        <v>2317</v>
      </c>
      <c r="B2281" t="s">
        <v>341</v>
      </c>
    </row>
    <row r="2282" spans="1:2" hidden="1" x14ac:dyDescent="0.25">
      <c r="A2282" t="s">
        <v>2318</v>
      </c>
      <c r="B2282" t="s">
        <v>341</v>
      </c>
    </row>
    <row r="2283" spans="1:2" hidden="1" x14ac:dyDescent="0.25">
      <c r="A2283" t="s">
        <v>2319</v>
      </c>
      <c r="B2283" t="s">
        <v>87</v>
      </c>
    </row>
    <row r="2284" spans="1:2" hidden="1" x14ac:dyDescent="0.25">
      <c r="A2284" t="s">
        <v>2320</v>
      </c>
      <c r="B2284" t="s">
        <v>87</v>
      </c>
    </row>
    <row r="2285" spans="1:2" hidden="1" x14ac:dyDescent="0.25">
      <c r="A2285" t="s">
        <v>2321</v>
      </c>
      <c r="B2285" t="s">
        <v>341</v>
      </c>
    </row>
    <row r="2286" spans="1:2" hidden="1" x14ac:dyDescent="0.25">
      <c r="A2286" t="s">
        <v>2322</v>
      </c>
      <c r="B2286" t="s">
        <v>341</v>
      </c>
    </row>
    <row r="2287" spans="1:2" hidden="1" x14ac:dyDescent="0.25">
      <c r="A2287" t="s">
        <v>2323</v>
      </c>
      <c r="B2287" t="s">
        <v>87</v>
      </c>
    </row>
    <row r="2288" spans="1:2" hidden="1" x14ac:dyDescent="0.25">
      <c r="A2288" t="s">
        <v>2324</v>
      </c>
      <c r="B2288" t="s">
        <v>87</v>
      </c>
    </row>
    <row r="2289" spans="1:12" x14ac:dyDescent="0.25">
      <c r="A2289" t="s">
        <v>150</v>
      </c>
      <c r="B2289" t="s">
        <v>16</v>
      </c>
      <c r="D2289" t="s">
        <v>48</v>
      </c>
      <c r="H2289" t="s">
        <v>151</v>
      </c>
    </row>
    <row r="2290" spans="1:12" x14ac:dyDescent="0.25">
      <c r="A2290" t="s">
        <v>152</v>
      </c>
      <c r="B2290" t="s">
        <v>16</v>
      </c>
      <c r="D2290" t="s">
        <v>48</v>
      </c>
      <c r="H2290" t="s">
        <v>153</v>
      </c>
    </row>
    <row r="2291" spans="1:12" x14ac:dyDescent="0.25">
      <c r="A2291" t="s">
        <v>154</v>
      </c>
      <c r="B2291" t="s">
        <v>16</v>
      </c>
      <c r="D2291" t="s">
        <v>48</v>
      </c>
      <c r="H2291" t="s">
        <v>155</v>
      </c>
    </row>
    <row r="2292" spans="1:12" x14ac:dyDescent="0.25">
      <c r="A2292" t="s">
        <v>135</v>
      </c>
      <c r="B2292" t="s">
        <v>16</v>
      </c>
      <c r="D2292" t="s">
        <v>48</v>
      </c>
      <c r="H2292" t="s">
        <v>136</v>
      </c>
    </row>
    <row r="2293" spans="1:12" x14ac:dyDescent="0.25">
      <c r="A2293" t="s">
        <v>2325</v>
      </c>
      <c r="B2293" t="s">
        <v>95</v>
      </c>
      <c r="C2293" t="s">
        <v>83</v>
      </c>
      <c r="D2293" t="s">
        <v>77</v>
      </c>
      <c r="J2293">
        <v>36</v>
      </c>
      <c r="K2293">
        <v>36</v>
      </c>
    </row>
    <row r="2294" spans="1:12" hidden="1" x14ac:dyDescent="0.25">
      <c r="A2294" t="s">
        <v>1152</v>
      </c>
      <c r="B2294" t="s">
        <v>173</v>
      </c>
    </row>
    <row r="2295" spans="1:12" x14ac:dyDescent="0.25">
      <c r="A2295" t="s">
        <v>2326</v>
      </c>
      <c r="B2295" t="s">
        <v>77</v>
      </c>
      <c r="D2295" t="s">
        <v>77</v>
      </c>
      <c r="J2295">
        <v>54</v>
      </c>
      <c r="K2295">
        <v>54</v>
      </c>
    </row>
    <row r="2296" spans="1:12" x14ac:dyDescent="0.25">
      <c r="A2296" t="s">
        <v>2327</v>
      </c>
      <c r="B2296" t="s">
        <v>77</v>
      </c>
      <c r="D2296" t="s">
        <v>77</v>
      </c>
      <c r="J2296">
        <v>36</v>
      </c>
      <c r="K2296">
        <v>36</v>
      </c>
    </row>
    <row r="2297" spans="1:12" x14ac:dyDescent="0.25">
      <c r="A2297" t="s">
        <v>78</v>
      </c>
      <c r="B2297" t="s">
        <v>20</v>
      </c>
      <c r="D2297" t="s">
        <v>20</v>
      </c>
      <c r="I2297" t="s">
        <v>79</v>
      </c>
    </row>
    <row r="2298" spans="1:12" hidden="1" x14ac:dyDescent="0.25">
      <c r="A2298" t="s">
        <v>2328</v>
      </c>
      <c r="B2298" t="s">
        <v>341</v>
      </c>
    </row>
    <row r="2299" spans="1:12" hidden="1" x14ac:dyDescent="0.25">
      <c r="A2299" t="s">
        <v>2329</v>
      </c>
      <c r="B2299" t="s">
        <v>87</v>
      </c>
    </row>
    <row r="2300" spans="1:12" hidden="1" x14ac:dyDescent="0.25">
      <c r="A2300" t="s">
        <v>2287</v>
      </c>
      <c r="B2300" t="s">
        <v>173</v>
      </c>
    </row>
    <row r="2301" spans="1:12" hidden="1" x14ac:dyDescent="0.25">
      <c r="A2301" t="s">
        <v>2079</v>
      </c>
      <c r="B2301" t="s">
        <v>87</v>
      </c>
    </row>
    <row r="2302" spans="1:12" x14ac:dyDescent="0.25">
      <c r="A2302" t="s">
        <v>2330</v>
      </c>
      <c r="B2302" t="s">
        <v>46</v>
      </c>
      <c r="D2302" t="s">
        <v>46</v>
      </c>
      <c r="L2302" t="s">
        <v>552</v>
      </c>
    </row>
    <row r="2303" spans="1:12" hidden="1" x14ac:dyDescent="0.25">
      <c r="A2303" t="s">
        <v>2331</v>
      </c>
      <c r="B2303" t="s">
        <v>173</v>
      </c>
    </row>
    <row r="2304" spans="1:12" x14ac:dyDescent="0.25">
      <c r="A2304" t="s">
        <v>2332</v>
      </c>
      <c r="B2304" t="s">
        <v>77</v>
      </c>
      <c r="C2304" t="s">
        <v>85</v>
      </c>
      <c r="D2304" t="s">
        <v>77</v>
      </c>
      <c r="E2304">
        <v>1</v>
      </c>
      <c r="I2304" t="s">
        <v>249</v>
      </c>
    </row>
    <row r="2305" spans="1:19" x14ac:dyDescent="0.25">
      <c r="A2305" t="s">
        <v>2333</v>
      </c>
      <c r="B2305" t="s">
        <v>77</v>
      </c>
      <c r="C2305" t="s">
        <v>85</v>
      </c>
      <c r="D2305" t="s">
        <v>77</v>
      </c>
      <c r="Q2305" t="s">
        <v>83</v>
      </c>
    </row>
    <row r="2306" spans="1:19" hidden="1" x14ac:dyDescent="0.25">
      <c r="A2306" t="s">
        <v>2334</v>
      </c>
      <c r="B2306" t="s">
        <v>173</v>
      </c>
    </row>
    <row r="2307" spans="1:19" x14ac:dyDescent="0.25">
      <c r="A2307" t="s">
        <v>2335</v>
      </c>
      <c r="B2307" t="s">
        <v>48</v>
      </c>
      <c r="D2307" t="s">
        <v>1277</v>
      </c>
      <c r="R2307" t="s">
        <v>106</v>
      </c>
    </row>
    <row r="2308" spans="1:19" x14ac:dyDescent="0.25">
      <c r="A2308" t="s">
        <v>2336</v>
      </c>
      <c r="B2308" t="s">
        <v>48</v>
      </c>
      <c r="D2308" t="s">
        <v>1277</v>
      </c>
      <c r="R2308" t="s">
        <v>108</v>
      </c>
    </row>
    <row r="2309" spans="1:19" hidden="1" x14ac:dyDescent="0.25">
      <c r="A2309" t="s">
        <v>2337</v>
      </c>
      <c r="B2309" t="s">
        <v>173</v>
      </c>
    </row>
    <row r="2310" spans="1:19" hidden="1" x14ac:dyDescent="0.25">
      <c r="A2310" t="s">
        <v>2338</v>
      </c>
      <c r="B2310" t="s">
        <v>173</v>
      </c>
    </row>
    <row r="2311" spans="1:19" x14ac:dyDescent="0.25">
      <c r="A2311" t="s">
        <v>2339</v>
      </c>
      <c r="B2311" t="s">
        <v>46</v>
      </c>
      <c r="D2311" t="s">
        <v>46</v>
      </c>
      <c r="J2311">
        <v>44</v>
      </c>
      <c r="K2311">
        <v>44</v>
      </c>
    </row>
    <row r="2312" spans="1:19" x14ac:dyDescent="0.25">
      <c r="A2312" t="s">
        <v>2340</v>
      </c>
      <c r="B2312" t="s">
        <v>77</v>
      </c>
      <c r="C2312" t="s">
        <v>85</v>
      </c>
      <c r="D2312" t="s">
        <v>77</v>
      </c>
      <c r="J2312">
        <v>44</v>
      </c>
      <c r="K2312">
        <v>44</v>
      </c>
      <c r="R2312" t="s">
        <v>106</v>
      </c>
      <c r="S2312" t="s">
        <v>290</v>
      </c>
    </row>
    <row r="2313" spans="1:19" x14ac:dyDescent="0.25">
      <c r="A2313" t="s">
        <v>2341</v>
      </c>
      <c r="B2313" t="s">
        <v>77</v>
      </c>
      <c r="C2313" t="s">
        <v>85</v>
      </c>
      <c r="D2313" t="s">
        <v>77</v>
      </c>
      <c r="J2313">
        <v>44</v>
      </c>
      <c r="K2313">
        <v>44</v>
      </c>
      <c r="R2313" t="s">
        <v>106</v>
      </c>
      <c r="S2313" t="s">
        <v>292</v>
      </c>
    </row>
    <row r="2314" spans="1:19" x14ac:dyDescent="0.25">
      <c r="A2314" t="s">
        <v>2342</v>
      </c>
      <c r="B2314" t="s">
        <v>77</v>
      </c>
      <c r="D2314" t="s">
        <v>77</v>
      </c>
      <c r="J2314">
        <v>44</v>
      </c>
      <c r="K2314">
        <v>44</v>
      </c>
    </row>
    <row r="2315" spans="1:19" hidden="1" x14ac:dyDescent="0.25">
      <c r="A2315" t="s">
        <v>2343</v>
      </c>
      <c r="B2315" t="s">
        <v>87</v>
      </c>
    </row>
    <row r="2316" spans="1:19" hidden="1" x14ac:dyDescent="0.25">
      <c r="A2316" t="s">
        <v>2344</v>
      </c>
      <c r="B2316" t="s">
        <v>173</v>
      </c>
    </row>
    <row r="2317" spans="1:19" hidden="1" x14ac:dyDescent="0.25">
      <c r="A2317" t="s">
        <v>2345</v>
      </c>
      <c r="B2317" t="s">
        <v>87</v>
      </c>
    </row>
    <row r="2318" spans="1:19" hidden="1" x14ac:dyDescent="0.25">
      <c r="A2318" t="s">
        <v>2346</v>
      </c>
      <c r="B2318" t="s">
        <v>214</v>
      </c>
    </row>
    <row r="2319" spans="1:19" x14ac:dyDescent="0.25">
      <c r="A2319" t="s">
        <v>2347</v>
      </c>
      <c r="B2319" t="s">
        <v>48</v>
      </c>
      <c r="D2319" t="s">
        <v>48</v>
      </c>
      <c r="Q2319" t="s">
        <v>8</v>
      </c>
    </row>
    <row r="2320" spans="1:19" hidden="1" x14ac:dyDescent="0.25">
      <c r="A2320" t="s">
        <v>2348</v>
      </c>
      <c r="B2320" t="s">
        <v>87</v>
      </c>
    </row>
    <row r="2321" spans="1:19" hidden="1" x14ac:dyDescent="0.25">
      <c r="A2321" t="s">
        <v>2349</v>
      </c>
      <c r="B2321" t="s">
        <v>87</v>
      </c>
    </row>
    <row r="2322" spans="1:19" hidden="1" x14ac:dyDescent="0.25">
      <c r="A2322" t="s">
        <v>2350</v>
      </c>
      <c r="B2322" t="s">
        <v>173</v>
      </c>
    </row>
    <row r="2323" spans="1:19" hidden="1" x14ac:dyDescent="0.25">
      <c r="A2323" t="s">
        <v>1014</v>
      </c>
      <c r="B2323" t="s">
        <v>173</v>
      </c>
    </row>
    <row r="2324" spans="1:19" hidden="1" x14ac:dyDescent="0.25">
      <c r="A2324" t="s">
        <v>2351</v>
      </c>
      <c r="B2324" t="s">
        <v>173</v>
      </c>
    </row>
    <row r="2325" spans="1:19" hidden="1" x14ac:dyDescent="0.25">
      <c r="A2325" t="s">
        <v>2352</v>
      </c>
      <c r="B2325" t="s">
        <v>16</v>
      </c>
    </row>
    <row r="2326" spans="1:19" x14ac:dyDescent="0.25">
      <c r="A2326" t="s">
        <v>2353</v>
      </c>
      <c r="B2326" t="s">
        <v>77</v>
      </c>
      <c r="D2326" t="s">
        <v>77</v>
      </c>
      <c r="J2326">
        <v>64</v>
      </c>
      <c r="K2326">
        <v>64</v>
      </c>
    </row>
    <row r="2327" spans="1:19" hidden="1" x14ac:dyDescent="0.25">
      <c r="A2327" t="s">
        <v>2354</v>
      </c>
      <c r="B2327" t="s">
        <v>87</v>
      </c>
    </row>
    <row r="2328" spans="1:19" x14ac:dyDescent="0.25">
      <c r="A2328" t="s">
        <v>2355</v>
      </c>
      <c r="B2328" t="s">
        <v>77</v>
      </c>
      <c r="C2328" t="s">
        <v>85</v>
      </c>
      <c r="D2328" t="s">
        <v>77</v>
      </c>
      <c r="J2328">
        <v>54</v>
      </c>
      <c r="K2328">
        <v>54</v>
      </c>
      <c r="S2328" t="s">
        <v>292</v>
      </c>
    </row>
    <row r="2329" spans="1:19" x14ac:dyDescent="0.25">
      <c r="A2329" t="s">
        <v>2356</v>
      </c>
      <c r="B2329" t="s">
        <v>77</v>
      </c>
      <c r="C2329" t="s">
        <v>85</v>
      </c>
      <c r="D2329" t="s">
        <v>77</v>
      </c>
      <c r="J2329">
        <v>54</v>
      </c>
      <c r="K2329">
        <v>54</v>
      </c>
      <c r="S2329" t="s">
        <v>290</v>
      </c>
    </row>
    <row r="2330" spans="1:19" hidden="1" x14ac:dyDescent="0.25">
      <c r="A2330" t="s">
        <v>2357</v>
      </c>
      <c r="B2330" t="s">
        <v>87</v>
      </c>
    </row>
    <row r="2331" spans="1:19" hidden="1" x14ac:dyDescent="0.25">
      <c r="A2331" t="s">
        <v>2358</v>
      </c>
      <c r="B2331" t="s">
        <v>16</v>
      </c>
    </row>
    <row r="2332" spans="1:19" hidden="1" x14ac:dyDescent="0.25">
      <c r="A2332" t="s">
        <v>2359</v>
      </c>
      <c r="B2332" t="s">
        <v>16</v>
      </c>
    </row>
    <row r="2333" spans="1:19" hidden="1" x14ac:dyDescent="0.25">
      <c r="A2333" t="s">
        <v>2360</v>
      </c>
      <c r="B2333" t="s">
        <v>87</v>
      </c>
    </row>
    <row r="2334" spans="1:19" hidden="1" x14ac:dyDescent="0.25">
      <c r="A2334" t="s">
        <v>2361</v>
      </c>
      <c r="B2334" t="s">
        <v>87</v>
      </c>
    </row>
    <row r="2335" spans="1:19" hidden="1" x14ac:dyDescent="0.25">
      <c r="A2335" t="s">
        <v>2362</v>
      </c>
      <c r="B2335" t="s">
        <v>87</v>
      </c>
    </row>
    <row r="2336" spans="1:19" hidden="1" x14ac:dyDescent="0.25">
      <c r="A2336" t="s">
        <v>2363</v>
      </c>
      <c r="B2336" t="s">
        <v>16</v>
      </c>
    </row>
    <row r="2337" spans="1:18" hidden="1" x14ac:dyDescent="0.25">
      <c r="A2337" t="s">
        <v>2364</v>
      </c>
    </row>
    <row r="2338" spans="1:18" x14ac:dyDescent="0.25">
      <c r="A2338" t="s">
        <v>2365</v>
      </c>
      <c r="B2338" t="s">
        <v>46</v>
      </c>
      <c r="D2338" t="s">
        <v>46</v>
      </c>
      <c r="R2338" t="s">
        <v>873</v>
      </c>
    </row>
    <row r="2339" spans="1:18" x14ac:dyDescent="0.25">
      <c r="A2339" t="s">
        <v>2366</v>
      </c>
      <c r="B2339" t="s">
        <v>20</v>
      </c>
      <c r="D2339" t="s">
        <v>20</v>
      </c>
      <c r="R2339" t="s">
        <v>873</v>
      </c>
    </row>
    <row r="2340" spans="1:18" x14ac:dyDescent="0.25">
      <c r="A2340" t="s">
        <v>2367</v>
      </c>
      <c r="B2340" t="s">
        <v>20</v>
      </c>
      <c r="D2340" t="s">
        <v>20</v>
      </c>
      <c r="R2340" t="s">
        <v>878</v>
      </c>
    </row>
    <row r="2341" spans="1:18" x14ac:dyDescent="0.25">
      <c r="A2341" t="s">
        <v>2368</v>
      </c>
      <c r="B2341" t="s">
        <v>46</v>
      </c>
      <c r="D2341" t="s">
        <v>46</v>
      </c>
      <c r="R2341" t="s">
        <v>878</v>
      </c>
    </row>
    <row r="2342" spans="1:18" hidden="1" x14ac:dyDescent="0.25">
      <c r="A2342" t="s">
        <v>2369</v>
      </c>
      <c r="B2342" t="s">
        <v>16</v>
      </c>
    </row>
    <row r="2343" spans="1:18" hidden="1" x14ac:dyDescent="0.25">
      <c r="A2343" t="s">
        <v>2370</v>
      </c>
      <c r="B2343" t="s">
        <v>16</v>
      </c>
    </row>
    <row r="2344" spans="1:18" hidden="1" x14ac:dyDescent="0.25">
      <c r="A2344" t="s">
        <v>2371</v>
      </c>
      <c r="B2344" t="s">
        <v>16</v>
      </c>
    </row>
    <row r="2345" spans="1:18" x14ac:dyDescent="0.25">
      <c r="A2345" t="s">
        <v>2372</v>
      </c>
      <c r="B2345" t="s">
        <v>46</v>
      </c>
      <c r="D2345" t="s">
        <v>46</v>
      </c>
      <c r="J2345">
        <v>63</v>
      </c>
      <c r="K2345">
        <v>63</v>
      </c>
      <c r="R2345" t="s">
        <v>106</v>
      </c>
    </row>
    <row r="2346" spans="1:18" x14ac:dyDescent="0.25">
      <c r="A2346" t="s">
        <v>2373</v>
      </c>
      <c r="B2346" t="s">
        <v>46</v>
      </c>
      <c r="D2346" t="s">
        <v>46</v>
      </c>
      <c r="J2346">
        <v>56</v>
      </c>
      <c r="K2346">
        <v>56</v>
      </c>
      <c r="R2346" t="s">
        <v>108</v>
      </c>
    </row>
    <row r="2347" spans="1:18" x14ac:dyDescent="0.25">
      <c r="A2347" t="s">
        <v>2374</v>
      </c>
      <c r="B2347" t="s">
        <v>46</v>
      </c>
      <c r="D2347" t="s">
        <v>46</v>
      </c>
      <c r="J2347">
        <v>63</v>
      </c>
      <c r="K2347">
        <v>63</v>
      </c>
      <c r="R2347" t="s">
        <v>108</v>
      </c>
    </row>
    <row r="2348" spans="1:18" x14ac:dyDescent="0.25">
      <c r="A2348" t="s">
        <v>2375</v>
      </c>
      <c r="B2348" t="s">
        <v>77</v>
      </c>
      <c r="D2348" t="s">
        <v>77</v>
      </c>
      <c r="J2348">
        <v>56</v>
      </c>
      <c r="K2348">
        <v>56</v>
      </c>
      <c r="R2348" t="s">
        <v>108</v>
      </c>
    </row>
    <row r="2349" spans="1:18" x14ac:dyDescent="0.25">
      <c r="A2349" t="s">
        <v>2376</v>
      </c>
      <c r="B2349" t="s">
        <v>77</v>
      </c>
      <c r="D2349" t="s">
        <v>77</v>
      </c>
      <c r="J2349">
        <v>63</v>
      </c>
      <c r="K2349">
        <v>63</v>
      </c>
      <c r="Q2349" t="s">
        <v>1380</v>
      </c>
    </row>
    <row r="2350" spans="1:18" hidden="1" x14ac:dyDescent="0.25">
      <c r="A2350" t="s">
        <v>1097</v>
      </c>
      <c r="B2350" t="s">
        <v>341</v>
      </c>
    </row>
    <row r="2351" spans="1:18" x14ac:dyDescent="0.25">
      <c r="A2351" t="s">
        <v>2377</v>
      </c>
      <c r="B2351" t="s">
        <v>20</v>
      </c>
      <c r="D2351" t="s">
        <v>20</v>
      </c>
      <c r="E2351">
        <v>2</v>
      </c>
      <c r="J2351" t="s">
        <v>1794</v>
      </c>
      <c r="K2351">
        <v>32.5</v>
      </c>
    </row>
    <row r="2352" spans="1:18" x14ac:dyDescent="0.25">
      <c r="A2352" t="s">
        <v>2378</v>
      </c>
      <c r="B2352" t="s">
        <v>77</v>
      </c>
      <c r="D2352" t="s">
        <v>77</v>
      </c>
      <c r="E2352">
        <v>2</v>
      </c>
      <c r="J2352" t="s">
        <v>1794</v>
      </c>
      <c r="K2352">
        <v>32.5</v>
      </c>
    </row>
    <row r="2353" spans="1:19" hidden="1" x14ac:dyDescent="0.25">
      <c r="A2353" t="s">
        <v>2379</v>
      </c>
      <c r="B2353" t="s">
        <v>87</v>
      </c>
    </row>
    <row r="2354" spans="1:19" hidden="1" x14ac:dyDescent="0.25">
      <c r="A2354" t="s">
        <v>2380</v>
      </c>
      <c r="B2354" t="s">
        <v>173</v>
      </c>
    </row>
    <row r="2355" spans="1:19" hidden="1" x14ac:dyDescent="0.25">
      <c r="A2355" t="s">
        <v>2381</v>
      </c>
      <c r="B2355" t="s">
        <v>341</v>
      </c>
    </row>
    <row r="2356" spans="1:19" hidden="1" x14ac:dyDescent="0.25">
      <c r="A2356" t="s">
        <v>2382</v>
      </c>
      <c r="B2356" t="s">
        <v>87</v>
      </c>
    </row>
    <row r="2357" spans="1:19" hidden="1" x14ac:dyDescent="0.25">
      <c r="A2357" t="s">
        <v>2383</v>
      </c>
      <c r="B2357" t="s">
        <v>87</v>
      </c>
    </row>
    <row r="2358" spans="1:19" x14ac:dyDescent="0.25">
      <c r="A2358" t="s">
        <v>2384</v>
      </c>
      <c r="B2358" t="s">
        <v>48</v>
      </c>
      <c r="D2358" t="s">
        <v>48</v>
      </c>
      <c r="Q2358" t="s">
        <v>2385</v>
      </c>
    </row>
    <row r="2359" spans="1:19" hidden="1" x14ac:dyDescent="0.25">
      <c r="A2359" t="s">
        <v>2386</v>
      </c>
      <c r="B2359" t="s">
        <v>173</v>
      </c>
    </row>
    <row r="2360" spans="1:19" x14ac:dyDescent="0.25">
      <c r="A2360" t="s">
        <v>2060</v>
      </c>
      <c r="B2360" t="s">
        <v>46</v>
      </c>
      <c r="D2360" t="s">
        <v>46</v>
      </c>
      <c r="J2360">
        <v>36</v>
      </c>
      <c r="K2360">
        <v>36</v>
      </c>
    </row>
    <row r="2361" spans="1:19" x14ac:dyDescent="0.25">
      <c r="A2361" t="s">
        <v>2061</v>
      </c>
      <c r="B2361" t="s">
        <v>46</v>
      </c>
      <c r="D2361" t="s">
        <v>46</v>
      </c>
      <c r="J2361">
        <v>40</v>
      </c>
      <c r="K2361">
        <v>40</v>
      </c>
    </row>
    <row r="2362" spans="1:19" x14ac:dyDescent="0.25">
      <c r="A2362" t="s">
        <v>2062</v>
      </c>
      <c r="B2362" t="s">
        <v>77</v>
      </c>
      <c r="D2362" t="s">
        <v>77</v>
      </c>
      <c r="J2362">
        <v>40</v>
      </c>
      <c r="K2362">
        <v>40</v>
      </c>
    </row>
    <row r="2363" spans="1:19" x14ac:dyDescent="0.25">
      <c r="A2363" t="s">
        <v>2387</v>
      </c>
      <c r="B2363" t="s">
        <v>77</v>
      </c>
      <c r="C2363" t="s">
        <v>85</v>
      </c>
      <c r="D2363" t="s">
        <v>77</v>
      </c>
      <c r="J2363">
        <v>36</v>
      </c>
      <c r="K2363">
        <v>36</v>
      </c>
      <c r="S2363" t="s">
        <v>290</v>
      </c>
    </row>
    <row r="2364" spans="1:19" x14ac:dyDescent="0.25">
      <c r="A2364" t="s">
        <v>2388</v>
      </c>
      <c r="B2364" t="s">
        <v>77</v>
      </c>
      <c r="C2364" t="s">
        <v>85</v>
      </c>
      <c r="D2364" t="s">
        <v>77</v>
      </c>
      <c r="J2364">
        <v>36</v>
      </c>
      <c r="K2364">
        <v>36</v>
      </c>
      <c r="S2364" t="s">
        <v>292</v>
      </c>
    </row>
    <row r="2365" spans="1:19" hidden="1" x14ac:dyDescent="0.25">
      <c r="A2365" t="s">
        <v>2389</v>
      </c>
      <c r="B2365" t="s">
        <v>341</v>
      </c>
    </row>
    <row r="2366" spans="1:19" hidden="1" x14ac:dyDescent="0.25">
      <c r="A2366" t="s">
        <v>2390</v>
      </c>
      <c r="B2366" t="s">
        <v>87</v>
      </c>
    </row>
    <row r="2367" spans="1:19" hidden="1" x14ac:dyDescent="0.25">
      <c r="A2367" t="s">
        <v>2391</v>
      </c>
      <c r="B2367" t="s">
        <v>87</v>
      </c>
    </row>
    <row r="2368" spans="1:19" hidden="1" x14ac:dyDescent="0.25">
      <c r="A2368" t="s">
        <v>2392</v>
      </c>
      <c r="B2368" t="s">
        <v>87</v>
      </c>
    </row>
    <row r="2369" spans="1:17" x14ac:dyDescent="0.25">
      <c r="A2369" t="s">
        <v>2393</v>
      </c>
      <c r="B2369" t="s">
        <v>46</v>
      </c>
      <c r="D2369" t="s">
        <v>46</v>
      </c>
      <c r="Q2369" t="s">
        <v>2394</v>
      </c>
    </row>
    <row r="2370" spans="1:17" hidden="1" x14ac:dyDescent="0.25">
      <c r="A2370" t="s">
        <v>364</v>
      </c>
      <c r="B2370" t="s">
        <v>48</v>
      </c>
    </row>
    <row r="2371" spans="1:17" hidden="1" x14ac:dyDescent="0.25">
      <c r="A2371" t="s">
        <v>2395</v>
      </c>
      <c r="B2371" t="s">
        <v>95</v>
      </c>
    </row>
    <row r="2372" spans="1:17" x14ac:dyDescent="0.25">
      <c r="A2372" t="s">
        <v>2396</v>
      </c>
      <c r="B2372" t="s">
        <v>173</v>
      </c>
      <c r="D2372" t="s">
        <v>77</v>
      </c>
      <c r="E2372">
        <v>3</v>
      </c>
      <c r="Q2372" t="s">
        <v>2397</v>
      </c>
    </row>
    <row r="2373" spans="1:17" x14ac:dyDescent="0.25">
      <c r="A2373" t="s">
        <v>2398</v>
      </c>
      <c r="B2373" t="s">
        <v>173</v>
      </c>
      <c r="D2373" t="s">
        <v>77</v>
      </c>
      <c r="E2373">
        <v>2</v>
      </c>
      <c r="Q2373" t="s">
        <v>2399</v>
      </c>
    </row>
    <row r="2374" spans="1:17" x14ac:dyDescent="0.25">
      <c r="A2374" t="s">
        <v>2400</v>
      </c>
      <c r="B2374" t="s">
        <v>173</v>
      </c>
      <c r="D2374" t="s">
        <v>77</v>
      </c>
      <c r="E2374">
        <v>1</v>
      </c>
      <c r="Q2374" t="s">
        <v>2401</v>
      </c>
    </row>
    <row r="2375" spans="1:17" x14ac:dyDescent="0.25">
      <c r="A2375" t="s">
        <v>2402</v>
      </c>
      <c r="B2375" t="s">
        <v>46</v>
      </c>
      <c r="D2375" t="s">
        <v>45</v>
      </c>
      <c r="E2375">
        <v>1</v>
      </c>
      <c r="Q2375" t="s">
        <v>2401</v>
      </c>
    </row>
    <row r="2376" spans="1:17" x14ac:dyDescent="0.25">
      <c r="A2376" t="s">
        <v>2403</v>
      </c>
      <c r="B2376" t="s">
        <v>20</v>
      </c>
      <c r="D2376" t="s">
        <v>20</v>
      </c>
      <c r="E2376">
        <v>1</v>
      </c>
      <c r="Q2376" t="s">
        <v>2401</v>
      </c>
    </row>
    <row r="2377" spans="1:17" x14ac:dyDescent="0.25">
      <c r="A2377" t="s">
        <v>2404</v>
      </c>
      <c r="B2377" t="s">
        <v>20</v>
      </c>
      <c r="D2377" t="s">
        <v>20</v>
      </c>
      <c r="E2377">
        <v>2</v>
      </c>
      <c r="Q2377" t="s">
        <v>2399</v>
      </c>
    </row>
    <row r="2378" spans="1:17" x14ac:dyDescent="0.25">
      <c r="A2378" t="s">
        <v>2405</v>
      </c>
      <c r="B2378" t="s">
        <v>20</v>
      </c>
      <c r="D2378" t="s">
        <v>20</v>
      </c>
      <c r="E2378">
        <v>3</v>
      </c>
      <c r="Q2378" t="s">
        <v>2397</v>
      </c>
    </row>
    <row r="2379" spans="1:17" x14ac:dyDescent="0.25">
      <c r="A2379" t="s">
        <v>2406</v>
      </c>
      <c r="B2379" t="s">
        <v>20</v>
      </c>
      <c r="D2379" t="s">
        <v>20</v>
      </c>
      <c r="F2379" t="s">
        <v>204</v>
      </c>
    </row>
    <row r="2380" spans="1:17" x14ac:dyDescent="0.25">
      <c r="A2380" t="s">
        <v>2407</v>
      </c>
      <c r="B2380" t="s">
        <v>20</v>
      </c>
      <c r="D2380" t="s">
        <v>20</v>
      </c>
      <c r="F2380" t="s">
        <v>204</v>
      </c>
    </row>
    <row r="2381" spans="1:17" x14ac:dyDescent="0.25">
      <c r="A2381" t="s">
        <v>2408</v>
      </c>
      <c r="B2381" t="s">
        <v>20</v>
      </c>
      <c r="D2381" t="s">
        <v>20</v>
      </c>
      <c r="F2381" t="s">
        <v>204</v>
      </c>
    </row>
    <row r="2382" spans="1:17" x14ac:dyDescent="0.25">
      <c r="A2382" t="s">
        <v>2409</v>
      </c>
      <c r="B2382" t="s">
        <v>87</v>
      </c>
      <c r="D2382" t="s">
        <v>77</v>
      </c>
      <c r="Q2382" t="s">
        <v>2401</v>
      </c>
    </row>
    <row r="2383" spans="1:17" x14ac:dyDescent="0.25">
      <c r="A2383" t="s">
        <v>2410</v>
      </c>
      <c r="B2383" t="s">
        <v>173</v>
      </c>
      <c r="D2383" t="s">
        <v>45</v>
      </c>
      <c r="E2383">
        <v>2</v>
      </c>
      <c r="Q2383" t="s">
        <v>2399</v>
      </c>
    </row>
    <row r="2384" spans="1:17" x14ac:dyDescent="0.25">
      <c r="A2384" t="s">
        <v>2411</v>
      </c>
      <c r="B2384" t="s">
        <v>173</v>
      </c>
      <c r="D2384" t="s">
        <v>45</v>
      </c>
      <c r="E2384">
        <v>3</v>
      </c>
      <c r="Q2384" t="s">
        <v>2397</v>
      </c>
    </row>
    <row r="2385" spans="1:19" x14ac:dyDescent="0.25">
      <c r="A2385" t="s">
        <v>2412</v>
      </c>
      <c r="B2385" t="s">
        <v>173</v>
      </c>
      <c r="D2385" t="s">
        <v>77</v>
      </c>
      <c r="Q2385" t="s">
        <v>2399</v>
      </c>
      <c r="S2385" t="s">
        <v>1642</v>
      </c>
    </row>
    <row r="2386" spans="1:19" x14ac:dyDescent="0.25">
      <c r="A2386" t="s">
        <v>2413</v>
      </c>
      <c r="B2386" t="s">
        <v>77</v>
      </c>
      <c r="C2386" t="s">
        <v>85</v>
      </c>
      <c r="D2386" t="s">
        <v>77</v>
      </c>
      <c r="Q2386" t="s">
        <v>2399</v>
      </c>
    </row>
    <row r="2387" spans="1:19" hidden="1" x14ac:dyDescent="0.25">
      <c r="A2387" t="s">
        <v>2414</v>
      </c>
      <c r="B2387" t="s">
        <v>87</v>
      </c>
    </row>
    <row r="2388" spans="1:19" x14ac:dyDescent="0.25">
      <c r="A2388" t="s">
        <v>2415</v>
      </c>
      <c r="B2388" t="s">
        <v>173</v>
      </c>
      <c r="D2388" t="s">
        <v>45</v>
      </c>
      <c r="Q2388" t="s">
        <v>2399</v>
      </c>
      <c r="S2388" t="s">
        <v>1642</v>
      </c>
    </row>
    <row r="2389" spans="1:19" x14ac:dyDescent="0.25">
      <c r="A2389" t="s">
        <v>2416</v>
      </c>
      <c r="B2389" t="s">
        <v>20</v>
      </c>
      <c r="D2389" t="s">
        <v>20</v>
      </c>
      <c r="I2389" t="s">
        <v>249</v>
      </c>
    </row>
    <row r="2390" spans="1:19" x14ac:dyDescent="0.25">
      <c r="A2390" t="s">
        <v>2417</v>
      </c>
      <c r="B2390" t="s">
        <v>77</v>
      </c>
      <c r="D2390" t="s">
        <v>77</v>
      </c>
      <c r="J2390" t="s">
        <v>2418</v>
      </c>
      <c r="K2390">
        <v>20</v>
      </c>
    </row>
    <row r="2391" spans="1:19" x14ac:dyDescent="0.25">
      <c r="A2391" t="s">
        <v>2419</v>
      </c>
      <c r="B2391" t="s">
        <v>77</v>
      </c>
      <c r="D2391" t="s">
        <v>77</v>
      </c>
      <c r="J2391" t="s">
        <v>1426</v>
      </c>
      <c r="K2391">
        <v>18</v>
      </c>
    </row>
    <row r="2392" spans="1:19" x14ac:dyDescent="0.25">
      <c r="A2392" t="s">
        <v>2420</v>
      </c>
      <c r="B2392" t="s">
        <v>77</v>
      </c>
      <c r="D2392" t="s">
        <v>77</v>
      </c>
      <c r="I2392" t="s">
        <v>79</v>
      </c>
      <c r="J2392" t="s">
        <v>2421</v>
      </c>
      <c r="K2392">
        <v>46</v>
      </c>
    </row>
    <row r="2393" spans="1:19" x14ac:dyDescent="0.25">
      <c r="A2393" t="s">
        <v>2422</v>
      </c>
      <c r="B2393" t="s">
        <v>77</v>
      </c>
      <c r="D2393" t="s">
        <v>77</v>
      </c>
      <c r="J2393" t="s">
        <v>2423</v>
      </c>
      <c r="K2393">
        <v>50</v>
      </c>
    </row>
    <row r="2394" spans="1:19" x14ac:dyDescent="0.25">
      <c r="A2394" t="s">
        <v>2424</v>
      </c>
      <c r="B2394" t="s">
        <v>77</v>
      </c>
      <c r="C2394" t="s">
        <v>85</v>
      </c>
      <c r="D2394" t="s">
        <v>77</v>
      </c>
      <c r="J2394">
        <v>46</v>
      </c>
      <c r="K2394">
        <v>46</v>
      </c>
      <c r="R2394" t="s">
        <v>108</v>
      </c>
      <c r="S2394" t="s">
        <v>290</v>
      </c>
    </row>
    <row r="2395" spans="1:19" x14ac:dyDescent="0.25">
      <c r="A2395" t="s">
        <v>2425</v>
      </c>
      <c r="B2395" t="s">
        <v>77</v>
      </c>
      <c r="C2395" t="s">
        <v>85</v>
      </c>
      <c r="D2395" t="s">
        <v>77</v>
      </c>
      <c r="J2395">
        <v>46</v>
      </c>
      <c r="K2395">
        <v>46</v>
      </c>
      <c r="R2395" t="s">
        <v>108</v>
      </c>
      <c r="S2395" t="s">
        <v>292</v>
      </c>
    </row>
    <row r="2396" spans="1:19" hidden="1" x14ac:dyDescent="0.25">
      <c r="A2396" t="s">
        <v>2426</v>
      </c>
      <c r="B2396" t="s">
        <v>341</v>
      </c>
    </row>
    <row r="2397" spans="1:19" hidden="1" x14ac:dyDescent="0.25">
      <c r="A2397" t="s">
        <v>2427</v>
      </c>
      <c r="B2397" t="s">
        <v>87</v>
      </c>
    </row>
    <row r="2398" spans="1:19" hidden="1" x14ac:dyDescent="0.25">
      <c r="A2398" t="s">
        <v>2428</v>
      </c>
      <c r="B2398" t="s">
        <v>173</v>
      </c>
    </row>
    <row r="2399" spans="1:19" hidden="1" x14ac:dyDescent="0.25">
      <c r="A2399" t="s">
        <v>1830</v>
      </c>
      <c r="B2399" t="s">
        <v>341</v>
      </c>
    </row>
    <row r="2400" spans="1:19" hidden="1" x14ac:dyDescent="0.25">
      <c r="A2400" t="s">
        <v>2429</v>
      </c>
      <c r="B2400" t="s">
        <v>87</v>
      </c>
    </row>
    <row r="2401" spans="1:2" hidden="1" x14ac:dyDescent="0.25">
      <c r="A2401" t="s">
        <v>2430</v>
      </c>
      <c r="B2401" t="s">
        <v>87</v>
      </c>
    </row>
    <row r="2402" spans="1:2" hidden="1" x14ac:dyDescent="0.25">
      <c r="A2402" t="s">
        <v>2431</v>
      </c>
      <c r="B2402" t="s">
        <v>46</v>
      </c>
    </row>
    <row r="2403" spans="1:2" hidden="1" x14ac:dyDescent="0.25">
      <c r="A2403" t="s">
        <v>2432</v>
      </c>
      <c r="B2403" t="s">
        <v>46</v>
      </c>
    </row>
    <row r="2404" spans="1:2" hidden="1" x14ac:dyDescent="0.25">
      <c r="A2404" t="s">
        <v>2433</v>
      </c>
      <c r="B2404" t="s">
        <v>77</v>
      </c>
    </row>
    <row r="2405" spans="1:2" hidden="1" x14ac:dyDescent="0.25">
      <c r="A2405" t="s">
        <v>2434</v>
      </c>
      <c r="B2405" t="s">
        <v>77</v>
      </c>
    </row>
    <row r="2406" spans="1:2" hidden="1" x14ac:dyDescent="0.25">
      <c r="A2406" t="s">
        <v>2435</v>
      </c>
      <c r="B2406" t="s">
        <v>173</v>
      </c>
    </row>
    <row r="2407" spans="1:2" hidden="1" x14ac:dyDescent="0.25">
      <c r="A2407" t="s">
        <v>2436</v>
      </c>
      <c r="B2407" t="s">
        <v>46</v>
      </c>
    </row>
    <row r="2408" spans="1:2" hidden="1" x14ac:dyDescent="0.25">
      <c r="A2408" t="s">
        <v>2437</v>
      </c>
      <c r="B2408" t="s">
        <v>46</v>
      </c>
    </row>
    <row r="2409" spans="1:2" hidden="1" x14ac:dyDescent="0.25">
      <c r="A2409" t="s">
        <v>2438</v>
      </c>
      <c r="B2409" t="s">
        <v>77</v>
      </c>
    </row>
    <row r="2410" spans="1:2" hidden="1" x14ac:dyDescent="0.25">
      <c r="A2410" t="s">
        <v>2439</v>
      </c>
      <c r="B2410" t="s">
        <v>77</v>
      </c>
    </row>
    <row r="2411" spans="1:2" hidden="1" x14ac:dyDescent="0.25">
      <c r="A2411" t="s">
        <v>2440</v>
      </c>
      <c r="B2411" t="s">
        <v>173</v>
      </c>
    </row>
    <row r="2412" spans="1:2" hidden="1" x14ac:dyDescent="0.25">
      <c r="A2412" t="s">
        <v>2441</v>
      </c>
    </row>
    <row r="2413" spans="1:2" hidden="1" x14ac:dyDescent="0.25">
      <c r="A2413" t="s">
        <v>2442</v>
      </c>
      <c r="B2413" t="s">
        <v>46</v>
      </c>
    </row>
    <row r="2414" spans="1:2" hidden="1" x14ac:dyDescent="0.25">
      <c r="A2414" t="s">
        <v>2443</v>
      </c>
      <c r="B2414" t="s">
        <v>46</v>
      </c>
    </row>
    <row r="2415" spans="1:2" hidden="1" x14ac:dyDescent="0.25">
      <c r="A2415" t="s">
        <v>2444</v>
      </c>
      <c r="B2415" t="s">
        <v>77</v>
      </c>
    </row>
    <row r="2416" spans="1:2" hidden="1" x14ac:dyDescent="0.25">
      <c r="A2416" t="s">
        <v>2445</v>
      </c>
      <c r="B2416" t="s">
        <v>77</v>
      </c>
    </row>
    <row r="2417" spans="1:11" hidden="1" x14ac:dyDescent="0.25">
      <c r="A2417" t="s">
        <v>2446</v>
      </c>
      <c r="B2417" t="s">
        <v>173</v>
      </c>
    </row>
    <row r="2418" spans="1:11" hidden="1" x14ac:dyDescent="0.25">
      <c r="A2418" t="s">
        <v>2447</v>
      </c>
      <c r="B2418" t="s">
        <v>46</v>
      </c>
    </row>
    <row r="2419" spans="1:11" hidden="1" x14ac:dyDescent="0.25">
      <c r="A2419" t="s">
        <v>2448</v>
      </c>
      <c r="B2419" t="s">
        <v>46</v>
      </c>
    </row>
    <row r="2420" spans="1:11" hidden="1" x14ac:dyDescent="0.25">
      <c r="A2420" t="s">
        <v>2449</v>
      </c>
      <c r="B2420" t="s">
        <v>77</v>
      </c>
    </row>
    <row r="2421" spans="1:11" hidden="1" x14ac:dyDescent="0.25">
      <c r="A2421" t="s">
        <v>2450</v>
      </c>
      <c r="B2421" t="s">
        <v>77</v>
      </c>
    </row>
    <row r="2422" spans="1:11" hidden="1" x14ac:dyDescent="0.25">
      <c r="A2422" t="s">
        <v>2451</v>
      </c>
      <c r="B2422" t="s">
        <v>173</v>
      </c>
    </row>
    <row r="2423" spans="1:11" x14ac:dyDescent="0.25">
      <c r="A2423" t="s">
        <v>2452</v>
      </c>
      <c r="B2423" t="s">
        <v>173</v>
      </c>
      <c r="D2423" t="s">
        <v>20</v>
      </c>
      <c r="F2423" t="s">
        <v>204</v>
      </c>
    </row>
    <row r="2424" spans="1:11" hidden="1" x14ac:dyDescent="0.25">
      <c r="A2424" t="s">
        <v>2453</v>
      </c>
      <c r="B2424" t="s">
        <v>341</v>
      </c>
    </row>
    <row r="2425" spans="1:11" hidden="1" x14ac:dyDescent="0.25">
      <c r="A2425" t="s">
        <v>2454</v>
      </c>
      <c r="B2425" t="s">
        <v>341</v>
      </c>
    </row>
    <row r="2426" spans="1:11" hidden="1" x14ac:dyDescent="0.25">
      <c r="A2426" t="s">
        <v>2455</v>
      </c>
      <c r="B2426" t="s">
        <v>87</v>
      </c>
    </row>
    <row r="2427" spans="1:11" hidden="1" x14ac:dyDescent="0.25">
      <c r="A2427" t="s">
        <v>2456</v>
      </c>
      <c r="B2427" t="s">
        <v>173</v>
      </c>
    </row>
    <row r="2428" spans="1:11" hidden="1" x14ac:dyDescent="0.25">
      <c r="A2428" t="s">
        <v>2457</v>
      </c>
      <c r="B2428" t="s">
        <v>173</v>
      </c>
    </row>
    <row r="2429" spans="1:11" x14ac:dyDescent="0.25">
      <c r="A2429" t="s">
        <v>2458</v>
      </c>
      <c r="B2429" t="s">
        <v>20</v>
      </c>
      <c r="D2429" t="s">
        <v>20</v>
      </c>
      <c r="E2429">
        <v>2</v>
      </c>
      <c r="J2429" t="s">
        <v>612</v>
      </c>
      <c r="K2429">
        <v>21</v>
      </c>
    </row>
    <row r="2430" spans="1:11" hidden="1" x14ac:dyDescent="0.25">
      <c r="A2430" t="s">
        <v>119</v>
      </c>
      <c r="B2430" t="s">
        <v>95</v>
      </c>
    </row>
    <row r="2431" spans="1:11" x14ac:dyDescent="0.25">
      <c r="A2431" t="s">
        <v>2459</v>
      </c>
      <c r="B2431" t="s">
        <v>46</v>
      </c>
      <c r="D2431" t="s">
        <v>46</v>
      </c>
      <c r="E2431">
        <v>1</v>
      </c>
    </row>
    <row r="2432" spans="1:11" hidden="1" x14ac:dyDescent="0.25">
      <c r="A2432" t="s">
        <v>2460</v>
      </c>
      <c r="B2432" t="s">
        <v>87</v>
      </c>
    </row>
    <row r="2433" spans="1:18" hidden="1" x14ac:dyDescent="0.25">
      <c r="A2433" t="s">
        <v>2461</v>
      </c>
      <c r="B2433" t="s">
        <v>87</v>
      </c>
    </row>
    <row r="2434" spans="1:18" hidden="1" x14ac:dyDescent="0.25">
      <c r="A2434" t="s">
        <v>595</v>
      </c>
      <c r="B2434" t="s">
        <v>77</v>
      </c>
    </row>
    <row r="2435" spans="1:18" hidden="1" x14ac:dyDescent="0.25">
      <c r="A2435" t="s">
        <v>2462</v>
      </c>
      <c r="B2435" t="s">
        <v>87</v>
      </c>
    </row>
    <row r="2436" spans="1:18" hidden="1" x14ac:dyDescent="0.25">
      <c r="A2436" t="s">
        <v>2379</v>
      </c>
      <c r="B2436" t="s">
        <v>341</v>
      </c>
    </row>
    <row r="2437" spans="1:18" hidden="1" x14ac:dyDescent="0.25">
      <c r="A2437" t="s">
        <v>2463</v>
      </c>
    </row>
    <row r="2438" spans="1:18" hidden="1" x14ac:dyDescent="0.25">
      <c r="A2438" t="s">
        <v>2464</v>
      </c>
      <c r="B2438" t="s">
        <v>95</v>
      </c>
    </row>
    <row r="2439" spans="1:18" hidden="1" x14ac:dyDescent="0.25">
      <c r="A2439" t="s">
        <v>2465</v>
      </c>
      <c r="B2439" t="s">
        <v>16</v>
      </c>
    </row>
    <row r="2440" spans="1:18" hidden="1" x14ac:dyDescent="0.25">
      <c r="A2440" t="s">
        <v>2466</v>
      </c>
      <c r="B2440" t="s">
        <v>16</v>
      </c>
    </row>
    <row r="2441" spans="1:18" x14ac:dyDescent="0.25">
      <c r="A2441" t="s">
        <v>842</v>
      </c>
      <c r="B2441" t="s">
        <v>214</v>
      </c>
      <c r="D2441" t="s">
        <v>77</v>
      </c>
      <c r="Q2441" t="s">
        <v>83</v>
      </c>
    </row>
    <row r="2442" spans="1:18" hidden="1" x14ac:dyDescent="0.25">
      <c r="A2442" t="s">
        <v>2467</v>
      </c>
      <c r="B2442" t="s">
        <v>173</v>
      </c>
    </row>
    <row r="2443" spans="1:18" x14ac:dyDescent="0.25">
      <c r="A2443" t="s">
        <v>2152</v>
      </c>
      <c r="B2443" t="s">
        <v>173</v>
      </c>
      <c r="D2443" t="s">
        <v>77</v>
      </c>
      <c r="I2443" t="s">
        <v>137</v>
      </c>
      <c r="R2443" t="s">
        <v>873</v>
      </c>
    </row>
    <row r="2444" spans="1:18" x14ac:dyDescent="0.25">
      <c r="A2444" t="s">
        <v>2468</v>
      </c>
      <c r="B2444" t="s">
        <v>77</v>
      </c>
      <c r="D2444" t="s">
        <v>77</v>
      </c>
      <c r="I2444" t="s">
        <v>137</v>
      </c>
      <c r="R2444" t="s">
        <v>878</v>
      </c>
    </row>
    <row r="2445" spans="1:18" x14ac:dyDescent="0.25">
      <c r="A2445" t="s">
        <v>2151</v>
      </c>
      <c r="B2445" t="s">
        <v>173</v>
      </c>
      <c r="D2445" t="s">
        <v>77</v>
      </c>
      <c r="Q2445" t="s">
        <v>83</v>
      </c>
    </row>
    <row r="2446" spans="1:18" x14ac:dyDescent="0.25">
      <c r="A2446" t="s">
        <v>2469</v>
      </c>
      <c r="B2446" t="s">
        <v>77</v>
      </c>
      <c r="D2446" t="s">
        <v>77</v>
      </c>
      <c r="Q2446" t="s">
        <v>83</v>
      </c>
    </row>
    <row r="2447" spans="1:18" hidden="1" x14ac:dyDescent="0.25">
      <c r="A2447" t="s">
        <v>2470</v>
      </c>
      <c r="B2447" t="s">
        <v>173</v>
      </c>
    </row>
    <row r="2448" spans="1:18" hidden="1" x14ac:dyDescent="0.25">
      <c r="A2448" t="s">
        <v>2471</v>
      </c>
      <c r="B2448" t="s">
        <v>341</v>
      </c>
    </row>
    <row r="2449" spans="1:17" x14ac:dyDescent="0.25">
      <c r="A2449" t="s">
        <v>2472</v>
      </c>
      <c r="B2449" t="s">
        <v>173</v>
      </c>
      <c r="D2449" t="s">
        <v>77</v>
      </c>
      <c r="J2449">
        <v>55</v>
      </c>
      <c r="K2449">
        <v>55</v>
      </c>
    </row>
    <row r="2450" spans="1:17" x14ac:dyDescent="0.25">
      <c r="A2450" t="s">
        <v>2473</v>
      </c>
      <c r="B2450" t="s">
        <v>173</v>
      </c>
      <c r="D2450" t="s">
        <v>46</v>
      </c>
      <c r="J2450">
        <v>55</v>
      </c>
      <c r="K2450">
        <v>55</v>
      </c>
    </row>
    <row r="2451" spans="1:17" hidden="1" x14ac:dyDescent="0.25">
      <c r="A2451" t="s">
        <v>2474</v>
      </c>
      <c r="B2451" t="s">
        <v>87</v>
      </c>
    </row>
    <row r="2452" spans="1:17" hidden="1" x14ac:dyDescent="0.25">
      <c r="A2452" t="s">
        <v>2475</v>
      </c>
      <c r="B2452" t="s">
        <v>87</v>
      </c>
    </row>
    <row r="2453" spans="1:17" hidden="1" x14ac:dyDescent="0.25">
      <c r="A2453" t="s">
        <v>2476</v>
      </c>
      <c r="B2453" t="s">
        <v>87</v>
      </c>
    </row>
    <row r="2454" spans="1:17" hidden="1" x14ac:dyDescent="0.25">
      <c r="A2454" t="s">
        <v>2477</v>
      </c>
      <c r="B2454" t="s">
        <v>95</v>
      </c>
    </row>
    <row r="2455" spans="1:17" hidden="1" x14ac:dyDescent="0.25">
      <c r="A2455" t="s">
        <v>2028</v>
      </c>
      <c r="B2455" t="s">
        <v>87</v>
      </c>
    </row>
    <row r="2456" spans="1:17" hidden="1" x14ac:dyDescent="0.25">
      <c r="A2456" t="s">
        <v>2478</v>
      </c>
      <c r="B2456" t="s">
        <v>87</v>
      </c>
    </row>
    <row r="2457" spans="1:17" hidden="1" x14ac:dyDescent="0.25">
      <c r="A2457" t="s">
        <v>2479</v>
      </c>
      <c r="B2457" t="s">
        <v>87</v>
      </c>
    </row>
    <row r="2458" spans="1:17" hidden="1" x14ac:dyDescent="0.25">
      <c r="A2458" t="s">
        <v>2480</v>
      </c>
      <c r="B2458" t="s">
        <v>95</v>
      </c>
    </row>
    <row r="2459" spans="1:17" hidden="1" x14ac:dyDescent="0.25">
      <c r="A2459" t="s">
        <v>2481</v>
      </c>
      <c r="B2459" t="s">
        <v>95</v>
      </c>
    </row>
    <row r="2460" spans="1:17" hidden="1" x14ac:dyDescent="0.25">
      <c r="A2460" t="s">
        <v>2482</v>
      </c>
      <c r="B2460" t="s">
        <v>16</v>
      </c>
    </row>
    <row r="2461" spans="1:17" hidden="1" x14ac:dyDescent="0.25">
      <c r="A2461" t="s">
        <v>2483</v>
      </c>
      <c r="B2461" t="s">
        <v>87</v>
      </c>
    </row>
    <row r="2462" spans="1:17" hidden="1" x14ac:dyDescent="0.25">
      <c r="A2462" t="s">
        <v>2484</v>
      </c>
      <c r="B2462" t="s">
        <v>341</v>
      </c>
    </row>
    <row r="2463" spans="1:17" x14ac:dyDescent="0.25">
      <c r="A2463" t="s">
        <v>2485</v>
      </c>
      <c r="B2463" t="s">
        <v>46</v>
      </c>
      <c r="D2463" t="s">
        <v>46</v>
      </c>
      <c r="Q2463" t="s">
        <v>2015</v>
      </c>
    </row>
    <row r="2464" spans="1:17" x14ac:dyDescent="0.25">
      <c r="A2464" t="s">
        <v>2486</v>
      </c>
      <c r="B2464" t="s">
        <v>20</v>
      </c>
      <c r="D2464" t="s">
        <v>20</v>
      </c>
      <c r="Q2464" t="s">
        <v>2015</v>
      </c>
    </row>
    <row r="2465" spans="1:18" hidden="1" x14ac:dyDescent="0.25">
      <c r="A2465" t="s">
        <v>2487</v>
      </c>
      <c r="B2465" t="s">
        <v>87</v>
      </c>
    </row>
    <row r="2466" spans="1:18" hidden="1" x14ac:dyDescent="0.25">
      <c r="A2466" t="s">
        <v>2488</v>
      </c>
      <c r="B2466" t="s">
        <v>87</v>
      </c>
    </row>
    <row r="2467" spans="1:18" hidden="1" x14ac:dyDescent="0.25">
      <c r="A2467" t="s">
        <v>2489</v>
      </c>
      <c r="B2467" t="s">
        <v>87</v>
      </c>
    </row>
    <row r="2468" spans="1:18" x14ac:dyDescent="0.25">
      <c r="A2468" t="s">
        <v>2490</v>
      </c>
      <c r="B2468" t="s">
        <v>77</v>
      </c>
      <c r="D2468" t="s">
        <v>77</v>
      </c>
      <c r="J2468">
        <v>45</v>
      </c>
      <c r="K2468">
        <v>45</v>
      </c>
      <c r="R2468" t="s">
        <v>108</v>
      </c>
    </row>
    <row r="2469" spans="1:18" hidden="1" x14ac:dyDescent="0.25">
      <c r="A2469" t="s">
        <v>2491</v>
      </c>
      <c r="B2469" t="s">
        <v>87</v>
      </c>
    </row>
    <row r="2470" spans="1:18" x14ac:dyDescent="0.25">
      <c r="A2470" t="s">
        <v>2492</v>
      </c>
      <c r="B2470" t="s">
        <v>77</v>
      </c>
      <c r="D2470" t="s">
        <v>77</v>
      </c>
      <c r="E2470">
        <v>3</v>
      </c>
      <c r="J2470" t="s">
        <v>490</v>
      </c>
      <c r="K2470">
        <v>24</v>
      </c>
    </row>
    <row r="2471" spans="1:18" hidden="1" x14ac:dyDescent="0.25">
      <c r="A2471" t="s">
        <v>2493</v>
      </c>
      <c r="B2471" t="s">
        <v>87</v>
      </c>
    </row>
    <row r="2472" spans="1:18" hidden="1" x14ac:dyDescent="0.25">
      <c r="A2472" t="s">
        <v>2494</v>
      </c>
      <c r="B2472" t="s">
        <v>341</v>
      </c>
    </row>
    <row r="2473" spans="1:18" x14ac:dyDescent="0.25">
      <c r="A2473" t="s">
        <v>2495</v>
      </c>
      <c r="B2473" t="s">
        <v>77</v>
      </c>
      <c r="C2473" t="s">
        <v>85</v>
      </c>
      <c r="D2473" t="s">
        <v>77</v>
      </c>
      <c r="L2473" t="s">
        <v>552</v>
      </c>
    </row>
    <row r="2474" spans="1:18" x14ac:dyDescent="0.25">
      <c r="A2474" t="s">
        <v>2496</v>
      </c>
      <c r="B2474" t="s">
        <v>77</v>
      </c>
      <c r="C2474" t="s">
        <v>83</v>
      </c>
      <c r="D2474" t="s">
        <v>77</v>
      </c>
      <c r="E2474">
        <v>1</v>
      </c>
    </row>
    <row r="2475" spans="1:18" x14ac:dyDescent="0.25">
      <c r="A2475" t="s">
        <v>2497</v>
      </c>
      <c r="B2475" t="s">
        <v>77</v>
      </c>
      <c r="C2475" t="s">
        <v>83</v>
      </c>
      <c r="D2475" t="s">
        <v>77</v>
      </c>
      <c r="E2475">
        <v>2</v>
      </c>
    </row>
    <row r="2476" spans="1:18" x14ac:dyDescent="0.25">
      <c r="A2476" t="s">
        <v>2498</v>
      </c>
      <c r="B2476" t="s">
        <v>77</v>
      </c>
      <c r="D2476" t="s">
        <v>77</v>
      </c>
      <c r="L2476" t="s">
        <v>350</v>
      </c>
      <c r="Q2476" t="s">
        <v>83</v>
      </c>
    </row>
    <row r="2477" spans="1:18" x14ac:dyDescent="0.25">
      <c r="A2477" t="s">
        <v>2499</v>
      </c>
      <c r="B2477" t="s">
        <v>20</v>
      </c>
      <c r="D2477" t="s">
        <v>20</v>
      </c>
      <c r="E2477">
        <v>3</v>
      </c>
    </row>
    <row r="2478" spans="1:18" x14ac:dyDescent="0.25">
      <c r="A2478" t="s">
        <v>2500</v>
      </c>
      <c r="B2478" t="s">
        <v>77</v>
      </c>
      <c r="D2478" t="s">
        <v>77</v>
      </c>
      <c r="J2478" t="s">
        <v>2501</v>
      </c>
      <c r="K2478">
        <v>35</v>
      </c>
    </row>
    <row r="2479" spans="1:18" hidden="1" x14ac:dyDescent="0.25">
      <c r="A2479" t="s">
        <v>2502</v>
      </c>
      <c r="B2479" t="s">
        <v>173</v>
      </c>
    </row>
    <row r="2480" spans="1:18" hidden="1" x14ac:dyDescent="0.25">
      <c r="A2480" t="s">
        <v>401</v>
      </c>
      <c r="B2480" t="s">
        <v>173</v>
      </c>
    </row>
    <row r="2481" spans="1:18" hidden="1" x14ac:dyDescent="0.25">
      <c r="A2481" t="s">
        <v>2503</v>
      </c>
      <c r="B2481" t="s">
        <v>16</v>
      </c>
    </row>
    <row r="2482" spans="1:18" hidden="1" x14ac:dyDescent="0.25">
      <c r="A2482" t="s">
        <v>2159</v>
      </c>
      <c r="B2482" t="s">
        <v>341</v>
      </c>
    </row>
    <row r="2483" spans="1:18" hidden="1" x14ac:dyDescent="0.25">
      <c r="A2483" t="s">
        <v>2504</v>
      </c>
      <c r="B2483" t="s">
        <v>173</v>
      </c>
    </row>
    <row r="2484" spans="1:18" hidden="1" x14ac:dyDescent="0.25">
      <c r="A2484" t="s">
        <v>2505</v>
      </c>
      <c r="B2484" t="s">
        <v>173</v>
      </c>
    </row>
    <row r="2485" spans="1:18" hidden="1" x14ac:dyDescent="0.25">
      <c r="A2485" t="s">
        <v>2506</v>
      </c>
      <c r="B2485" t="s">
        <v>87</v>
      </c>
    </row>
    <row r="2486" spans="1:18" hidden="1" x14ac:dyDescent="0.25">
      <c r="A2486" t="s">
        <v>2507</v>
      </c>
      <c r="B2486" t="s">
        <v>87</v>
      </c>
    </row>
    <row r="2487" spans="1:18" x14ac:dyDescent="0.25">
      <c r="A2487" t="s">
        <v>2508</v>
      </c>
      <c r="B2487" t="s">
        <v>77</v>
      </c>
      <c r="D2487" t="s">
        <v>77</v>
      </c>
      <c r="J2487" t="s">
        <v>2509</v>
      </c>
      <c r="K2487">
        <v>70</v>
      </c>
    </row>
    <row r="2488" spans="1:18" x14ac:dyDescent="0.25">
      <c r="A2488" t="s">
        <v>2510</v>
      </c>
      <c r="B2488" t="s">
        <v>46</v>
      </c>
      <c r="D2488" t="s">
        <v>46</v>
      </c>
      <c r="J2488" t="s">
        <v>2511</v>
      </c>
      <c r="K2488">
        <v>70</v>
      </c>
    </row>
    <row r="2489" spans="1:18" x14ac:dyDescent="0.25">
      <c r="A2489" t="s">
        <v>2512</v>
      </c>
      <c r="B2489" t="s">
        <v>46</v>
      </c>
      <c r="D2489" t="s">
        <v>46</v>
      </c>
      <c r="I2489" t="s">
        <v>79</v>
      </c>
      <c r="J2489" t="s">
        <v>2509</v>
      </c>
      <c r="K2489">
        <v>70</v>
      </c>
    </row>
    <row r="2490" spans="1:18" x14ac:dyDescent="0.25">
      <c r="A2490" t="s">
        <v>2513</v>
      </c>
      <c r="B2490" t="s">
        <v>46</v>
      </c>
      <c r="D2490" t="s">
        <v>46</v>
      </c>
      <c r="I2490" t="s">
        <v>79</v>
      </c>
      <c r="J2490">
        <v>56</v>
      </c>
      <c r="K2490">
        <v>56</v>
      </c>
      <c r="R2490" t="s">
        <v>108</v>
      </c>
    </row>
    <row r="2491" spans="1:18" x14ac:dyDescent="0.25">
      <c r="A2491" t="s">
        <v>2514</v>
      </c>
      <c r="B2491" t="s">
        <v>46</v>
      </c>
      <c r="D2491" t="s">
        <v>46</v>
      </c>
      <c r="I2491" t="s">
        <v>79</v>
      </c>
      <c r="J2491">
        <v>56</v>
      </c>
      <c r="K2491">
        <v>56</v>
      </c>
      <c r="R2491" t="s">
        <v>106</v>
      </c>
    </row>
    <row r="2492" spans="1:18" x14ac:dyDescent="0.25">
      <c r="A2492" t="s">
        <v>2515</v>
      </c>
      <c r="B2492" t="s">
        <v>77</v>
      </c>
      <c r="D2492" t="s">
        <v>77</v>
      </c>
      <c r="I2492" t="s">
        <v>79</v>
      </c>
      <c r="J2492">
        <v>56</v>
      </c>
      <c r="K2492">
        <v>56</v>
      </c>
      <c r="R2492" t="s">
        <v>108</v>
      </c>
    </row>
    <row r="2493" spans="1:18" x14ac:dyDescent="0.25">
      <c r="A2493" t="s">
        <v>2516</v>
      </c>
      <c r="B2493" t="s">
        <v>77</v>
      </c>
      <c r="D2493" t="s">
        <v>77</v>
      </c>
      <c r="I2493" t="s">
        <v>79</v>
      </c>
      <c r="J2493">
        <v>56</v>
      </c>
      <c r="K2493">
        <v>56</v>
      </c>
      <c r="R2493" t="s">
        <v>106</v>
      </c>
    </row>
    <row r="2494" spans="1:18" x14ac:dyDescent="0.25">
      <c r="A2494" t="s">
        <v>2517</v>
      </c>
      <c r="B2494" t="s">
        <v>77</v>
      </c>
      <c r="D2494" t="s">
        <v>77</v>
      </c>
      <c r="J2494">
        <v>70</v>
      </c>
      <c r="K2494">
        <v>70</v>
      </c>
      <c r="L2494" t="s">
        <v>605</v>
      </c>
    </row>
    <row r="2495" spans="1:18" x14ac:dyDescent="0.25">
      <c r="A2495" t="s">
        <v>2518</v>
      </c>
      <c r="B2495" t="s">
        <v>46</v>
      </c>
      <c r="D2495" t="s">
        <v>46</v>
      </c>
      <c r="J2495">
        <v>70</v>
      </c>
      <c r="K2495">
        <v>70</v>
      </c>
      <c r="L2495" t="s">
        <v>605</v>
      </c>
    </row>
    <row r="2496" spans="1:18" hidden="1" x14ac:dyDescent="0.25">
      <c r="A2496" t="s">
        <v>2519</v>
      </c>
      <c r="B2496" t="s">
        <v>48</v>
      </c>
    </row>
    <row r="2497" spans="1:19" hidden="1" x14ac:dyDescent="0.25">
      <c r="A2497" t="s">
        <v>2520</v>
      </c>
      <c r="B2497" t="s">
        <v>48</v>
      </c>
    </row>
    <row r="2498" spans="1:19" hidden="1" x14ac:dyDescent="0.25">
      <c r="A2498" t="s">
        <v>2521</v>
      </c>
      <c r="B2498" t="s">
        <v>16</v>
      </c>
    </row>
    <row r="2499" spans="1:19" hidden="1" x14ac:dyDescent="0.25">
      <c r="A2499" t="s">
        <v>2522</v>
      </c>
      <c r="B2499" t="s">
        <v>16</v>
      </c>
    </row>
    <row r="2500" spans="1:19" hidden="1" x14ac:dyDescent="0.25">
      <c r="A2500" t="s">
        <v>2217</v>
      </c>
      <c r="B2500" t="s">
        <v>77</v>
      </c>
    </row>
    <row r="2501" spans="1:19" hidden="1" x14ac:dyDescent="0.25">
      <c r="A2501" t="s">
        <v>2523</v>
      </c>
    </row>
    <row r="2502" spans="1:19" x14ac:dyDescent="0.25">
      <c r="A2502" t="s">
        <v>2524</v>
      </c>
      <c r="B2502" t="s">
        <v>77</v>
      </c>
      <c r="D2502" t="s">
        <v>77</v>
      </c>
      <c r="E2502">
        <v>5</v>
      </c>
      <c r="I2502" t="s">
        <v>249</v>
      </c>
    </row>
    <row r="2503" spans="1:19" x14ac:dyDescent="0.25">
      <c r="A2503" t="s">
        <v>2525</v>
      </c>
      <c r="B2503" t="s">
        <v>48</v>
      </c>
      <c r="D2503" t="s">
        <v>20</v>
      </c>
      <c r="J2503">
        <v>25</v>
      </c>
      <c r="K2503">
        <v>25</v>
      </c>
    </row>
    <row r="2504" spans="1:19" x14ac:dyDescent="0.25">
      <c r="A2504" t="s">
        <v>2526</v>
      </c>
      <c r="B2504" t="s">
        <v>46</v>
      </c>
      <c r="D2504" t="s">
        <v>46</v>
      </c>
      <c r="J2504">
        <v>25</v>
      </c>
      <c r="K2504">
        <v>25</v>
      </c>
    </row>
    <row r="2505" spans="1:19" x14ac:dyDescent="0.25">
      <c r="A2505" t="s">
        <v>2527</v>
      </c>
      <c r="B2505" t="s">
        <v>77</v>
      </c>
      <c r="D2505" t="s">
        <v>77</v>
      </c>
      <c r="J2505">
        <v>25</v>
      </c>
      <c r="K2505">
        <v>25</v>
      </c>
    </row>
    <row r="2506" spans="1:19" hidden="1" x14ac:dyDescent="0.25">
      <c r="A2506" t="s">
        <v>2528</v>
      </c>
      <c r="B2506" t="s">
        <v>341</v>
      </c>
    </row>
    <row r="2507" spans="1:19" x14ac:dyDescent="0.25">
      <c r="A2507" t="s">
        <v>229</v>
      </c>
      <c r="B2507" t="s">
        <v>173</v>
      </c>
      <c r="D2507" t="s">
        <v>20</v>
      </c>
      <c r="F2507" t="s">
        <v>230</v>
      </c>
    </row>
    <row r="2508" spans="1:19" x14ac:dyDescent="0.25">
      <c r="A2508" t="s">
        <v>2529</v>
      </c>
      <c r="B2508" t="s">
        <v>46</v>
      </c>
      <c r="D2508" t="s">
        <v>46</v>
      </c>
      <c r="J2508">
        <v>50</v>
      </c>
      <c r="K2508">
        <v>50</v>
      </c>
      <c r="S2508" t="s">
        <v>1136</v>
      </c>
    </row>
    <row r="2509" spans="1:19" x14ac:dyDescent="0.25">
      <c r="A2509" t="s">
        <v>2530</v>
      </c>
      <c r="B2509" t="s">
        <v>77</v>
      </c>
      <c r="D2509" t="s">
        <v>77</v>
      </c>
      <c r="J2509">
        <v>60</v>
      </c>
      <c r="K2509">
        <v>60</v>
      </c>
      <c r="Q2509" t="s">
        <v>2531</v>
      </c>
      <c r="S2509" t="s">
        <v>2532</v>
      </c>
    </row>
    <row r="2510" spans="1:19" x14ac:dyDescent="0.25">
      <c r="A2510" t="s">
        <v>2533</v>
      </c>
      <c r="B2510" t="s">
        <v>77</v>
      </c>
      <c r="D2510" t="s">
        <v>77</v>
      </c>
      <c r="J2510">
        <v>50</v>
      </c>
      <c r="K2510">
        <v>50</v>
      </c>
      <c r="Q2510" t="s">
        <v>2531</v>
      </c>
      <c r="S2510" t="s">
        <v>2532</v>
      </c>
    </row>
    <row r="2511" spans="1:19" hidden="1" x14ac:dyDescent="0.25">
      <c r="A2511" t="s">
        <v>2534</v>
      </c>
      <c r="B2511" t="s">
        <v>173</v>
      </c>
    </row>
    <row r="2512" spans="1:19" x14ac:dyDescent="0.25">
      <c r="A2512" t="s">
        <v>2535</v>
      </c>
      <c r="B2512" t="s">
        <v>46</v>
      </c>
      <c r="D2512" t="s">
        <v>46</v>
      </c>
      <c r="J2512">
        <v>50</v>
      </c>
      <c r="K2512">
        <v>50</v>
      </c>
      <c r="L2512" t="s">
        <v>605</v>
      </c>
    </row>
    <row r="2513" spans="1:19" x14ac:dyDescent="0.25">
      <c r="A2513" t="s">
        <v>2536</v>
      </c>
      <c r="B2513" t="s">
        <v>46</v>
      </c>
      <c r="D2513" t="s">
        <v>46</v>
      </c>
      <c r="J2513">
        <v>60</v>
      </c>
      <c r="K2513">
        <v>60</v>
      </c>
      <c r="Q2513" t="s">
        <v>2531</v>
      </c>
      <c r="S2513" t="s">
        <v>2532</v>
      </c>
    </row>
    <row r="2514" spans="1:19" x14ac:dyDescent="0.25">
      <c r="A2514" t="s">
        <v>2537</v>
      </c>
      <c r="B2514" t="s">
        <v>46</v>
      </c>
      <c r="C2514" t="s">
        <v>1159</v>
      </c>
      <c r="D2514" t="s">
        <v>46</v>
      </c>
      <c r="J2514">
        <v>54</v>
      </c>
      <c r="K2514">
        <v>54</v>
      </c>
    </row>
    <row r="2515" spans="1:19" x14ac:dyDescent="0.25">
      <c r="A2515" t="s">
        <v>184</v>
      </c>
      <c r="B2515" t="s">
        <v>173</v>
      </c>
      <c r="C2515" t="s">
        <v>85</v>
      </c>
      <c r="D2515" t="s">
        <v>77</v>
      </c>
    </row>
    <row r="2516" spans="1:19" hidden="1" x14ac:dyDescent="0.25">
      <c r="A2516" t="s">
        <v>2538</v>
      </c>
      <c r="B2516" t="s">
        <v>173</v>
      </c>
    </row>
    <row r="2517" spans="1:19" x14ac:dyDescent="0.25">
      <c r="A2517" t="s">
        <v>2539</v>
      </c>
      <c r="B2517" t="s">
        <v>77</v>
      </c>
      <c r="D2517" t="s">
        <v>77</v>
      </c>
      <c r="J2517" t="s">
        <v>448</v>
      </c>
      <c r="K2517">
        <v>27</v>
      </c>
    </row>
    <row r="2518" spans="1:19" hidden="1" x14ac:dyDescent="0.25">
      <c r="A2518" t="s">
        <v>2540</v>
      </c>
      <c r="B2518" t="s">
        <v>16</v>
      </c>
    </row>
    <row r="2519" spans="1:19" hidden="1" x14ac:dyDescent="0.25">
      <c r="A2519" t="s">
        <v>352</v>
      </c>
      <c r="B2519" t="s">
        <v>20</v>
      </c>
    </row>
    <row r="2520" spans="1:19" hidden="1" x14ac:dyDescent="0.25">
      <c r="A2520" t="s">
        <v>2541</v>
      </c>
      <c r="B2520" t="s">
        <v>46</v>
      </c>
    </row>
    <row r="2521" spans="1:19" x14ac:dyDescent="0.25">
      <c r="A2521" t="s">
        <v>2473</v>
      </c>
      <c r="B2521" t="s">
        <v>48</v>
      </c>
      <c r="D2521" t="s">
        <v>46</v>
      </c>
      <c r="J2521">
        <v>55</v>
      </c>
      <c r="K2521">
        <v>55</v>
      </c>
    </row>
    <row r="2522" spans="1:19" x14ac:dyDescent="0.25">
      <c r="A2522" t="s">
        <v>2472</v>
      </c>
      <c r="B2522" t="s">
        <v>16</v>
      </c>
      <c r="D2522" t="s">
        <v>77</v>
      </c>
      <c r="J2522">
        <v>55</v>
      </c>
      <c r="K2522">
        <v>55</v>
      </c>
    </row>
    <row r="2523" spans="1:19" hidden="1" x14ac:dyDescent="0.25">
      <c r="A2523" t="s">
        <v>2542</v>
      </c>
      <c r="B2523" t="s">
        <v>16</v>
      </c>
    </row>
    <row r="2524" spans="1:19" hidden="1" x14ac:dyDescent="0.25">
      <c r="A2524" t="s">
        <v>2543</v>
      </c>
      <c r="B2524" t="s">
        <v>173</v>
      </c>
    </row>
    <row r="2525" spans="1:19" x14ac:dyDescent="0.25">
      <c r="A2525" t="s">
        <v>2544</v>
      </c>
      <c r="B2525" t="s">
        <v>77</v>
      </c>
      <c r="D2525" t="s">
        <v>77</v>
      </c>
      <c r="P2525" t="s">
        <v>2545</v>
      </c>
    </row>
    <row r="2526" spans="1:19" x14ac:dyDescent="0.25">
      <c r="A2526" t="s">
        <v>2546</v>
      </c>
      <c r="B2526" t="s">
        <v>46</v>
      </c>
      <c r="D2526" t="s">
        <v>46</v>
      </c>
      <c r="P2526" t="s">
        <v>2545</v>
      </c>
    </row>
    <row r="2527" spans="1:19" x14ac:dyDescent="0.25">
      <c r="A2527" t="s">
        <v>2547</v>
      </c>
      <c r="B2527" t="s">
        <v>46</v>
      </c>
      <c r="D2527" t="s">
        <v>46</v>
      </c>
      <c r="P2527" t="s">
        <v>2548</v>
      </c>
    </row>
    <row r="2528" spans="1:19" x14ac:dyDescent="0.25">
      <c r="A2528" t="s">
        <v>2549</v>
      </c>
      <c r="B2528" t="s">
        <v>77</v>
      </c>
      <c r="D2528" t="s">
        <v>77</v>
      </c>
      <c r="P2528" t="s">
        <v>2548</v>
      </c>
    </row>
    <row r="2529" spans="1:19" x14ac:dyDescent="0.25">
      <c r="A2529" t="s">
        <v>2550</v>
      </c>
      <c r="B2529" t="s">
        <v>77</v>
      </c>
      <c r="C2529" t="s">
        <v>85</v>
      </c>
      <c r="D2529" t="s">
        <v>77</v>
      </c>
      <c r="P2529" t="s">
        <v>2548</v>
      </c>
    </row>
    <row r="2530" spans="1:19" x14ac:dyDescent="0.25">
      <c r="A2530" t="s">
        <v>2551</v>
      </c>
      <c r="B2530" t="s">
        <v>77</v>
      </c>
      <c r="C2530" t="s">
        <v>85</v>
      </c>
      <c r="D2530" t="s">
        <v>77</v>
      </c>
      <c r="P2530" t="s">
        <v>2545</v>
      </c>
    </row>
    <row r="2531" spans="1:19" hidden="1" x14ac:dyDescent="0.25">
      <c r="A2531" t="s">
        <v>2552</v>
      </c>
      <c r="B2531" t="s">
        <v>173</v>
      </c>
    </row>
    <row r="2532" spans="1:19" x14ac:dyDescent="0.25">
      <c r="A2532" t="s">
        <v>2553</v>
      </c>
      <c r="B2532" t="s">
        <v>173</v>
      </c>
      <c r="C2532" t="s">
        <v>85</v>
      </c>
      <c r="D2532" t="s">
        <v>77</v>
      </c>
      <c r="P2532" t="s">
        <v>605</v>
      </c>
    </row>
    <row r="2533" spans="1:19" hidden="1" x14ac:dyDescent="0.25">
      <c r="A2533" t="s">
        <v>2554</v>
      </c>
      <c r="B2533" t="s">
        <v>95</v>
      </c>
    </row>
    <row r="2534" spans="1:19" hidden="1" x14ac:dyDescent="0.25">
      <c r="A2534" t="s">
        <v>2555</v>
      </c>
    </row>
    <row r="2535" spans="1:19" hidden="1" x14ac:dyDescent="0.25">
      <c r="A2535" t="s">
        <v>2556</v>
      </c>
    </row>
    <row r="2536" spans="1:19" hidden="1" x14ac:dyDescent="0.25">
      <c r="A2536" t="s">
        <v>2557</v>
      </c>
      <c r="B2536" t="s">
        <v>87</v>
      </c>
    </row>
    <row r="2537" spans="1:19" x14ac:dyDescent="0.25">
      <c r="A2537" t="s">
        <v>554</v>
      </c>
      <c r="B2537" t="s">
        <v>173</v>
      </c>
      <c r="C2537" t="s">
        <v>85</v>
      </c>
      <c r="D2537" t="s">
        <v>77</v>
      </c>
      <c r="E2537">
        <v>1</v>
      </c>
    </row>
    <row r="2538" spans="1:19" hidden="1" x14ac:dyDescent="0.25">
      <c r="A2538" t="s">
        <v>2558</v>
      </c>
      <c r="B2538" t="s">
        <v>173</v>
      </c>
    </row>
    <row r="2539" spans="1:19" x14ac:dyDescent="0.25">
      <c r="A2539" t="s">
        <v>2559</v>
      </c>
      <c r="B2539" t="s">
        <v>77</v>
      </c>
      <c r="D2539" t="s">
        <v>77</v>
      </c>
      <c r="S2539" t="s">
        <v>2532</v>
      </c>
    </row>
    <row r="2540" spans="1:19" x14ac:dyDescent="0.25">
      <c r="A2540" t="s">
        <v>2560</v>
      </c>
      <c r="B2540" t="s">
        <v>77</v>
      </c>
      <c r="D2540" t="s">
        <v>77</v>
      </c>
    </row>
    <row r="2541" spans="1:19" x14ac:dyDescent="0.25">
      <c r="A2541" t="s">
        <v>2561</v>
      </c>
      <c r="B2541" t="s">
        <v>46</v>
      </c>
      <c r="D2541" t="s">
        <v>46</v>
      </c>
      <c r="S2541" t="s">
        <v>2532</v>
      </c>
    </row>
    <row r="2542" spans="1:19" x14ac:dyDescent="0.25">
      <c r="A2542" t="s">
        <v>2562</v>
      </c>
      <c r="B2542" t="s">
        <v>46</v>
      </c>
      <c r="D2542" t="s">
        <v>46</v>
      </c>
    </row>
    <row r="2543" spans="1:19" hidden="1" x14ac:dyDescent="0.25">
      <c r="A2543" t="s">
        <v>2563</v>
      </c>
      <c r="B2543" t="s">
        <v>173</v>
      </c>
    </row>
    <row r="2544" spans="1:19" x14ac:dyDescent="0.25">
      <c r="A2544" t="s">
        <v>2564</v>
      </c>
      <c r="B2544" t="s">
        <v>77</v>
      </c>
      <c r="D2544" t="s">
        <v>77</v>
      </c>
      <c r="Q2544" t="s">
        <v>1945</v>
      </c>
    </row>
    <row r="2545" spans="1:19" x14ac:dyDescent="0.25">
      <c r="A2545" t="s">
        <v>2565</v>
      </c>
      <c r="B2545" t="s">
        <v>77</v>
      </c>
      <c r="C2545" t="s">
        <v>85</v>
      </c>
      <c r="D2545" t="s">
        <v>77</v>
      </c>
      <c r="S2545" t="s">
        <v>292</v>
      </c>
    </row>
    <row r="2546" spans="1:19" x14ac:dyDescent="0.25">
      <c r="A2546" t="s">
        <v>2566</v>
      </c>
      <c r="B2546" t="s">
        <v>77</v>
      </c>
      <c r="C2546" t="s">
        <v>85</v>
      </c>
      <c r="D2546" t="s">
        <v>77</v>
      </c>
      <c r="S2546" t="s">
        <v>290</v>
      </c>
    </row>
    <row r="2547" spans="1:19" x14ac:dyDescent="0.25">
      <c r="A2547" t="s">
        <v>2567</v>
      </c>
      <c r="B2547" t="s">
        <v>77</v>
      </c>
      <c r="C2547" t="s">
        <v>85</v>
      </c>
      <c r="D2547" t="s">
        <v>77</v>
      </c>
    </row>
    <row r="2548" spans="1:19" x14ac:dyDescent="0.25">
      <c r="A2548" t="s">
        <v>2568</v>
      </c>
      <c r="B2548" t="s">
        <v>77</v>
      </c>
      <c r="C2548" t="s">
        <v>85</v>
      </c>
      <c r="D2548" t="s">
        <v>77</v>
      </c>
      <c r="R2548" t="s">
        <v>2569</v>
      </c>
    </row>
    <row r="2549" spans="1:19" x14ac:dyDescent="0.25">
      <c r="A2549" t="s">
        <v>2570</v>
      </c>
      <c r="B2549" t="s">
        <v>77</v>
      </c>
      <c r="C2549" t="s">
        <v>85</v>
      </c>
      <c r="D2549" t="s">
        <v>77</v>
      </c>
      <c r="S2549" t="s">
        <v>292</v>
      </c>
    </row>
    <row r="2550" spans="1:19" x14ac:dyDescent="0.25">
      <c r="A2550" t="s">
        <v>2571</v>
      </c>
      <c r="B2550" t="s">
        <v>77</v>
      </c>
      <c r="C2550" t="s">
        <v>85</v>
      </c>
      <c r="D2550" t="s">
        <v>77</v>
      </c>
      <c r="S2550" t="s">
        <v>290</v>
      </c>
    </row>
    <row r="2551" spans="1:19" x14ac:dyDescent="0.25">
      <c r="A2551" t="s">
        <v>2572</v>
      </c>
      <c r="B2551" t="s">
        <v>77</v>
      </c>
      <c r="C2551" t="s">
        <v>85</v>
      </c>
      <c r="D2551" t="s">
        <v>77</v>
      </c>
      <c r="J2551">
        <v>25</v>
      </c>
      <c r="K2551">
        <v>25</v>
      </c>
    </row>
    <row r="2552" spans="1:19" hidden="1" x14ac:dyDescent="0.25">
      <c r="A2552" t="s">
        <v>2573</v>
      </c>
      <c r="B2552" t="s">
        <v>16</v>
      </c>
    </row>
    <row r="2553" spans="1:19" hidden="1" x14ac:dyDescent="0.25">
      <c r="A2553" t="s">
        <v>2574</v>
      </c>
      <c r="B2553" t="s">
        <v>341</v>
      </c>
    </row>
    <row r="2554" spans="1:19" hidden="1" x14ac:dyDescent="0.25">
      <c r="A2554" t="s">
        <v>2575</v>
      </c>
      <c r="B2554" t="s">
        <v>341</v>
      </c>
    </row>
    <row r="2555" spans="1:19" hidden="1" x14ac:dyDescent="0.25">
      <c r="A2555" t="s">
        <v>2576</v>
      </c>
      <c r="B2555" t="s">
        <v>214</v>
      </c>
    </row>
    <row r="2556" spans="1:19" hidden="1" x14ac:dyDescent="0.25">
      <c r="A2556" t="s">
        <v>2577</v>
      </c>
      <c r="B2556" t="s">
        <v>95</v>
      </c>
    </row>
    <row r="2557" spans="1:19" hidden="1" x14ac:dyDescent="0.25">
      <c r="A2557" t="s">
        <v>2578</v>
      </c>
      <c r="B2557" t="s">
        <v>87</v>
      </c>
    </row>
    <row r="2558" spans="1:19" hidden="1" x14ac:dyDescent="0.25">
      <c r="A2558" t="s">
        <v>2579</v>
      </c>
      <c r="B2558" t="s">
        <v>87</v>
      </c>
    </row>
    <row r="2559" spans="1:19" hidden="1" x14ac:dyDescent="0.25">
      <c r="A2559" t="s">
        <v>2580</v>
      </c>
      <c r="B2559" t="s">
        <v>173</v>
      </c>
    </row>
    <row r="2560" spans="1:19" hidden="1" x14ac:dyDescent="0.25">
      <c r="A2560" t="s">
        <v>2581</v>
      </c>
      <c r="B2560" t="s">
        <v>87</v>
      </c>
    </row>
    <row r="2561" spans="1:19" hidden="1" x14ac:dyDescent="0.25">
      <c r="A2561" t="s">
        <v>2582</v>
      </c>
      <c r="B2561" t="s">
        <v>16</v>
      </c>
    </row>
    <row r="2562" spans="1:19" x14ac:dyDescent="0.25">
      <c r="A2562" t="s">
        <v>2583</v>
      </c>
      <c r="B2562" t="s">
        <v>77</v>
      </c>
      <c r="C2562" t="s">
        <v>85</v>
      </c>
      <c r="D2562" t="s">
        <v>77</v>
      </c>
      <c r="J2562">
        <v>66</v>
      </c>
      <c r="K2562">
        <v>66</v>
      </c>
      <c r="S2562" t="s">
        <v>290</v>
      </c>
    </row>
    <row r="2563" spans="1:19" x14ac:dyDescent="0.25">
      <c r="A2563" t="s">
        <v>2584</v>
      </c>
      <c r="B2563" t="s">
        <v>77</v>
      </c>
      <c r="C2563" t="s">
        <v>85</v>
      </c>
      <c r="D2563" t="s">
        <v>77</v>
      </c>
      <c r="J2563">
        <v>60</v>
      </c>
      <c r="K2563">
        <v>60</v>
      </c>
      <c r="S2563" t="s">
        <v>290</v>
      </c>
    </row>
    <row r="2564" spans="1:19" x14ac:dyDescent="0.25">
      <c r="A2564" t="s">
        <v>2585</v>
      </c>
      <c r="B2564" t="s">
        <v>77</v>
      </c>
      <c r="C2564" t="s">
        <v>85</v>
      </c>
      <c r="D2564" t="s">
        <v>77</v>
      </c>
      <c r="J2564">
        <v>46</v>
      </c>
      <c r="K2564">
        <v>46</v>
      </c>
      <c r="S2564" t="s">
        <v>292</v>
      </c>
    </row>
    <row r="2565" spans="1:19" x14ac:dyDescent="0.25">
      <c r="A2565" t="s">
        <v>2586</v>
      </c>
      <c r="B2565" t="s">
        <v>77</v>
      </c>
      <c r="C2565" t="s">
        <v>85</v>
      </c>
      <c r="D2565" t="s">
        <v>77</v>
      </c>
      <c r="J2565">
        <v>46</v>
      </c>
      <c r="K2565">
        <v>46</v>
      </c>
      <c r="S2565" t="s">
        <v>290</v>
      </c>
    </row>
    <row r="2566" spans="1:19" x14ac:dyDescent="0.25">
      <c r="A2566" t="s">
        <v>2587</v>
      </c>
      <c r="B2566" t="s">
        <v>77</v>
      </c>
      <c r="C2566" t="s">
        <v>85</v>
      </c>
      <c r="D2566" t="s">
        <v>77</v>
      </c>
      <c r="J2566">
        <v>66</v>
      </c>
      <c r="K2566">
        <v>66</v>
      </c>
      <c r="S2566" t="s">
        <v>292</v>
      </c>
    </row>
    <row r="2567" spans="1:19" hidden="1" x14ac:dyDescent="0.25">
      <c r="A2567" t="s">
        <v>2588</v>
      </c>
      <c r="B2567" t="s">
        <v>2217</v>
      </c>
    </row>
    <row r="2568" spans="1:19" x14ac:dyDescent="0.25">
      <c r="A2568" t="s">
        <v>2589</v>
      </c>
      <c r="B2568" t="s">
        <v>77</v>
      </c>
      <c r="D2568" t="s">
        <v>77</v>
      </c>
      <c r="J2568" t="s">
        <v>560</v>
      </c>
      <c r="K2568">
        <v>18</v>
      </c>
    </row>
    <row r="2569" spans="1:19" x14ac:dyDescent="0.25">
      <c r="A2569" t="s">
        <v>2590</v>
      </c>
      <c r="B2569" t="s">
        <v>77</v>
      </c>
      <c r="C2569" t="s">
        <v>83</v>
      </c>
      <c r="D2569" t="s">
        <v>77</v>
      </c>
      <c r="S2569" t="s">
        <v>1136</v>
      </c>
    </row>
    <row r="2570" spans="1:19" x14ac:dyDescent="0.25">
      <c r="A2570" t="s">
        <v>2591</v>
      </c>
      <c r="B2570" t="s">
        <v>20</v>
      </c>
      <c r="D2570" t="s">
        <v>20</v>
      </c>
      <c r="Q2570" t="s">
        <v>1380</v>
      </c>
    </row>
    <row r="2571" spans="1:19" x14ac:dyDescent="0.25">
      <c r="A2571" t="s">
        <v>2592</v>
      </c>
      <c r="B2571" t="s">
        <v>77</v>
      </c>
      <c r="C2571" t="s">
        <v>85</v>
      </c>
      <c r="D2571" t="s">
        <v>77</v>
      </c>
      <c r="P2571" t="s">
        <v>45</v>
      </c>
    </row>
    <row r="2572" spans="1:19" hidden="1" x14ac:dyDescent="0.25">
      <c r="A2572" t="s">
        <v>1377</v>
      </c>
      <c r="B2572" t="s">
        <v>173</v>
      </c>
    </row>
    <row r="2573" spans="1:19" x14ac:dyDescent="0.25">
      <c r="A2573" t="s">
        <v>2593</v>
      </c>
      <c r="B2573" t="s">
        <v>20</v>
      </c>
      <c r="D2573" t="s">
        <v>20</v>
      </c>
      <c r="E2573">
        <v>2</v>
      </c>
      <c r="J2573" t="s">
        <v>457</v>
      </c>
      <c r="K2573">
        <v>32.5</v>
      </c>
    </row>
    <row r="2574" spans="1:19" x14ac:dyDescent="0.25">
      <c r="A2574" t="s">
        <v>2594</v>
      </c>
      <c r="B2574" t="s">
        <v>20</v>
      </c>
      <c r="D2574" t="s">
        <v>20</v>
      </c>
      <c r="E2574">
        <v>3</v>
      </c>
      <c r="J2574" t="s">
        <v>457</v>
      </c>
      <c r="K2574">
        <v>32.5</v>
      </c>
    </row>
    <row r="2575" spans="1:19" x14ac:dyDescent="0.25">
      <c r="A2575" t="s">
        <v>2595</v>
      </c>
      <c r="B2575" t="s">
        <v>20</v>
      </c>
      <c r="D2575" t="s">
        <v>20</v>
      </c>
      <c r="E2575">
        <v>4</v>
      </c>
      <c r="J2575" t="s">
        <v>788</v>
      </c>
      <c r="K2575">
        <v>35</v>
      </c>
    </row>
    <row r="2576" spans="1:19" x14ac:dyDescent="0.25">
      <c r="A2576" t="s">
        <v>2596</v>
      </c>
      <c r="B2576" t="s">
        <v>20</v>
      </c>
      <c r="D2576" t="s">
        <v>20</v>
      </c>
      <c r="R2576" t="s">
        <v>2597</v>
      </c>
    </row>
    <row r="2577" spans="1:17" x14ac:dyDescent="0.25">
      <c r="A2577" t="s">
        <v>2598</v>
      </c>
      <c r="B2577" t="s">
        <v>77</v>
      </c>
      <c r="D2577" t="s">
        <v>77</v>
      </c>
      <c r="E2577">
        <v>2</v>
      </c>
      <c r="J2577" t="s">
        <v>457</v>
      </c>
      <c r="K2577">
        <v>32.5</v>
      </c>
    </row>
    <row r="2578" spans="1:17" x14ac:dyDescent="0.25">
      <c r="A2578" t="s">
        <v>2599</v>
      </c>
      <c r="B2578" t="s">
        <v>77</v>
      </c>
      <c r="D2578" t="s">
        <v>77</v>
      </c>
      <c r="E2578">
        <v>3</v>
      </c>
      <c r="J2578" t="s">
        <v>457</v>
      </c>
      <c r="K2578">
        <v>32.5</v>
      </c>
    </row>
    <row r="2579" spans="1:17" x14ac:dyDescent="0.25">
      <c r="A2579" t="s">
        <v>2600</v>
      </c>
      <c r="B2579" t="s">
        <v>77</v>
      </c>
      <c r="D2579" t="s">
        <v>77</v>
      </c>
      <c r="E2579">
        <v>4</v>
      </c>
      <c r="J2579" t="s">
        <v>788</v>
      </c>
      <c r="K2579">
        <v>35</v>
      </c>
    </row>
    <row r="2580" spans="1:17" x14ac:dyDescent="0.25">
      <c r="A2580" t="s">
        <v>2459</v>
      </c>
      <c r="B2580" t="s">
        <v>173</v>
      </c>
      <c r="D2580" t="s">
        <v>46</v>
      </c>
      <c r="E2580">
        <v>1</v>
      </c>
    </row>
    <row r="2581" spans="1:17" x14ac:dyDescent="0.25">
      <c r="A2581" t="s">
        <v>579</v>
      </c>
      <c r="B2581" t="s">
        <v>173</v>
      </c>
      <c r="D2581" t="s">
        <v>46</v>
      </c>
      <c r="E2581">
        <v>3</v>
      </c>
    </row>
    <row r="2582" spans="1:17" hidden="1" x14ac:dyDescent="0.25">
      <c r="A2582" t="s">
        <v>2601</v>
      </c>
      <c r="B2582" t="s">
        <v>173</v>
      </c>
    </row>
    <row r="2583" spans="1:17" x14ac:dyDescent="0.25">
      <c r="A2583" t="s">
        <v>2602</v>
      </c>
      <c r="B2583" t="s">
        <v>173</v>
      </c>
      <c r="D2583" t="s">
        <v>46</v>
      </c>
      <c r="Q2583" t="s">
        <v>1089</v>
      </c>
    </row>
    <row r="2584" spans="1:17" hidden="1" x14ac:dyDescent="0.25">
      <c r="A2584" t="s">
        <v>2603</v>
      </c>
      <c r="B2584" t="s">
        <v>16</v>
      </c>
    </row>
    <row r="2585" spans="1:17" hidden="1" x14ac:dyDescent="0.25">
      <c r="A2585" t="s">
        <v>2604</v>
      </c>
      <c r="B2585" t="s">
        <v>48</v>
      </c>
    </row>
    <row r="2586" spans="1:17" hidden="1" x14ac:dyDescent="0.25">
      <c r="A2586" t="s">
        <v>2605</v>
      </c>
      <c r="B2586" t="s">
        <v>48</v>
      </c>
    </row>
    <row r="2587" spans="1:17" hidden="1" x14ac:dyDescent="0.25">
      <c r="A2587" t="s">
        <v>2606</v>
      </c>
      <c r="B2587" t="s">
        <v>173</v>
      </c>
    </row>
    <row r="2588" spans="1:17" x14ac:dyDescent="0.25">
      <c r="A2588" t="s">
        <v>2607</v>
      </c>
      <c r="B2588" t="s">
        <v>173</v>
      </c>
      <c r="D2588" t="s">
        <v>2608</v>
      </c>
    </row>
    <row r="2589" spans="1:17" hidden="1" x14ac:dyDescent="0.25">
      <c r="A2589" t="s">
        <v>2609</v>
      </c>
      <c r="B2589" t="s">
        <v>341</v>
      </c>
    </row>
    <row r="2590" spans="1:17" x14ac:dyDescent="0.25">
      <c r="A2590" t="s">
        <v>2610</v>
      </c>
      <c r="B2590" t="s">
        <v>77</v>
      </c>
      <c r="D2590" t="s">
        <v>77</v>
      </c>
      <c r="Q2590" t="s">
        <v>2015</v>
      </c>
    </row>
    <row r="2591" spans="1:17" x14ac:dyDescent="0.25">
      <c r="A2591" t="s">
        <v>2611</v>
      </c>
      <c r="B2591" t="s">
        <v>77</v>
      </c>
      <c r="C2591" t="s">
        <v>85</v>
      </c>
      <c r="D2591" t="s">
        <v>77</v>
      </c>
      <c r="Q2591" t="s">
        <v>2015</v>
      </c>
    </row>
    <row r="2592" spans="1:17" hidden="1" x14ac:dyDescent="0.25">
      <c r="A2592" t="s">
        <v>2612</v>
      </c>
      <c r="B2592" t="s">
        <v>87</v>
      </c>
    </row>
    <row r="2593" spans="1:19" hidden="1" x14ac:dyDescent="0.25">
      <c r="A2593" t="s">
        <v>2195</v>
      </c>
      <c r="B2593" t="s">
        <v>87</v>
      </c>
    </row>
    <row r="2594" spans="1:19" x14ac:dyDescent="0.25">
      <c r="A2594" t="s">
        <v>2613</v>
      </c>
      <c r="B2594" t="s">
        <v>77</v>
      </c>
      <c r="D2594" t="s">
        <v>77</v>
      </c>
      <c r="P2594" t="s">
        <v>2531</v>
      </c>
    </row>
    <row r="2595" spans="1:19" x14ac:dyDescent="0.25">
      <c r="A2595" t="s">
        <v>2614</v>
      </c>
      <c r="B2595" t="s">
        <v>77</v>
      </c>
      <c r="D2595" t="s">
        <v>77</v>
      </c>
      <c r="Q2595" t="s">
        <v>83</v>
      </c>
      <c r="S2595" t="s">
        <v>1136</v>
      </c>
    </row>
    <row r="2596" spans="1:19" x14ac:dyDescent="0.25">
      <c r="A2596" t="s">
        <v>2615</v>
      </c>
      <c r="B2596" t="s">
        <v>77</v>
      </c>
      <c r="D2596" t="s">
        <v>77</v>
      </c>
      <c r="I2596" t="s">
        <v>137</v>
      </c>
    </row>
    <row r="2597" spans="1:19" x14ac:dyDescent="0.25">
      <c r="A2597" t="s">
        <v>2616</v>
      </c>
      <c r="B2597" t="s">
        <v>20</v>
      </c>
      <c r="D2597" t="s">
        <v>137</v>
      </c>
      <c r="Q2597" t="s">
        <v>2617</v>
      </c>
    </row>
    <row r="2598" spans="1:19" x14ac:dyDescent="0.25">
      <c r="A2598" t="s">
        <v>2618</v>
      </c>
      <c r="B2598" t="s">
        <v>77</v>
      </c>
      <c r="D2598" t="s">
        <v>77</v>
      </c>
      <c r="Q2598" t="s">
        <v>83</v>
      </c>
      <c r="S2598" t="s">
        <v>1136</v>
      </c>
    </row>
    <row r="2599" spans="1:19" x14ac:dyDescent="0.25">
      <c r="A2599" t="s">
        <v>2619</v>
      </c>
      <c r="B2599" t="s">
        <v>77</v>
      </c>
      <c r="D2599" t="s">
        <v>77</v>
      </c>
      <c r="I2599" t="s">
        <v>137</v>
      </c>
    </row>
    <row r="2600" spans="1:19" x14ac:dyDescent="0.25">
      <c r="A2600" t="s">
        <v>2620</v>
      </c>
      <c r="B2600" t="s">
        <v>46</v>
      </c>
      <c r="D2600" t="s">
        <v>46</v>
      </c>
      <c r="I2600" t="s">
        <v>137</v>
      </c>
      <c r="Q2600" t="s">
        <v>2617</v>
      </c>
    </row>
    <row r="2601" spans="1:19" x14ac:dyDescent="0.25">
      <c r="A2601" t="s">
        <v>2621</v>
      </c>
      <c r="B2601" t="s">
        <v>20</v>
      </c>
      <c r="D2601" t="s">
        <v>137</v>
      </c>
      <c r="Q2601" t="s">
        <v>2622</v>
      </c>
    </row>
    <row r="2602" spans="1:19" x14ac:dyDescent="0.25">
      <c r="A2602" t="s">
        <v>2623</v>
      </c>
      <c r="B2602" t="s">
        <v>48</v>
      </c>
      <c r="D2602" t="s">
        <v>46</v>
      </c>
      <c r="Q2602" t="s">
        <v>2624</v>
      </c>
    </row>
    <row r="2603" spans="1:19" hidden="1" x14ac:dyDescent="0.25">
      <c r="A2603" t="s">
        <v>2625</v>
      </c>
      <c r="B2603" t="s">
        <v>20</v>
      </c>
    </row>
    <row r="2604" spans="1:19" x14ac:dyDescent="0.25">
      <c r="A2604" t="s">
        <v>2626</v>
      </c>
      <c r="B2604" t="s">
        <v>173</v>
      </c>
      <c r="D2604" t="s">
        <v>77</v>
      </c>
      <c r="Q2604" t="s">
        <v>2624</v>
      </c>
    </row>
    <row r="2605" spans="1:19" x14ac:dyDescent="0.25">
      <c r="A2605" t="s">
        <v>2627</v>
      </c>
      <c r="B2605" t="s">
        <v>46</v>
      </c>
      <c r="D2605" t="s">
        <v>46</v>
      </c>
      <c r="I2605" t="s">
        <v>235</v>
      </c>
      <c r="Q2605" t="s">
        <v>2628</v>
      </c>
    </row>
    <row r="2606" spans="1:19" hidden="1" x14ac:dyDescent="0.25">
      <c r="A2606" t="s">
        <v>2323</v>
      </c>
      <c r="B2606" t="s">
        <v>173</v>
      </c>
    </row>
    <row r="2607" spans="1:19" hidden="1" x14ac:dyDescent="0.25">
      <c r="A2607" t="s">
        <v>2629</v>
      </c>
      <c r="B2607" t="s">
        <v>87</v>
      </c>
    </row>
    <row r="2608" spans="1:19" x14ac:dyDescent="0.25">
      <c r="A2608" t="s">
        <v>2630</v>
      </c>
      <c r="B2608" t="s">
        <v>173</v>
      </c>
      <c r="D2608" t="s">
        <v>20</v>
      </c>
      <c r="I2608" t="s">
        <v>235</v>
      </c>
      <c r="Q2608" t="s">
        <v>2631</v>
      </c>
    </row>
    <row r="2609" spans="1:16" hidden="1" x14ac:dyDescent="0.25">
      <c r="A2609" t="s">
        <v>2632</v>
      </c>
      <c r="B2609" t="s">
        <v>173</v>
      </c>
    </row>
    <row r="2610" spans="1:16" hidden="1" x14ac:dyDescent="0.25">
      <c r="A2610" t="s">
        <v>2633</v>
      </c>
      <c r="B2610" t="s">
        <v>173</v>
      </c>
    </row>
    <row r="2611" spans="1:16" hidden="1" x14ac:dyDescent="0.25">
      <c r="A2611" t="s">
        <v>2634</v>
      </c>
      <c r="B2611" t="s">
        <v>173</v>
      </c>
    </row>
    <row r="2612" spans="1:16" x14ac:dyDescent="0.25">
      <c r="A2612" t="s">
        <v>2635</v>
      </c>
      <c r="B2612" t="s">
        <v>46</v>
      </c>
      <c r="D2612" t="s">
        <v>46</v>
      </c>
      <c r="J2612" t="s">
        <v>2636</v>
      </c>
      <c r="K2612">
        <v>2</v>
      </c>
      <c r="P2612" t="s">
        <v>1475</v>
      </c>
    </row>
    <row r="2613" spans="1:16" x14ac:dyDescent="0.25">
      <c r="A2613" t="s">
        <v>2637</v>
      </c>
      <c r="B2613" t="s">
        <v>77</v>
      </c>
      <c r="C2613" t="s">
        <v>85</v>
      </c>
      <c r="D2613" t="s">
        <v>77</v>
      </c>
      <c r="J2613">
        <v>76.2</v>
      </c>
      <c r="K2613">
        <v>76.2</v>
      </c>
    </row>
    <row r="2614" spans="1:16" x14ac:dyDescent="0.25">
      <c r="A2614" t="s">
        <v>2638</v>
      </c>
      <c r="B2614" t="s">
        <v>77</v>
      </c>
      <c r="C2614" t="s">
        <v>85</v>
      </c>
      <c r="D2614" t="s">
        <v>77</v>
      </c>
      <c r="J2614">
        <v>71.099999999999994</v>
      </c>
      <c r="K2614">
        <v>71.099999999999994</v>
      </c>
    </row>
    <row r="2615" spans="1:16" x14ac:dyDescent="0.25">
      <c r="A2615" t="s">
        <v>2639</v>
      </c>
      <c r="B2615" t="s">
        <v>173</v>
      </c>
      <c r="D2615" t="s">
        <v>20</v>
      </c>
      <c r="P2615" t="s">
        <v>2640</v>
      </c>
    </row>
    <row r="2616" spans="1:16" hidden="1" x14ac:dyDescent="0.25">
      <c r="A2616" t="s">
        <v>2641</v>
      </c>
      <c r="B2616" t="s">
        <v>173</v>
      </c>
    </row>
    <row r="2617" spans="1:16" x14ac:dyDescent="0.25">
      <c r="A2617" t="s">
        <v>2642</v>
      </c>
      <c r="B2617" t="s">
        <v>173</v>
      </c>
      <c r="D2617" t="s">
        <v>46</v>
      </c>
      <c r="J2617" t="s">
        <v>2643</v>
      </c>
      <c r="K2617">
        <v>2.6</v>
      </c>
      <c r="P2617" t="s">
        <v>1475</v>
      </c>
    </row>
    <row r="2618" spans="1:16" x14ac:dyDescent="0.25">
      <c r="A2618" t="s">
        <v>2644</v>
      </c>
      <c r="B2618" t="s">
        <v>173</v>
      </c>
      <c r="D2618" t="s">
        <v>77</v>
      </c>
      <c r="J2618" t="s">
        <v>2636</v>
      </c>
      <c r="K2618">
        <v>2</v>
      </c>
      <c r="P2618" t="s">
        <v>1475</v>
      </c>
    </row>
    <row r="2619" spans="1:16" x14ac:dyDescent="0.25">
      <c r="A2619" t="s">
        <v>2645</v>
      </c>
      <c r="B2619" t="s">
        <v>173</v>
      </c>
      <c r="D2619" t="s">
        <v>77</v>
      </c>
      <c r="J2619" t="s">
        <v>2643</v>
      </c>
      <c r="K2619">
        <v>2.6</v>
      </c>
      <c r="P2619" t="s">
        <v>1475</v>
      </c>
    </row>
    <row r="2620" spans="1:16" x14ac:dyDescent="0.25">
      <c r="A2620" t="s">
        <v>2646</v>
      </c>
      <c r="B2620" t="s">
        <v>173</v>
      </c>
      <c r="D2620" t="s">
        <v>46</v>
      </c>
      <c r="J2620" t="s">
        <v>2647</v>
      </c>
      <c r="K2620">
        <v>2.2999999999999998</v>
      </c>
      <c r="P2620" t="s">
        <v>1475</v>
      </c>
    </row>
    <row r="2621" spans="1:16" x14ac:dyDescent="0.25">
      <c r="A2621" t="s">
        <v>2648</v>
      </c>
      <c r="B2621" t="s">
        <v>173</v>
      </c>
      <c r="D2621" t="s">
        <v>77</v>
      </c>
      <c r="J2621" t="s">
        <v>2647</v>
      </c>
      <c r="K2621">
        <v>2.2999999999999998</v>
      </c>
      <c r="P2621" t="s">
        <v>1475</v>
      </c>
    </row>
    <row r="2622" spans="1:16" hidden="1" x14ac:dyDescent="0.25">
      <c r="A2622" t="s">
        <v>2528</v>
      </c>
      <c r="B2622" t="s">
        <v>87</v>
      </c>
    </row>
    <row r="2623" spans="1:16" hidden="1" x14ac:dyDescent="0.25">
      <c r="A2623" t="s">
        <v>2649</v>
      </c>
      <c r="B2623" t="s">
        <v>87</v>
      </c>
    </row>
    <row r="2624" spans="1:16" hidden="1" x14ac:dyDescent="0.25">
      <c r="A2624" t="s">
        <v>2650</v>
      </c>
      <c r="B2624" t="s">
        <v>341</v>
      </c>
    </row>
    <row r="2625" spans="1:19" hidden="1" x14ac:dyDescent="0.25">
      <c r="A2625" t="s">
        <v>60</v>
      </c>
      <c r="B2625" t="s">
        <v>16</v>
      </c>
    </row>
    <row r="2626" spans="1:19" hidden="1" x14ac:dyDescent="0.25">
      <c r="A2626" t="s">
        <v>2651</v>
      </c>
    </row>
    <row r="2627" spans="1:19" hidden="1" x14ac:dyDescent="0.25">
      <c r="A2627" t="s">
        <v>2652</v>
      </c>
      <c r="B2627" t="s">
        <v>87</v>
      </c>
    </row>
    <row r="2628" spans="1:19" hidden="1" x14ac:dyDescent="0.25">
      <c r="A2628" t="s">
        <v>2653</v>
      </c>
      <c r="B2628" t="s">
        <v>87</v>
      </c>
    </row>
    <row r="2629" spans="1:19" x14ac:dyDescent="0.25">
      <c r="A2629" t="s">
        <v>2058</v>
      </c>
      <c r="B2629" t="s">
        <v>173</v>
      </c>
      <c r="D2629" t="s">
        <v>46</v>
      </c>
      <c r="J2629">
        <v>30</v>
      </c>
      <c r="K2629">
        <v>30</v>
      </c>
    </row>
    <row r="2630" spans="1:19" x14ac:dyDescent="0.25">
      <c r="A2630" t="s">
        <v>2063</v>
      </c>
      <c r="B2630" t="s">
        <v>173</v>
      </c>
      <c r="D2630" t="s">
        <v>77</v>
      </c>
      <c r="J2630">
        <v>30</v>
      </c>
      <c r="K2630">
        <v>30</v>
      </c>
    </row>
    <row r="2631" spans="1:19" x14ac:dyDescent="0.25">
      <c r="A2631" t="s">
        <v>2654</v>
      </c>
      <c r="B2631" t="s">
        <v>77</v>
      </c>
      <c r="C2631" t="s">
        <v>85</v>
      </c>
      <c r="D2631" t="s">
        <v>77</v>
      </c>
      <c r="L2631" t="s">
        <v>552</v>
      </c>
    </row>
    <row r="2632" spans="1:19" x14ac:dyDescent="0.25">
      <c r="A2632" t="s">
        <v>2655</v>
      </c>
      <c r="B2632" t="s">
        <v>77</v>
      </c>
      <c r="C2632" t="s">
        <v>85</v>
      </c>
      <c r="D2632" t="s">
        <v>77</v>
      </c>
      <c r="S2632" t="s">
        <v>290</v>
      </c>
    </row>
    <row r="2633" spans="1:19" x14ac:dyDescent="0.25">
      <c r="A2633" t="s">
        <v>2656</v>
      </c>
      <c r="B2633" t="s">
        <v>77</v>
      </c>
      <c r="C2633" t="s">
        <v>85</v>
      </c>
      <c r="D2633" t="s">
        <v>77</v>
      </c>
      <c r="S2633" t="s">
        <v>292</v>
      </c>
    </row>
    <row r="2634" spans="1:19" x14ac:dyDescent="0.25">
      <c r="A2634" t="s">
        <v>2657</v>
      </c>
      <c r="B2634" t="s">
        <v>77</v>
      </c>
      <c r="C2634" t="s">
        <v>85</v>
      </c>
      <c r="D2634" t="s">
        <v>77</v>
      </c>
      <c r="S2634" t="s">
        <v>294</v>
      </c>
    </row>
    <row r="2635" spans="1:19" x14ac:dyDescent="0.25">
      <c r="A2635" t="s">
        <v>2658</v>
      </c>
      <c r="B2635" t="s">
        <v>77</v>
      </c>
      <c r="C2635" t="s">
        <v>85</v>
      </c>
      <c r="D2635" t="s">
        <v>77</v>
      </c>
      <c r="S2635" t="s">
        <v>294</v>
      </c>
    </row>
    <row r="2636" spans="1:19" hidden="1" x14ac:dyDescent="0.25">
      <c r="A2636" t="s">
        <v>2659</v>
      </c>
      <c r="B2636" t="s">
        <v>87</v>
      </c>
    </row>
    <row r="2637" spans="1:19" hidden="1" x14ac:dyDescent="0.25">
      <c r="A2637" t="s">
        <v>2660</v>
      </c>
      <c r="B2637" t="s">
        <v>87</v>
      </c>
    </row>
    <row r="2638" spans="1:19" x14ac:dyDescent="0.25">
      <c r="A2638" t="s">
        <v>2661</v>
      </c>
      <c r="B2638" t="s">
        <v>77</v>
      </c>
      <c r="D2638" t="s">
        <v>77</v>
      </c>
      <c r="J2638" t="s">
        <v>490</v>
      </c>
      <c r="K2638">
        <v>24</v>
      </c>
    </row>
    <row r="2639" spans="1:19" hidden="1" x14ac:dyDescent="0.25">
      <c r="A2639" t="s">
        <v>1287</v>
      </c>
      <c r="B2639" t="s">
        <v>341</v>
      </c>
    </row>
    <row r="2640" spans="1:19" hidden="1" x14ac:dyDescent="0.25">
      <c r="A2640" t="s">
        <v>2662</v>
      </c>
      <c r="B2640" t="s">
        <v>87</v>
      </c>
    </row>
    <row r="2641" spans="1:19" hidden="1" x14ac:dyDescent="0.25">
      <c r="A2641" t="s">
        <v>2217</v>
      </c>
    </row>
    <row r="2642" spans="1:19" x14ac:dyDescent="0.25">
      <c r="A2642" t="s">
        <v>2663</v>
      </c>
      <c r="B2642" t="s">
        <v>77</v>
      </c>
      <c r="D2642" t="s">
        <v>77</v>
      </c>
      <c r="J2642" t="s">
        <v>2246</v>
      </c>
      <c r="K2642">
        <v>50</v>
      </c>
    </row>
    <row r="2643" spans="1:19" x14ac:dyDescent="0.25">
      <c r="A2643" t="s">
        <v>672</v>
      </c>
      <c r="B2643" t="s">
        <v>173</v>
      </c>
      <c r="C2643" t="s">
        <v>85</v>
      </c>
      <c r="D2643" t="s">
        <v>77</v>
      </c>
      <c r="S2643" t="s">
        <v>292</v>
      </c>
    </row>
    <row r="2644" spans="1:19" x14ac:dyDescent="0.25">
      <c r="A2644" t="s">
        <v>673</v>
      </c>
      <c r="B2644" t="s">
        <v>173</v>
      </c>
      <c r="C2644" t="s">
        <v>85</v>
      </c>
      <c r="D2644" t="s">
        <v>77</v>
      </c>
      <c r="S2644" t="s">
        <v>290</v>
      </c>
    </row>
    <row r="2645" spans="1:19" x14ac:dyDescent="0.25">
      <c r="A2645" t="s">
        <v>2664</v>
      </c>
      <c r="B2645" t="s">
        <v>77</v>
      </c>
      <c r="D2645" t="s">
        <v>77</v>
      </c>
      <c r="J2645" t="s">
        <v>2665</v>
      </c>
      <c r="K2645">
        <v>40</v>
      </c>
    </row>
    <row r="2646" spans="1:19" x14ac:dyDescent="0.25">
      <c r="A2646" t="s">
        <v>2666</v>
      </c>
      <c r="B2646" t="s">
        <v>77</v>
      </c>
      <c r="D2646" t="s">
        <v>77</v>
      </c>
      <c r="Q2646" t="s">
        <v>83</v>
      </c>
    </row>
    <row r="2647" spans="1:19" hidden="1" x14ac:dyDescent="0.25">
      <c r="A2647" t="s">
        <v>2667</v>
      </c>
      <c r="B2647" t="s">
        <v>173</v>
      </c>
    </row>
    <row r="2648" spans="1:19" x14ac:dyDescent="0.25">
      <c r="A2648" t="s">
        <v>2668</v>
      </c>
      <c r="B2648" t="s">
        <v>77</v>
      </c>
      <c r="D2648" t="s">
        <v>77</v>
      </c>
      <c r="I2648" t="s">
        <v>137</v>
      </c>
      <c r="Q2648" t="s">
        <v>1380</v>
      </c>
    </row>
    <row r="2649" spans="1:19" x14ac:dyDescent="0.25">
      <c r="A2649" t="s">
        <v>2669</v>
      </c>
      <c r="B2649" t="s">
        <v>46</v>
      </c>
      <c r="D2649" t="s">
        <v>46</v>
      </c>
      <c r="I2649" t="s">
        <v>137</v>
      </c>
      <c r="Q2649" t="s">
        <v>1380</v>
      </c>
    </row>
    <row r="2650" spans="1:19" x14ac:dyDescent="0.25">
      <c r="A2650" t="s">
        <v>2670</v>
      </c>
      <c r="B2650" t="s">
        <v>20</v>
      </c>
      <c r="D2650" t="s">
        <v>137</v>
      </c>
      <c r="Q2650" t="s">
        <v>1380</v>
      </c>
    </row>
    <row r="2651" spans="1:19" hidden="1" x14ac:dyDescent="0.25">
      <c r="A2651" t="s">
        <v>2390</v>
      </c>
      <c r="B2651" t="s">
        <v>341</v>
      </c>
    </row>
    <row r="2652" spans="1:19" hidden="1" x14ac:dyDescent="0.25">
      <c r="A2652" t="s">
        <v>2671</v>
      </c>
      <c r="B2652" t="s">
        <v>87</v>
      </c>
    </row>
    <row r="2653" spans="1:19" x14ac:dyDescent="0.25">
      <c r="A2653" t="s">
        <v>2672</v>
      </c>
      <c r="B2653" t="s">
        <v>77</v>
      </c>
      <c r="D2653" t="s">
        <v>77</v>
      </c>
      <c r="J2653" t="s">
        <v>2673</v>
      </c>
      <c r="K2653">
        <v>48</v>
      </c>
    </row>
    <row r="2654" spans="1:19" x14ac:dyDescent="0.25">
      <c r="A2654" t="s">
        <v>2674</v>
      </c>
      <c r="B2654" t="s">
        <v>77</v>
      </c>
      <c r="D2654" t="s">
        <v>77</v>
      </c>
      <c r="I2654" t="s">
        <v>79</v>
      </c>
      <c r="Q2654" t="s">
        <v>859</v>
      </c>
    </row>
    <row r="2655" spans="1:19" x14ac:dyDescent="0.25">
      <c r="A2655" t="s">
        <v>2675</v>
      </c>
      <c r="B2655" t="s">
        <v>77</v>
      </c>
      <c r="C2655" t="s">
        <v>85</v>
      </c>
      <c r="D2655" t="s">
        <v>77</v>
      </c>
      <c r="J2655">
        <v>54</v>
      </c>
      <c r="K2655">
        <v>54</v>
      </c>
      <c r="R2655" t="s">
        <v>108</v>
      </c>
    </row>
    <row r="2656" spans="1:19" hidden="1" x14ac:dyDescent="0.25">
      <c r="A2656" t="s">
        <v>2676</v>
      </c>
      <c r="B2656" t="s">
        <v>341</v>
      </c>
    </row>
    <row r="2657" spans="1:16" hidden="1" x14ac:dyDescent="0.25">
      <c r="A2657" t="s">
        <v>2677</v>
      </c>
      <c r="B2657" t="s">
        <v>341</v>
      </c>
    </row>
    <row r="2658" spans="1:16" hidden="1" x14ac:dyDescent="0.25">
      <c r="A2658" t="s">
        <v>2678</v>
      </c>
      <c r="B2658" t="s">
        <v>341</v>
      </c>
    </row>
    <row r="2659" spans="1:16" hidden="1" x14ac:dyDescent="0.25">
      <c r="A2659" t="s">
        <v>2679</v>
      </c>
      <c r="B2659" t="s">
        <v>341</v>
      </c>
    </row>
    <row r="2660" spans="1:16" hidden="1" x14ac:dyDescent="0.25">
      <c r="A2660" t="s">
        <v>2680</v>
      </c>
      <c r="B2660" t="s">
        <v>87</v>
      </c>
    </row>
    <row r="2661" spans="1:16" hidden="1" x14ac:dyDescent="0.25">
      <c r="A2661" t="s">
        <v>2681</v>
      </c>
      <c r="B2661" t="s">
        <v>87</v>
      </c>
    </row>
    <row r="2662" spans="1:16" hidden="1" x14ac:dyDescent="0.25">
      <c r="A2662" t="s">
        <v>2682</v>
      </c>
      <c r="B2662" t="s">
        <v>341</v>
      </c>
    </row>
    <row r="2663" spans="1:16" x14ac:dyDescent="0.25">
      <c r="A2663" t="s">
        <v>2683</v>
      </c>
      <c r="B2663" t="s">
        <v>173</v>
      </c>
      <c r="D2663" t="s">
        <v>77</v>
      </c>
      <c r="P2663" t="s">
        <v>46</v>
      </c>
    </row>
    <row r="2664" spans="1:16" x14ac:dyDescent="0.25">
      <c r="A2664" t="s">
        <v>2684</v>
      </c>
      <c r="B2664" t="s">
        <v>77</v>
      </c>
      <c r="D2664" t="s">
        <v>77</v>
      </c>
      <c r="J2664" t="s">
        <v>1668</v>
      </c>
      <c r="K2664">
        <v>46</v>
      </c>
    </row>
    <row r="2665" spans="1:16" x14ac:dyDescent="0.25">
      <c r="A2665" t="s">
        <v>2685</v>
      </c>
      <c r="B2665" t="s">
        <v>173</v>
      </c>
      <c r="D2665" t="s">
        <v>46</v>
      </c>
      <c r="J2665" t="s">
        <v>1668</v>
      </c>
      <c r="K2665">
        <v>46</v>
      </c>
    </row>
    <row r="2666" spans="1:16" hidden="1" x14ac:dyDescent="0.25">
      <c r="A2666" t="s">
        <v>2686</v>
      </c>
      <c r="B2666" t="s">
        <v>95</v>
      </c>
    </row>
    <row r="2667" spans="1:16" hidden="1" x14ac:dyDescent="0.25">
      <c r="A2667" t="s">
        <v>2687</v>
      </c>
      <c r="B2667" t="s">
        <v>87</v>
      </c>
    </row>
    <row r="2668" spans="1:16" hidden="1" x14ac:dyDescent="0.25">
      <c r="A2668" t="s">
        <v>2688</v>
      </c>
      <c r="B2668" t="s">
        <v>77</v>
      </c>
    </row>
    <row r="2669" spans="1:16" hidden="1" x14ac:dyDescent="0.25">
      <c r="A2669" t="s">
        <v>2689</v>
      </c>
      <c r="B2669" t="s">
        <v>16</v>
      </c>
    </row>
    <row r="2670" spans="1:16" hidden="1" x14ac:dyDescent="0.25">
      <c r="A2670" t="s">
        <v>2690</v>
      </c>
      <c r="B2670" t="s">
        <v>173</v>
      </c>
    </row>
    <row r="2671" spans="1:16" x14ac:dyDescent="0.25">
      <c r="A2671" t="s">
        <v>2691</v>
      </c>
      <c r="B2671" t="s">
        <v>77</v>
      </c>
      <c r="C2671" t="s">
        <v>85</v>
      </c>
      <c r="D2671" t="s">
        <v>77</v>
      </c>
      <c r="J2671">
        <v>68</v>
      </c>
      <c r="K2671">
        <v>68</v>
      </c>
    </row>
    <row r="2672" spans="1:16" x14ac:dyDescent="0.25">
      <c r="A2672" t="s">
        <v>2692</v>
      </c>
      <c r="B2672" t="s">
        <v>46</v>
      </c>
      <c r="C2672" t="s">
        <v>85</v>
      </c>
      <c r="D2672" t="s">
        <v>46</v>
      </c>
      <c r="J2672">
        <v>48</v>
      </c>
      <c r="K2672">
        <v>48</v>
      </c>
    </row>
    <row r="2673" spans="1:19" hidden="1" x14ac:dyDescent="0.25">
      <c r="A2673" t="s">
        <v>2693</v>
      </c>
      <c r="B2673" t="s">
        <v>341</v>
      </c>
    </row>
    <row r="2674" spans="1:19" hidden="1" x14ac:dyDescent="0.25">
      <c r="A2674" t="s">
        <v>2694</v>
      </c>
      <c r="B2674" t="s">
        <v>173</v>
      </c>
    </row>
    <row r="2675" spans="1:19" hidden="1" x14ac:dyDescent="0.25">
      <c r="A2675" t="s">
        <v>2695</v>
      </c>
      <c r="B2675" t="s">
        <v>173</v>
      </c>
    </row>
    <row r="2676" spans="1:19" x14ac:dyDescent="0.25">
      <c r="A2676" t="s">
        <v>2696</v>
      </c>
      <c r="B2676" t="s">
        <v>173</v>
      </c>
      <c r="D2676" t="s">
        <v>20</v>
      </c>
      <c r="Q2676" t="s">
        <v>216</v>
      </c>
    </row>
    <row r="2677" spans="1:19" x14ac:dyDescent="0.25">
      <c r="A2677" t="s">
        <v>2697</v>
      </c>
      <c r="B2677" t="s">
        <v>173</v>
      </c>
      <c r="D2677" t="s">
        <v>77</v>
      </c>
      <c r="J2677" t="s">
        <v>2698</v>
      </c>
      <c r="K2677">
        <v>3.3</v>
      </c>
    </row>
    <row r="2678" spans="1:19" x14ac:dyDescent="0.25">
      <c r="A2678" t="s">
        <v>2699</v>
      </c>
      <c r="B2678" t="s">
        <v>173</v>
      </c>
      <c r="D2678" t="s">
        <v>46</v>
      </c>
      <c r="J2678" t="s">
        <v>2698</v>
      </c>
      <c r="K2678">
        <v>3.3</v>
      </c>
    </row>
    <row r="2679" spans="1:19" x14ac:dyDescent="0.25">
      <c r="A2679" t="s">
        <v>2700</v>
      </c>
      <c r="B2679" t="s">
        <v>77</v>
      </c>
      <c r="C2679" t="s">
        <v>85</v>
      </c>
      <c r="D2679" t="s">
        <v>77</v>
      </c>
      <c r="J2679">
        <v>48</v>
      </c>
      <c r="K2679">
        <v>48</v>
      </c>
      <c r="R2679" t="s">
        <v>108</v>
      </c>
      <c r="S2679" t="s">
        <v>294</v>
      </c>
    </row>
    <row r="2680" spans="1:19" x14ac:dyDescent="0.25">
      <c r="A2680" t="s">
        <v>2117</v>
      </c>
      <c r="B2680" t="s">
        <v>173</v>
      </c>
      <c r="C2680" t="s">
        <v>85</v>
      </c>
      <c r="D2680" t="s">
        <v>77</v>
      </c>
      <c r="J2680">
        <v>60</v>
      </c>
      <c r="K2680">
        <v>60</v>
      </c>
      <c r="S2680" t="s">
        <v>290</v>
      </c>
    </row>
    <row r="2681" spans="1:19" x14ac:dyDescent="0.25">
      <c r="A2681" t="s">
        <v>301</v>
      </c>
      <c r="B2681" t="s">
        <v>173</v>
      </c>
      <c r="C2681" t="s">
        <v>85</v>
      </c>
      <c r="D2681" t="s">
        <v>77</v>
      </c>
      <c r="J2681">
        <v>60</v>
      </c>
      <c r="K2681">
        <v>60</v>
      </c>
      <c r="S2681" t="s">
        <v>292</v>
      </c>
    </row>
    <row r="2682" spans="1:19" hidden="1" x14ac:dyDescent="0.25">
      <c r="A2682" t="s">
        <v>2701</v>
      </c>
      <c r="B2682" t="s">
        <v>87</v>
      </c>
    </row>
    <row r="2683" spans="1:19" hidden="1" x14ac:dyDescent="0.25">
      <c r="A2683" t="s">
        <v>2702</v>
      </c>
      <c r="B2683" t="s">
        <v>341</v>
      </c>
    </row>
    <row r="2684" spans="1:19" x14ac:dyDescent="0.25">
      <c r="A2684" t="s">
        <v>2703</v>
      </c>
      <c r="B2684" t="s">
        <v>77</v>
      </c>
      <c r="C2684" t="s">
        <v>83</v>
      </c>
      <c r="D2684" t="s">
        <v>77</v>
      </c>
      <c r="J2684">
        <v>70</v>
      </c>
      <c r="K2684">
        <v>70</v>
      </c>
    </row>
    <row r="2685" spans="1:19" x14ac:dyDescent="0.25">
      <c r="A2685" t="s">
        <v>2704</v>
      </c>
      <c r="B2685" t="s">
        <v>77</v>
      </c>
      <c r="C2685" t="s">
        <v>83</v>
      </c>
      <c r="D2685" t="s">
        <v>77</v>
      </c>
      <c r="J2685">
        <v>60</v>
      </c>
      <c r="K2685">
        <v>60</v>
      </c>
    </row>
    <row r="2686" spans="1:19" hidden="1" x14ac:dyDescent="0.25">
      <c r="A2686" t="s">
        <v>2705</v>
      </c>
      <c r="B2686" t="s">
        <v>16</v>
      </c>
    </row>
    <row r="2687" spans="1:19" hidden="1" x14ac:dyDescent="0.25">
      <c r="A2687" t="s">
        <v>2706</v>
      </c>
    </row>
    <row r="2688" spans="1:19" hidden="1" x14ac:dyDescent="0.25">
      <c r="A2688" t="s">
        <v>2707</v>
      </c>
      <c r="B2688" t="s">
        <v>341</v>
      </c>
    </row>
    <row r="2689" spans="1:17" hidden="1" x14ac:dyDescent="0.25">
      <c r="A2689" t="s">
        <v>364</v>
      </c>
      <c r="B2689" t="s">
        <v>46</v>
      </c>
    </row>
    <row r="2690" spans="1:17" x14ac:dyDescent="0.25">
      <c r="A2690" t="s">
        <v>2708</v>
      </c>
      <c r="B2690" t="s">
        <v>173</v>
      </c>
      <c r="D2690" t="s">
        <v>77</v>
      </c>
      <c r="J2690">
        <v>46</v>
      </c>
      <c r="K2690">
        <v>46</v>
      </c>
      <c r="P2690" t="s">
        <v>46</v>
      </c>
    </row>
    <row r="2691" spans="1:17" x14ac:dyDescent="0.25">
      <c r="A2691" t="s">
        <v>2709</v>
      </c>
      <c r="B2691" t="s">
        <v>173</v>
      </c>
      <c r="D2691" t="s">
        <v>77</v>
      </c>
      <c r="J2691">
        <v>66</v>
      </c>
      <c r="K2691">
        <v>66</v>
      </c>
      <c r="P2691" t="s">
        <v>46</v>
      </c>
    </row>
    <row r="2692" spans="1:17" x14ac:dyDescent="0.25">
      <c r="A2692" t="s">
        <v>2710</v>
      </c>
      <c r="B2692" t="s">
        <v>173</v>
      </c>
      <c r="D2692" t="s">
        <v>77</v>
      </c>
      <c r="J2692">
        <v>60</v>
      </c>
      <c r="K2692">
        <v>60</v>
      </c>
      <c r="P2692" t="s">
        <v>46</v>
      </c>
    </row>
    <row r="2693" spans="1:17" hidden="1" x14ac:dyDescent="0.25">
      <c r="A2693" t="s">
        <v>2711</v>
      </c>
      <c r="B2693" t="s">
        <v>341</v>
      </c>
    </row>
    <row r="2694" spans="1:17" hidden="1" x14ac:dyDescent="0.25">
      <c r="A2694" t="s">
        <v>2712</v>
      </c>
      <c r="B2694" t="s">
        <v>173</v>
      </c>
    </row>
    <row r="2695" spans="1:17" x14ac:dyDescent="0.25">
      <c r="A2695" t="s">
        <v>2713</v>
      </c>
      <c r="B2695" t="s">
        <v>46</v>
      </c>
      <c r="D2695" t="s">
        <v>46</v>
      </c>
      <c r="I2695" t="s">
        <v>137</v>
      </c>
      <c r="Q2695" t="s">
        <v>1263</v>
      </c>
    </row>
    <row r="2696" spans="1:17" x14ac:dyDescent="0.25">
      <c r="A2696" t="s">
        <v>2714</v>
      </c>
      <c r="B2696" t="s">
        <v>77</v>
      </c>
      <c r="D2696" t="s">
        <v>77</v>
      </c>
      <c r="Q2696" t="s">
        <v>83</v>
      </c>
    </row>
    <row r="2697" spans="1:17" x14ac:dyDescent="0.25">
      <c r="A2697" t="s">
        <v>2715</v>
      </c>
      <c r="B2697" t="s">
        <v>77</v>
      </c>
      <c r="D2697" t="s">
        <v>77</v>
      </c>
      <c r="I2697" t="s">
        <v>137</v>
      </c>
      <c r="Q2697" t="s">
        <v>1263</v>
      </c>
    </row>
    <row r="2698" spans="1:17" x14ac:dyDescent="0.25">
      <c r="A2698" t="s">
        <v>2716</v>
      </c>
      <c r="B2698" t="s">
        <v>77</v>
      </c>
      <c r="D2698" t="s">
        <v>77</v>
      </c>
      <c r="L2698" t="s">
        <v>552</v>
      </c>
    </row>
    <row r="2699" spans="1:17" x14ac:dyDescent="0.25">
      <c r="A2699" t="s">
        <v>2717</v>
      </c>
      <c r="B2699" t="s">
        <v>46</v>
      </c>
      <c r="D2699" t="s">
        <v>46</v>
      </c>
      <c r="E2699">
        <v>1</v>
      </c>
      <c r="J2699" t="s">
        <v>2718</v>
      </c>
      <c r="K2699">
        <v>35</v>
      </c>
    </row>
    <row r="2700" spans="1:17" x14ac:dyDescent="0.25">
      <c r="A2700" t="s">
        <v>2719</v>
      </c>
      <c r="B2700" t="s">
        <v>20</v>
      </c>
      <c r="D2700" t="s">
        <v>226</v>
      </c>
      <c r="E2700">
        <v>1</v>
      </c>
      <c r="J2700" t="s">
        <v>788</v>
      </c>
      <c r="K2700">
        <v>35</v>
      </c>
    </row>
    <row r="2701" spans="1:17" x14ac:dyDescent="0.25">
      <c r="A2701" t="s">
        <v>2720</v>
      </c>
      <c r="B2701" t="s">
        <v>173</v>
      </c>
      <c r="C2701" t="s">
        <v>85</v>
      </c>
      <c r="D2701" t="s">
        <v>77</v>
      </c>
      <c r="Q2701" t="s">
        <v>2721</v>
      </c>
    </row>
    <row r="2702" spans="1:17" x14ac:dyDescent="0.25">
      <c r="A2702" t="s">
        <v>184</v>
      </c>
      <c r="B2702" t="s">
        <v>46</v>
      </c>
      <c r="C2702" t="s">
        <v>85</v>
      </c>
      <c r="D2702" t="s">
        <v>77</v>
      </c>
    </row>
    <row r="2703" spans="1:17" hidden="1" x14ac:dyDescent="0.25">
      <c r="A2703" t="s">
        <v>2722</v>
      </c>
      <c r="B2703" t="s">
        <v>173</v>
      </c>
    </row>
    <row r="2704" spans="1:17" hidden="1" x14ac:dyDescent="0.25">
      <c r="A2704" t="s">
        <v>2723</v>
      </c>
      <c r="B2704" t="s">
        <v>173</v>
      </c>
    </row>
    <row r="2705" spans="1:17" hidden="1" x14ac:dyDescent="0.25">
      <c r="A2705" t="s">
        <v>2724</v>
      </c>
      <c r="B2705" t="s">
        <v>173</v>
      </c>
    </row>
    <row r="2706" spans="1:17" hidden="1" x14ac:dyDescent="0.25">
      <c r="A2706" t="s">
        <v>2725</v>
      </c>
      <c r="B2706" t="s">
        <v>173</v>
      </c>
    </row>
    <row r="2707" spans="1:17" x14ac:dyDescent="0.25">
      <c r="A2707" t="s">
        <v>2726</v>
      </c>
      <c r="B2707" t="s">
        <v>77</v>
      </c>
      <c r="D2707" t="s">
        <v>77</v>
      </c>
      <c r="J2707">
        <v>45</v>
      </c>
      <c r="K2707">
        <v>45</v>
      </c>
      <c r="Q2707" t="s">
        <v>2727</v>
      </c>
    </row>
    <row r="2708" spans="1:17" x14ac:dyDescent="0.25">
      <c r="A2708" t="s">
        <v>2728</v>
      </c>
      <c r="B2708" t="s">
        <v>46</v>
      </c>
      <c r="D2708" t="s">
        <v>46</v>
      </c>
      <c r="J2708">
        <v>45</v>
      </c>
      <c r="K2708">
        <v>45</v>
      </c>
      <c r="Q2708" t="s">
        <v>2727</v>
      </c>
    </row>
    <row r="2709" spans="1:17" x14ac:dyDescent="0.25">
      <c r="A2709" t="s">
        <v>2729</v>
      </c>
      <c r="B2709" t="s">
        <v>77</v>
      </c>
      <c r="C2709" t="s">
        <v>85</v>
      </c>
      <c r="D2709" t="s">
        <v>77</v>
      </c>
      <c r="J2709">
        <v>45</v>
      </c>
      <c r="K2709">
        <v>45</v>
      </c>
      <c r="Q2709" t="s">
        <v>2727</v>
      </c>
    </row>
    <row r="2710" spans="1:17" x14ac:dyDescent="0.25">
      <c r="A2710" t="s">
        <v>2730</v>
      </c>
      <c r="B2710" t="s">
        <v>77</v>
      </c>
      <c r="C2710" t="s">
        <v>85</v>
      </c>
      <c r="D2710" t="s">
        <v>77</v>
      </c>
      <c r="J2710">
        <v>50.4</v>
      </c>
      <c r="K2710">
        <v>50.4</v>
      </c>
    </row>
    <row r="2711" spans="1:17" hidden="1" x14ac:dyDescent="0.25">
      <c r="A2711" t="s">
        <v>1462</v>
      </c>
      <c r="B2711" t="s">
        <v>341</v>
      </c>
    </row>
    <row r="2712" spans="1:17" hidden="1" x14ac:dyDescent="0.25">
      <c r="A2712" t="s">
        <v>2731</v>
      </c>
      <c r="B2712" t="s">
        <v>173</v>
      </c>
    </row>
    <row r="2713" spans="1:17" x14ac:dyDescent="0.25">
      <c r="A2713" t="s">
        <v>2732</v>
      </c>
      <c r="B2713" t="s">
        <v>77</v>
      </c>
      <c r="D2713" t="s">
        <v>77</v>
      </c>
      <c r="J2713" t="s">
        <v>2733</v>
      </c>
      <c r="K2713">
        <v>60</v>
      </c>
    </row>
    <row r="2714" spans="1:17" hidden="1" x14ac:dyDescent="0.25">
      <c r="A2714" t="s">
        <v>2734</v>
      </c>
      <c r="B2714" t="s">
        <v>87</v>
      </c>
    </row>
    <row r="2715" spans="1:17" hidden="1" x14ac:dyDescent="0.25">
      <c r="A2715" t="s">
        <v>2735</v>
      </c>
      <c r="B2715" t="s">
        <v>87</v>
      </c>
    </row>
    <row r="2716" spans="1:17" hidden="1" x14ac:dyDescent="0.25">
      <c r="A2716" t="s">
        <v>2736</v>
      </c>
      <c r="B2716" t="s">
        <v>95</v>
      </c>
    </row>
    <row r="2717" spans="1:17" hidden="1" x14ac:dyDescent="0.25">
      <c r="A2717" t="s">
        <v>2737</v>
      </c>
      <c r="B2717" t="s">
        <v>46</v>
      </c>
    </row>
    <row r="2718" spans="1:17" hidden="1" x14ac:dyDescent="0.25">
      <c r="A2718" t="s">
        <v>2738</v>
      </c>
      <c r="B2718" t="s">
        <v>341</v>
      </c>
    </row>
    <row r="2719" spans="1:17" x14ac:dyDescent="0.25">
      <c r="A2719" t="s">
        <v>2739</v>
      </c>
      <c r="B2719" t="s">
        <v>46</v>
      </c>
      <c r="D2719" t="s">
        <v>46</v>
      </c>
      <c r="J2719" t="s">
        <v>2740</v>
      </c>
      <c r="K2719">
        <v>76</v>
      </c>
    </row>
    <row r="2720" spans="1:17" x14ac:dyDescent="0.25">
      <c r="A2720" t="s">
        <v>2741</v>
      </c>
      <c r="B2720" t="s">
        <v>77</v>
      </c>
      <c r="D2720" t="s">
        <v>77</v>
      </c>
      <c r="J2720" t="s">
        <v>2740</v>
      </c>
      <c r="K2720">
        <v>76</v>
      </c>
    </row>
    <row r="2721" spans="1:19" x14ac:dyDescent="0.25">
      <c r="A2721" t="s">
        <v>2685</v>
      </c>
      <c r="B2721" t="s">
        <v>46</v>
      </c>
      <c r="D2721" t="s">
        <v>46</v>
      </c>
      <c r="J2721" t="s">
        <v>1668</v>
      </c>
      <c r="K2721">
        <v>46</v>
      </c>
    </row>
    <row r="2722" spans="1:19" x14ac:dyDescent="0.25">
      <c r="A2722" t="s">
        <v>2742</v>
      </c>
      <c r="B2722" t="s">
        <v>77</v>
      </c>
      <c r="C2722" t="s">
        <v>83</v>
      </c>
      <c r="D2722" t="s">
        <v>77</v>
      </c>
      <c r="J2722" t="s">
        <v>1668</v>
      </c>
      <c r="K2722">
        <v>46</v>
      </c>
    </row>
    <row r="2723" spans="1:19" x14ac:dyDescent="0.25">
      <c r="A2723" t="s">
        <v>2743</v>
      </c>
      <c r="B2723" t="s">
        <v>77</v>
      </c>
      <c r="D2723" t="s">
        <v>77</v>
      </c>
      <c r="Q2723" t="s">
        <v>2744</v>
      </c>
    </row>
    <row r="2724" spans="1:19" hidden="1" x14ac:dyDescent="0.25">
      <c r="A2724" t="s">
        <v>2745</v>
      </c>
      <c r="B2724" t="s">
        <v>173</v>
      </c>
    </row>
    <row r="2725" spans="1:19" hidden="1" x14ac:dyDescent="0.25">
      <c r="A2725" t="s">
        <v>2746</v>
      </c>
      <c r="B2725" t="s">
        <v>173</v>
      </c>
    </row>
    <row r="2726" spans="1:19" x14ac:dyDescent="0.25">
      <c r="A2726" t="s">
        <v>2747</v>
      </c>
      <c r="B2726" t="s">
        <v>87</v>
      </c>
      <c r="D2726" t="s">
        <v>46</v>
      </c>
      <c r="Q2726" t="s">
        <v>1461</v>
      </c>
    </row>
    <row r="2727" spans="1:19" hidden="1" x14ac:dyDescent="0.25">
      <c r="A2727" t="s">
        <v>2748</v>
      </c>
      <c r="B2727" t="s">
        <v>173</v>
      </c>
    </row>
    <row r="2728" spans="1:19" x14ac:dyDescent="0.25">
      <c r="A2728" t="s">
        <v>2749</v>
      </c>
      <c r="B2728" t="s">
        <v>173</v>
      </c>
      <c r="D2728" t="s">
        <v>20</v>
      </c>
      <c r="Q2728" t="s">
        <v>1461</v>
      </c>
    </row>
    <row r="2729" spans="1:19" x14ac:dyDescent="0.25">
      <c r="A2729" t="s">
        <v>2750</v>
      </c>
      <c r="B2729" t="s">
        <v>173</v>
      </c>
      <c r="D2729" t="s">
        <v>77</v>
      </c>
      <c r="Q2729" t="s">
        <v>1461</v>
      </c>
    </row>
    <row r="2730" spans="1:19" x14ac:dyDescent="0.25">
      <c r="A2730" t="s">
        <v>2751</v>
      </c>
      <c r="B2730" t="s">
        <v>77</v>
      </c>
      <c r="D2730" t="s">
        <v>77</v>
      </c>
      <c r="Q2730" t="s">
        <v>2003</v>
      </c>
      <c r="S2730" t="s">
        <v>294</v>
      </c>
    </row>
    <row r="2731" spans="1:19" hidden="1" x14ac:dyDescent="0.25">
      <c r="A2731" t="s">
        <v>2752</v>
      </c>
      <c r="B2731" t="s">
        <v>173</v>
      </c>
    </row>
    <row r="2732" spans="1:19" hidden="1" x14ac:dyDescent="0.25">
      <c r="A2732" t="s">
        <v>2753</v>
      </c>
      <c r="B2732" t="s">
        <v>95</v>
      </c>
    </row>
    <row r="2733" spans="1:19" hidden="1" x14ac:dyDescent="0.25">
      <c r="A2733" t="s">
        <v>2754</v>
      </c>
      <c r="B2733" t="s">
        <v>87</v>
      </c>
    </row>
    <row r="2734" spans="1:19" hidden="1" x14ac:dyDescent="0.25">
      <c r="A2734" t="s">
        <v>2755</v>
      </c>
    </row>
    <row r="2735" spans="1:19" hidden="1" x14ac:dyDescent="0.25">
      <c r="A2735" t="s">
        <v>2756</v>
      </c>
      <c r="B2735" t="s">
        <v>173</v>
      </c>
    </row>
    <row r="2736" spans="1:19" hidden="1" x14ac:dyDescent="0.25">
      <c r="A2736" t="s">
        <v>2757</v>
      </c>
      <c r="B2736" t="s">
        <v>173</v>
      </c>
    </row>
    <row r="2737" spans="1:17" hidden="1" x14ac:dyDescent="0.25">
      <c r="A2737" t="s">
        <v>2758</v>
      </c>
      <c r="B2737" t="s">
        <v>173</v>
      </c>
    </row>
    <row r="2738" spans="1:17" hidden="1" x14ac:dyDescent="0.25">
      <c r="A2738" t="s">
        <v>2606</v>
      </c>
      <c r="B2738" t="s">
        <v>16</v>
      </c>
    </row>
    <row r="2739" spans="1:17" x14ac:dyDescent="0.25">
      <c r="A2739" t="s">
        <v>2759</v>
      </c>
      <c r="B2739" t="s">
        <v>20</v>
      </c>
      <c r="D2739" t="s">
        <v>20</v>
      </c>
      <c r="Q2739" t="s">
        <v>239</v>
      </c>
    </row>
    <row r="2740" spans="1:17" x14ac:dyDescent="0.25">
      <c r="A2740" t="s">
        <v>2760</v>
      </c>
      <c r="B2740" t="s">
        <v>77</v>
      </c>
      <c r="D2740" t="s">
        <v>77</v>
      </c>
      <c r="J2740">
        <v>55.8</v>
      </c>
      <c r="K2740">
        <v>55.8</v>
      </c>
    </row>
    <row r="2741" spans="1:17" hidden="1" x14ac:dyDescent="0.25">
      <c r="A2741" t="s">
        <v>2761</v>
      </c>
      <c r="B2741" t="s">
        <v>173</v>
      </c>
    </row>
    <row r="2742" spans="1:17" hidden="1" x14ac:dyDescent="0.25">
      <c r="A2742" t="s">
        <v>2762</v>
      </c>
      <c r="B2742" t="s">
        <v>87</v>
      </c>
    </row>
    <row r="2743" spans="1:17" hidden="1" x14ac:dyDescent="0.25">
      <c r="A2743" t="s">
        <v>2763</v>
      </c>
      <c r="B2743" t="s">
        <v>87</v>
      </c>
    </row>
    <row r="2744" spans="1:17" x14ac:dyDescent="0.25">
      <c r="A2744" t="s">
        <v>2627</v>
      </c>
      <c r="B2744" t="s">
        <v>173</v>
      </c>
      <c r="D2744" t="s">
        <v>46</v>
      </c>
      <c r="I2744" t="s">
        <v>235</v>
      </c>
      <c r="Q2744" t="s">
        <v>2628</v>
      </c>
    </row>
    <row r="2745" spans="1:17" hidden="1" x14ac:dyDescent="0.25">
      <c r="A2745" t="s">
        <v>2764</v>
      </c>
      <c r="B2745" t="s">
        <v>87</v>
      </c>
    </row>
    <row r="2746" spans="1:17" hidden="1" x14ac:dyDescent="0.25">
      <c r="A2746" t="s">
        <v>2765</v>
      </c>
      <c r="B2746" t="s">
        <v>341</v>
      </c>
    </row>
    <row r="2747" spans="1:17" hidden="1" x14ac:dyDescent="0.25">
      <c r="A2747" t="s">
        <v>2766</v>
      </c>
      <c r="B2747" t="s">
        <v>173</v>
      </c>
    </row>
    <row r="2748" spans="1:17" hidden="1" x14ac:dyDescent="0.25">
      <c r="A2748" t="s">
        <v>2767</v>
      </c>
      <c r="B2748" t="s">
        <v>173</v>
      </c>
    </row>
    <row r="2749" spans="1:17" x14ac:dyDescent="0.25">
      <c r="A2749" t="s">
        <v>2768</v>
      </c>
      <c r="B2749" t="s">
        <v>77</v>
      </c>
      <c r="D2749" t="s">
        <v>77</v>
      </c>
      <c r="Q2749" t="s">
        <v>83</v>
      </c>
    </row>
    <row r="2750" spans="1:17" hidden="1" x14ac:dyDescent="0.25">
      <c r="A2750" t="s">
        <v>519</v>
      </c>
      <c r="B2750" t="s">
        <v>341</v>
      </c>
    </row>
    <row r="2751" spans="1:17" x14ac:dyDescent="0.25">
      <c r="A2751" t="s">
        <v>2769</v>
      </c>
      <c r="B2751" t="s">
        <v>173</v>
      </c>
      <c r="D2751" t="s">
        <v>46</v>
      </c>
      <c r="I2751" t="s">
        <v>79</v>
      </c>
      <c r="Q2751" t="s">
        <v>2770</v>
      </c>
    </row>
    <row r="2752" spans="1:17" x14ac:dyDescent="0.25">
      <c r="A2752" t="s">
        <v>2771</v>
      </c>
      <c r="B2752" t="s">
        <v>46</v>
      </c>
      <c r="D2752" t="s">
        <v>46</v>
      </c>
      <c r="Q2752" t="s">
        <v>2770</v>
      </c>
    </row>
    <row r="2753" spans="1:19" x14ac:dyDescent="0.25">
      <c r="A2753" t="s">
        <v>2772</v>
      </c>
      <c r="B2753" t="s">
        <v>173</v>
      </c>
      <c r="D2753" t="s">
        <v>77</v>
      </c>
      <c r="Q2753" t="s">
        <v>2770</v>
      </c>
      <c r="S2753" t="s">
        <v>294</v>
      </c>
    </row>
    <row r="2754" spans="1:19" x14ac:dyDescent="0.25">
      <c r="A2754" t="s">
        <v>2773</v>
      </c>
      <c r="B2754" t="s">
        <v>173</v>
      </c>
      <c r="D2754" t="s">
        <v>46</v>
      </c>
      <c r="Q2754" t="s">
        <v>2770</v>
      </c>
      <c r="S2754" t="s">
        <v>294</v>
      </c>
    </row>
    <row r="2755" spans="1:19" hidden="1" x14ac:dyDescent="0.25">
      <c r="A2755" t="s">
        <v>2774</v>
      </c>
      <c r="B2755" t="s">
        <v>173</v>
      </c>
    </row>
    <row r="2756" spans="1:19" x14ac:dyDescent="0.25">
      <c r="A2756" t="s">
        <v>1062</v>
      </c>
      <c r="B2756" t="s">
        <v>173</v>
      </c>
      <c r="D2756" t="s">
        <v>46</v>
      </c>
      <c r="J2756">
        <v>70</v>
      </c>
      <c r="K2756">
        <v>70</v>
      </c>
    </row>
    <row r="2757" spans="1:19" x14ac:dyDescent="0.25">
      <c r="A2757" t="s">
        <v>1494</v>
      </c>
      <c r="B2757" t="s">
        <v>173</v>
      </c>
      <c r="D2757" t="s">
        <v>46</v>
      </c>
      <c r="J2757">
        <v>60</v>
      </c>
      <c r="K2757">
        <v>60</v>
      </c>
    </row>
    <row r="2758" spans="1:19" x14ac:dyDescent="0.25">
      <c r="A2758" t="s">
        <v>2775</v>
      </c>
      <c r="B2758" t="s">
        <v>173</v>
      </c>
      <c r="D2758" t="s">
        <v>2776</v>
      </c>
      <c r="I2758" t="s">
        <v>249</v>
      </c>
      <c r="L2758" t="s">
        <v>552</v>
      </c>
    </row>
    <row r="2759" spans="1:19" x14ac:dyDescent="0.25">
      <c r="A2759" t="s">
        <v>399</v>
      </c>
      <c r="B2759" t="s">
        <v>173</v>
      </c>
      <c r="D2759" t="s">
        <v>77</v>
      </c>
      <c r="J2759">
        <v>70</v>
      </c>
      <c r="K2759">
        <v>70</v>
      </c>
    </row>
    <row r="2760" spans="1:19" hidden="1" x14ac:dyDescent="0.25">
      <c r="A2760" t="s">
        <v>2777</v>
      </c>
      <c r="B2760" t="s">
        <v>173</v>
      </c>
    </row>
    <row r="2761" spans="1:19" hidden="1" x14ac:dyDescent="0.25">
      <c r="A2761" t="s">
        <v>2778</v>
      </c>
      <c r="B2761" t="s">
        <v>173</v>
      </c>
    </row>
    <row r="2762" spans="1:19" x14ac:dyDescent="0.25">
      <c r="A2762" t="s">
        <v>2779</v>
      </c>
      <c r="B2762" t="s">
        <v>173</v>
      </c>
      <c r="D2762" t="s">
        <v>46</v>
      </c>
      <c r="I2762" t="s">
        <v>1309</v>
      </c>
    </row>
    <row r="2763" spans="1:19" x14ac:dyDescent="0.25">
      <c r="A2763" t="s">
        <v>2780</v>
      </c>
      <c r="B2763" t="s">
        <v>46</v>
      </c>
      <c r="D2763" t="s">
        <v>46</v>
      </c>
      <c r="I2763" t="s">
        <v>235</v>
      </c>
      <c r="Q2763" t="s">
        <v>1380</v>
      </c>
    </row>
    <row r="2764" spans="1:19" x14ac:dyDescent="0.25">
      <c r="A2764" t="s">
        <v>2781</v>
      </c>
      <c r="B2764" t="s">
        <v>46</v>
      </c>
      <c r="D2764" t="s">
        <v>46</v>
      </c>
      <c r="L2764" t="s">
        <v>605</v>
      </c>
    </row>
    <row r="2765" spans="1:19" hidden="1" x14ac:dyDescent="0.25">
      <c r="A2765" t="s">
        <v>2782</v>
      </c>
      <c r="B2765" t="s">
        <v>341</v>
      </c>
    </row>
    <row r="2766" spans="1:19" x14ac:dyDescent="0.25">
      <c r="A2766" t="s">
        <v>2783</v>
      </c>
      <c r="B2766" t="s">
        <v>173</v>
      </c>
      <c r="D2766" t="s">
        <v>77</v>
      </c>
      <c r="I2766" t="s">
        <v>235</v>
      </c>
      <c r="Q2766" t="s">
        <v>2628</v>
      </c>
    </row>
    <row r="2767" spans="1:19" hidden="1" x14ac:dyDescent="0.25">
      <c r="A2767" t="s">
        <v>2784</v>
      </c>
      <c r="B2767" t="s">
        <v>87</v>
      </c>
    </row>
    <row r="2768" spans="1:19" x14ac:dyDescent="0.25">
      <c r="A2768" t="s">
        <v>2785</v>
      </c>
      <c r="B2768" t="s">
        <v>20</v>
      </c>
      <c r="D2768" t="s">
        <v>20</v>
      </c>
      <c r="E2768">
        <v>2</v>
      </c>
      <c r="J2768" t="s">
        <v>1765</v>
      </c>
      <c r="K2768">
        <v>27.5</v>
      </c>
    </row>
    <row r="2769" spans="1:19" x14ac:dyDescent="0.25">
      <c r="A2769" t="s">
        <v>2786</v>
      </c>
      <c r="B2769" t="s">
        <v>20</v>
      </c>
      <c r="D2769" t="s">
        <v>20</v>
      </c>
      <c r="E2769">
        <v>1</v>
      </c>
      <c r="J2769" t="s">
        <v>1765</v>
      </c>
      <c r="K2769">
        <v>27.5</v>
      </c>
    </row>
    <row r="2770" spans="1:19" x14ac:dyDescent="0.25">
      <c r="A2770" t="s">
        <v>2787</v>
      </c>
      <c r="B2770" t="s">
        <v>77</v>
      </c>
      <c r="D2770" t="s">
        <v>77</v>
      </c>
      <c r="E2770">
        <v>2</v>
      </c>
      <c r="J2770" t="s">
        <v>1765</v>
      </c>
      <c r="K2770">
        <v>27.5</v>
      </c>
    </row>
    <row r="2771" spans="1:19" x14ac:dyDescent="0.25">
      <c r="A2771" t="s">
        <v>2788</v>
      </c>
      <c r="B2771" t="s">
        <v>77</v>
      </c>
      <c r="C2771" t="s">
        <v>85</v>
      </c>
      <c r="D2771" t="s">
        <v>77</v>
      </c>
      <c r="E2771">
        <v>2</v>
      </c>
    </row>
    <row r="2772" spans="1:19" x14ac:dyDescent="0.25">
      <c r="A2772" t="s">
        <v>2789</v>
      </c>
      <c r="B2772" t="s">
        <v>48</v>
      </c>
      <c r="D2772" t="s">
        <v>49</v>
      </c>
      <c r="R2772" t="s">
        <v>106</v>
      </c>
    </row>
    <row r="2773" spans="1:19" x14ac:dyDescent="0.25">
      <c r="A2773" t="s">
        <v>2790</v>
      </c>
      <c r="B2773" t="s">
        <v>48</v>
      </c>
      <c r="D2773" t="s">
        <v>49</v>
      </c>
      <c r="R2773" t="s">
        <v>108</v>
      </c>
    </row>
    <row r="2774" spans="1:19" hidden="1" x14ac:dyDescent="0.25">
      <c r="A2774" t="s">
        <v>2791</v>
      </c>
      <c r="B2774" t="s">
        <v>173</v>
      </c>
    </row>
    <row r="2775" spans="1:19" x14ac:dyDescent="0.25">
      <c r="A2775" t="s">
        <v>141</v>
      </c>
      <c r="B2775" t="s">
        <v>173</v>
      </c>
      <c r="D2775" t="s">
        <v>77</v>
      </c>
      <c r="I2775" t="s">
        <v>79</v>
      </c>
    </row>
    <row r="2776" spans="1:19" hidden="1" x14ac:dyDescent="0.25">
      <c r="A2776" t="s">
        <v>2792</v>
      </c>
      <c r="B2776" t="s">
        <v>341</v>
      </c>
    </row>
    <row r="2777" spans="1:19" hidden="1" x14ac:dyDescent="0.25">
      <c r="A2777" t="s">
        <v>2793</v>
      </c>
      <c r="B2777" t="s">
        <v>341</v>
      </c>
    </row>
    <row r="2778" spans="1:19" x14ac:dyDescent="0.25">
      <c r="A2778" t="s">
        <v>2794</v>
      </c>
      <c r="B2778" t="s">
        <v>46</v>
      </c>
      <c r="D2778" t="s">
        <v>46</v>
      </c>
      <c r="E2778">
        <v>1</v>
      </c>
      <c r="J2778" t="s">
        <v>1794</v>
      </c>
      <c r="K2778">
        <v>32.5</v>
      </c>
    </row>
    <row r="2779" spans="1:19" hidden="1" x14ac:dyDescent="0.25">
      <c r="A2779" t="s">
        <v>2795</v>
      </c>
      <c r="B2779" t="s">
        <v>341</v>
      </c>
    </row>
    <row r="2780" spans="1:19" hidden="1" x14ac:dyDescent="0.25">
      <c r="A2780" t="s">
        <v>2737</v>
      </c>
      <c r="B2780" t="s">
        <v>173</v>
      </c>
    </row>
    <row r="2781" spans="1:19" x14ac:dyDescent="0.25">
      <c r="A2781" t="s">
        <v>2796</v>
      </c>
      <c r="B2781" t="s">
        <v>77</v>
      </c>
      <c r="C2781" t="s">
        <v>85</v>
      </c>
      <c r="D2781" t="s">
        <v>77</v>
      </c>
      <c r="J2781">
        <v>55</v>
      </c>
      <c r="K2781">
        <v>55</v>
      </c>
      <c r="S2781" t="s">
        <v>292</v>
      </c>
    </row>
    <row r="2782" spans="1:19" x14ac:dyDescent="0.25">
      <c r="A2782" t="s">
        <v>2797</v>
      </c>
      <c r="B2782" t="s">
        <v>77</v>
      </c>
      <c r="C2782" t="s">
        <v>85</v>
      </c>
      <c r="D2782" t="s">
        <v>77</v>
      </c>
      <c r="J2782">
        <v>55</v>
      </c>
      <c r="K2782">
        <v>55</v>
      </c>
      <c r="S2782" t="s">
        <v>290</v>
      </c>
    </row>
    <row r="2783" spans="1:19" hidden="1" x14ac:dyDescent="0.25">
      <c r="A2783" t="s">
        <v>2798</v>
      </c>
      <c r="B2783" t="s">
        <v>16</v>
      </c>
    </row>
    <row r="2784" spans="1:19" hidden="1" x14ac:dyDescent="0.25">
      <c r="A2784" t="s">
        <v>2799</v>
      </c>
      <c r="B2784" t="s">
        <v>16</v>
      </c>
    </row>
    <row r="2785" spans="1:18" x14ac:dyDescent="0.25">
      <c r="A2785" t="s">
        <v>2800</v>
      </c>
      <c r="B2785" t="s">
        <v>77</v>
      </c>
      <c r="D2785" t="s">
        <v>77</v>
      </c>
      <c r="Q2785" t="s">
        <v>1159</v>
      </c>
    </row>
    <row r="2786" spans="1:18" hidden="1" x14ac:dyDescent="0.25">
      <c r="A2786" t="s">
        <v>2801</v>
      </c>
      <c r="B2786" t="s">
        <v>87</v>
      </c>
    </row>
    <row r="2787" spans="1:18" hidden="1" x14ac:dyDescent="0.25">
      <c r="A2787" t="s">
        <v>2802</v>
      </c>
      <c r="B2787" t="s">
        <v>87</v>
      </c>
    </row>
    <row r="2788" spans="1:18" x14ac:dyDescent="0.25">
      <c r="A2788" t="s">
        <v>2803</v>
      </c>
      <c r="B2788" t="s">
        <v>77</v>
      </c>
      <c r="D2788" t="s">
        <v>77</v>
      </c>
      <c r="R2788" t="s">
        <v>108</v>
      </c>
    </row>
    <row r="2789" spans="1:18" x14ac:dyDescent="0.25">
      <c r="A2789" t="s">
        <v>2804</v>
      </c>
      <c r="B2789" t="s">
        <v>77</v>
      </c>
      <c r="D2789" t="s">
        <v>77</v>
      </c>
      <c r="R2789" t="s">
        <v>106</v>
      </c>
    </row>
    <row r="2790" spans="1:18" hidden="1" x14ac:dyDescent="0.25">
      <c r="A2790" t="s">
        <v>352</v>
      </c>
      <c r="B2790" t="s">
        <v>173</v>
      </c>
    </row>
    <row r="2791" spans="1:18" hidden="1" x14ac:dyDescent="0.25">
      <c r="A2791" t="s">
        <v>1491</v>
      </c>
      <c r="B2791" t="s">
        <v>341</v>
      </c>
    </row>
    <row r="2792" spans="1:18" hidden="1" x14ac:dyDescent="0.25">
      <c r="A2792" t="s">
        <v>2805</v>
      </c>
      <c r="B2792" t="s">
        <v>95</v>
      </c>
    </row>
    <row r="2793" spans="1:18" x14ac:dyDescent="0.25">
      <c r="A2793" t="s">
        <v>20</v>
      </c>
      <c r="B2793" t="s">
        <v>46</v>
      </c>
      <c r="D2793" t="s">
        <v>20</v>
      </c>
    </row>
    <row r="2794" spans="1:18" x14ac:dyDescent="0.25">
      <c r="A2794" t="s">
        <v>2806</v>
      </c>
      <c r="B2794" t="s">
        <v>77</v>
      </c>
      <c r="D2794" t="s">
        <v>77</v>
      </c>
      <c r="Q2794" t="s">
        <v>1161</v>
      </c>
    </row>
    <row r="2795" spans="1:18" x14ac:dyDescent="0.25">
      <c r="A2795" t="s">
        <v>2807</v>
      </c>
      <c r="B2795" t="s">
        <v>77</v>
      </c>
      <c r="D2795" t="s">
        <v>77</v>
      </c>
      <c r="Q2795" t="s">
        <v>2808</v>
      </c>
    </row>
    <row r="2796" spans="1:18" x14ac:dyDescent="0.25">
      <c r="A2796" t="s">
        <v>2809</v>
      </c>
      <c r="B2796" t="s">
        <v>20</v>
      </c>
      <c r="D2796" t="s">
        <v>20</v>
      </c>
      <c r="Q2796" t="s">
        <v>2808</v>
      </c>
    </row>
    <row r="2797" spans="1:18" hidden="1" x14ac:dyDescent="0.25">
      <c r="A2797" t="s">
        <v>2810</v>
      </c>
      <c r="B2797" t="s">
        <v>87</v>
      </c>
    </row>
    <row r="2798" spans="1:18" hidden="1" x14ac:dyDescent="0.25">
      <c r="A2798" t="s">
        <v>2811</v>
      </c>
      <c r="B2798" t="s">
        <v>87</v>
      </c>
    </row>
    <row r="2799" spans="1:18" hidden="1" x14ac:dyDescent="0.25">
      <c r="A2799" t="s">
        <v>2812</v>
      </c>
      <c r="B2799" t="s">
        <v>16</v>
      </c>
    </row>
    <row r="2800" spans="1:18" hidden="1" x14ac:dyDescent="0.25">
      <c r="A2800" t="s">
        <v>2813</v>
      </c>
      <c r="B2800" t="s">
        <v>87</v>
      </c>
    </row>
    <row r="2801" spans="1:19" x14ac:dyDescent="0.25">
      <c r="A2801" t="s">
        <v>2814</v>
      </c>
      <c r="B2801" t="s">
        <v>77</v>
      </c>
      <c r="C2801" t="s">
        <v>85</v>
      </c>
      <c r="D2801" t="s">
        <v>77</v>
      </c>
      <c r="J2801">
        <v>56</v>
      </c>
      <c r="K2801">
        <v>56</v>
      </c>
      <c r="R2801" t="s">
        <v>108</v>
      </c>
    </row>
    <row r="2802" spans="1:19" x14ac:dyDescent="0.25">
      <c r="A2802" t="s">
        <v>2815</v>
      </c>
      <c r="B2802" t="s">
        <v>46</v>
      </c>
      <c r="D2802" t="s">
        <v>45</v>
      </c>
      <c r="P2802" t="s">
        <v>2816</v>
      </c>
    </row>
    <row r="2803" spans="1:19" x14ac:dyDescent="0.25">
      <c r="A2803" t="s">
        <v>2817</v>
      </c>
      <c r="B2803" t="s">
        <v>77</v>
      </c>
      <c r="D2803" t="s">
        <v>77</v>
      </c>
      <c r="P2803" t="s">
        <v>2818</v>
      </c>
    </row>
    <row r="2804" spans="1:19" x14ac:dyDescent="0.25">
      <c r="A2804" t="s">
        <v>2819</v>
      </c>
      <c r="B2804" t="s">
        <v>77</v>
      </c>
      <c r="D2804" t="s">
        <v>77</v>
      </c>
      <c r="J2804">
        <v>45</v>
      </c>
      <c r="K2804">
        <v>45</v>
      </c>
      <c r="P2804" t="s">
        <v>2816</v>
      </c>
    </row>
    <row r="2805" spans="1:19" hidden="1" x14ac:dyDescent="0.25">
      <c r="A2805" t="s">
        <v>2820</v>
      </c>
      <c r="B2805" t="s">
        <v>173</v>
      </c>
    </row>
    <row r="2806" spans="1:19" hidden="1" x14ac:dyDescent="0.25">
      <c r="A2806" t="s">
        <v>2821</v>
      </c>
      <c r="B2806" t="s">
        <v>173</v>
      </c>
    </row>
    <row r="2807" spans="1:19" x14ac:dyDescent="0.25">
      <c r="A2807" t="s">
        <v>2822</v>
      </c>
      <c r="B2807" t="s">
        <v>46</v>
      </c>
      <c r="D2807" t="s">
        <v>46</v>
      </c>
      <c r="P2807" t="s">
        <v>2816</v>
      </c>
      <c r="Q2807" t="s">
        <v>2823</v>
      </c>
    </row>
    <row r="2808" spans="1:19" x14ac:dyDescent="0.25">
      <c r="A2808" t="s">
        <v>2824</v>
      </c>
      <c r="B2808" t="s">
        <v>20</v>
      </c>
      <c r="D2808" t="s">
        <v>20</v>
      </c>
      <c r="P2808" t="s">
        <v>2816</v>
      </c>
    </row>
    <row r="2809" spans="1:19" x14ac:dyDescent="0.25">
      <c r="A2809" t="s">
        <v>2825</v>
      </c>
      <c r="B2809" t="s">
        <v>46</v>
      </c>
      <c r="D2809" t="s">
        <v>46</v>
      </c>
      <c r="P2809" t="s">
        <v>2826</v>
      </c>
    </row>
    <row r="2810" spans="1:19" hidden="1" x14ac:dyDescent="0.25">
      <c r="A2810" t="s">
        <v>2827</v>
      </c>
      <c r="B2810" t="s">
        <v>173</v>
      </c>
    </row>
    <row r="2811" spans="1:19" x14ac:dyDescent="0.25">
      <c r="A2811" t="s">
        <v>2828</v>
      </c>
      <c r="B2811" t="s">
        <v>77</v>
      </c>
      <c r="D2811" t="s">
        <v>77</v>
      </c>
      <c r="I2811" t="s">
        <v>79</v>
      </c>
    </row>
    <row r="2812" spans="1:19" x14ac:dyDescent="0.25">
      <c r="A2812" t="s">
        <v>2829</v>
      </c>
      <c r="B2812" t="s">
        <v>77</v>
      </c>
      <c r="D2812" t="s">
        <v>77</v>
      </c>
      <c r="I2812" t="s">
        <v>79</v>
      </c>
    </row>
    <row r="2813" spans="1:19" x14ac:dyDescent="0.25">
      <c r="A2813" t="s">
        <v>2830</v>
      </c>
      <c r="B2813" t="s">
        <v>77</v>
      </c>
      <c r="C2813" t="s">
        <v>83</v>
      </c>
      <c r="D2813" t="s">
        <v>77</v>
      </c>
      <c r="J2813" t="s">
        <v>2831</v>
      </c>
      <c r="K2813">
        <v>55.8</v>
      </c>
    </row>
    <row r="2814" spans="1:19" x14ac:dyDescent="0.25">
      <c r="A2814" t="s">
        <v>2832</v>
      </c>
      <c r="B2814" t="s">
        <v>77</v>
      </c>
      <c r="C2814" t="s">
        <v>85</v>
      </c>
      <c r="D2814" t="s">
        <v>77</v>
      </c>
      <c r="J2814">
        <v>55.8</v>
      </c>
      <c r="K2814">
        <v>55.8</v>
      </c>
      <c r="R2814" t="s">
        <v>106</v>
      </c>
      <c r="S2814" t="s">
        <v>290</v>
      </c>
    </row>
    <row r="2815" spans="1:19" x14ac:dyDescent="0.25">
      <c r="A2815" t="s">
        <v>2833</v>
      </c>
      <c r="B2815" t="s">
        <v>77</v>
      </c>
      <c r="C2815" t="s">
        <v>85</v>
      </c>
      <c r="D2815" t="s">
        <v>77</v>
      </c>
      <c r="J2815">
        <v>55.8</v>
      </c>
      <c r="K2815">
        <v>55.8</v>
      </c>
      <c r="R2815" t="s">
        <v>106</v>
      </c>
      <c r="S2815" t="s">
        <v>292</v>
      </c>
    </row>
    <row r="2816" spans="1:19" x14ac:dyDescent="0.25">
      <c r="A2816" t="s">
        <v>2834</v>
      </c>
      <c r="B2816" t="s">
        <v>77</v>
      </c>
      <c r="C2816" t="s">
        <v>85</v>
      </c>
      <c r="D2816" t="s">
        <v>77</v>
      </c>
      <c r="J2816">
        <v>59.4</v>
      </c>
      <c r="K2816">
        <v>59.4</v>
      </c>
      <c r="R2816" t="s">
        <v>108</v>
      </c>
      <c r="S2816" t="s">
        <v>290</v>
      </c>
    </row>
    <row r="2817" spans="1:19" x14ac:dyDescent="0.25">
      <c r="A2817" t="s">
        <v>2835</v>
      </c>
      <c r="B2817" t="s">
        <v>77</v>
      </c>
      <c r="C2817" t="s">
        <v>85</v>
      </c>
      <c r="D2817" t="s">
        <v>77</v>
      </c>
      <c r="J2817">
        <v>59.4</v>
      </c>
      <c r="K2817">
        <v>59.4</v>
      </c>
      <c r="R2817" t="s">
        <v>108</v>
      </c>
      <c r="S2817" t="s">
        <v>292</v>
      </c>
    </row>
    <row r="2818" spans="1:19" hidden="1" x14ac:dyDescent="0.25">
      <c r="A2818" t="s">
        <v>2836</v>
      </c>
      <c r="B2818" t="s">
        <v>16</v>
      </c>
    </row>
    <row r="2819" spans="1:19" x14ac:dyDescent="0.25">
      <c r="A2819" t="s">
        <v>2837</v>
      </c>
      <c r="B2819" t="s">
        <v>46</v>
      </c>
      <c r="D2819" t="s">
        <v>46</v>
      </c>
      <c r="I2819" t="s">
        <v>235</v>
      </c>
      <c r="Q2819" t="s">
        <v>2838</v>
      </c>
    </row>
    <row r="2820" spans="1:19" x14ac:dyDescent="0.25">
      <c r="A2820" t="s">
        <v>2839</v>
      </c>
      <c r="B2820" t="s">
        <v>77</v>
      </c>
      <c r="C2820" t="s">
        <v>83</v>
      </c>
      <c r="D2820" t="s">
        <v>77</v>
      </c>
      <c r="I2820" t="s">
        <v>79</v>
      </c>
      <c r="Q2820" t="s">
        <v>859</v>
      </c>
    </row>
    <row r="2821" spans="1:19" x14ac:dyDescent="0.25">
      <c r="A2821" t="s">
        <v>2840</v>
      </c>
      <c r="B2821" t="s">
        <v>77</v>
      </c>
      <c r="D2821" t="s">
        <v>77</v>
      </c>
      <c r="I2821" t="s">
        <v>235</v>
      </c>
      <c r="Q2821" t="s">
        <v>2838</v>
      </c>
    </row>
    <row r="2822" spans="1:19" hidden="1" x14ac:dyDescent="0.25">
      <c r="A2822" t="s">
        <v>2841</v>
      </c>
      <c r="B2822" t="s">
        <v>173</v>
      </c>
    </row>
    <row r="2823" spans="1:19" x14ac:dyDescent="0.25">
      <c r="A2823" t="s">
        <v>2842</v>
      </c>
      <c r="B2823" t="s">
        <v>77</v>
      </c>
      <c r="D2823" t="s">
        <v>77</v>
      </c>
      <c r="J2823" t="s">
        <v>2843</v>
      </c>
      <c r="K2823">
        <v>50.4</v>
      </c>
    </row>
    <row r="2824" spans="1:19" hidden="1" x14ac:dyDescent="0.25">
      <c r="A2824" t="s">
        <v>2844</v>
      </c>
      <c r="B2824" t="s">
        <v>16</v>
      </c>
    </row>
    <row r="2825" spans="1:19" hidden="1" x14ac:dyDescent="0.25">
      <c r="A2825" t="s">
        <v>2845</v>
      </c>
      <c r="B2825" t="s">
        <v>16</v>
      </c>
    </row>
    <row r="2826" spans="1:19" hidden="1" x14ac:dyDescent="0.25">
      <c r="A2826" t="s">
        <v>2846</v>
      </c>
      <c r="B2826" t="s">
        <v>173</v>
      </c>
    </row>
    <row r="2827" spans="1:19" x14ac:dyDescent="0.25">
      <c r="A2827" t="s">
        <v>2847</v>
      </c>
      <c r="B2827" t="s">
        <v>46</v>
      </c>
      <c r="D2827" t="s">
        <v>46</v>
      </c>
      <c r="I2827" t="s">
        <v>137</v>
      </c>
      <c r="Q2827" t="s">
        <v>1945</v>
      </c>
    </row>
    <row r="2828" spans="1:19" x14ac:dyDescent="0.25">
      <c r="A2828" t="s">
        <v>1091</v>
      </c>
      <c r="B2828" t="s">
        <v>173</v>
      </c>
      <c r="D2828" t="s">
        <v>77</v>
      </c>
      <c r="J2828">
        <v>30</v>
      </c>
      <c r="K2828">
        <v>30</v>
      </c>
    </row>
    <row r="2829" spans="1:19" hidden="1" x14ac:dyDescent="0.25">
      <c r="A2829" t="s">
        <v>2359</v>
      </c>
      <c r="B2829" t="s">
        <v>173</v>
      </c>
    </row>
    <row r="2830" spans="1:19" x14ac:dyDescent="0.25">
      <c r="A2830" t="s">
        <v>2848</v>
      </c>
      <c r="B2830" t="s">
        <v>77</v>
      </c>
      <c r="C2830" t="s">
        <v>85</v>
      </c>
      <c r="D2830" t="s">
        <v>77</v>
      </c>
      <c r="J2830">
        <v>36</v>
      </c>
      <c r="K2830">
        <v>36</v>
      </c>
    </row>
    <row r="2831" spans="1:19" x14ac:dyDescent="0.25">
      <c r="A2831" t="s">
        <v>2849</v>
      </c>
      <c r="B2831" t="s">
        <v>77</v>
      </c>
      <c r="C2831" t="s">
        <v>85</v>
      </c>
      <c r="D2831" t="s">
        <v>77</v>
      </c>
      <c r="J2831">
        <v>30</v>
      </c>
      <c r="K2831">
        <v>30</v>
      </c>
    </row>
    <row r="2832" spans="1:19" hidden="1" x14ac:dyDescent="0.25">
      <c r="A2832" t="s">
        <v>2850</v>
      </c>
      <c r="B2832" t="s">
        <v>95</v>
      </c>
    </row>
    <row r="2833" spans="1:17" hidden="1" x14ac:dyDescent="0.25">
      <c r="A2833" t="s">
        <v>2851</v>
      </c>
      <c r="B2833" t="s">
        <v>87</v>
      </c>
    </row>
    <row r="2834" spans="1:17" x14ac:dyDescent="0.25">
      <c r="A2834" t="s">
        <v>2852</v>
      </c>
      <c r="B2834" t="s">
        <v>46</v>
      </c>
      <c r="D2834" t="s">
        <v>46</v>
      </c>
      <c r="Q2834" t="s">
        <v>1292</v>
      </c>
    </row>
    <row r="2835" spans="1:17" hidden="1" x14ac:dyDescent="0.25">
      <c r="A2835" t="s">
        <v>2853</v>
      </c>
      <c r="B2835" t="s">
        <v>341</v>
      </c>
    </row>
    <row r="2836" spans="1:17" hidden="1" x14ac:dyDescent="0.25">
      <c r="A2836" t="s">
        <v>2854</v>
      </c>
      <c r="B2836" t="s">
        <v>341</v>
      </c>
    </row>
    <row r="2837" spans="1:17" hidden="1" x14ac:dyDescent="0.25">
      <c r="A2837" t="s">
        <v>2855</v>
      </c>
      <c r="B2837" t="s">
        <v>16</v>
      </c>
    </row>
    <row r="2838" spans="1:17" x14ac:dyDescent="0.25">
      <c r="A2838" t="s">
        <v>2856</v>
      </c>
      <c r="B2838" t="s">
        <v>77</v>
      </c>
      <c r="D2838" t="s">
        <v>77</v>
      </c>
      <c r="J2838">
        <v>50</v>
      </c>
      <c r="K2838">
        <v>50</v>
      </c>
      <c r="P2838" t="s">
        <v>46</v>
      </c>
    </row>
    <row r="2839" spans="1:17" hidden="1" x14ac:dyDescent="0.25">
      <c r="A2839" t="s">
        <v>2287</v>
      </c>
      <c r="B2839" t="s">
        <v>87</v>
      </c>
    </row>
    <row r="2840" spans="1:17" x14ac:dyDescent="0.25">
      <c r="A2840" t="s">
        <v>1632</v>
      </c>
      <c r="B2840" t="s">
        <v>173</v>
      </c>
      <c r="C2840" t="s">
        <v>85</v>
      </c>
      <c r="D2840" t="s">
        <v>77</v>
      </c>
    </row>
    <row r="2841" spans="1:17" hidden="1" x14ac:dyDescent="0.25">
      <c r="A2841" t="s">
        <v>2857</v>
      </c>
      <c r="B2841" t="s">
        <v>95</v>
      </c>
    </row>
    <row r="2842" spans="1:17" hidden="1" x14ac:dyDescent="0.25">
      <c r="A2842" t="s">
        <v>2858</v>
      </c>
      <c r="B2842" t="s">
        <v>16</v>
      </c>
    </row>
    <row r="2843" spans="1:17" x14ac:dyDescent="0.25">
      <c r="A2843" t="s">
        <v>2859</v>
      </c>
      <c r="B2843" t="s">
        <v>46</v>
      </c>
      <c r="D2843" t="s">
        <v>46</v>
      </c>
      <c r="J2843">
        <v>24</v>
      </c>
      <c r="K2843">
        <v>24</v>
      </c>
    </row>
    <row r="2844" spans="1:17" x14ac:dyDescent="0.25">
      <c r="A2844" t="s">
        <v>2860</v>
      </c>
      <c r="B2844" t="s">
        <v>77</v>
      </c>
      <c r="C2844" t="s">
        <v>85</v>
      </c>
      <c r="D2844" t="s">
        <v>77</v>
      </c>
      <c r="J2844">
        <v>24</v>
      </c>
      <c r="K2844">
        <v>24</v>
      </c>
    </row>
    <row r="2845" spans="1:17" hidden="1" x14ac:dyDescent="0.25">
      <c r="A2845" t="s">
        <v>2861</v>
      </c>
    </row>
    <row r="2846" spans="1:17" hidden="1" x14ac:dyDescent="0.25">
      <c r="A2846" t="s">
        <v>2862</v>
      </c>
    </row>
    <row r="2847" spans="1:17" hidden="1" x14ac:dyDescent="0.25">
      <c r="A2847" t="s">
        <v>118</v>
      </c>
      <c r="B2847" t="s">
        <v>173</v>
      </c>
    </row>
    <row r="2848" spans="1:17" hidden="1" x14ac:dyDescent="0.25">
      <c r="A2848" t="s">
        <v>178</v>
      </c>
      <c r="B2848" t="s">
        <v>173</v>
      </c>
    </row>
    <row r="2849" spans="1:11" hidden="1" x14ac:dyDescent="0.25">
      <c r="A2849" t="s">
        <v>179</v>
      </c>
      <c r="B2849" t="s">
        <v>173</v>
      </c>
    </row>
    <row r="2850" spans="1:11" hidden="1" x14ac:dyDescent="0.25">
      <c r="A2850" t="s">
        <v>180</v>
      </c>
      <c r="B2850" t="s">
        <v>173</v>
      </c>
    </row>
    <row r="2851" spans="1:11" hidden="1" x14ac:dyDescent="0.25">
      <c r="A2851" t="s">
        <v>2863</v>
      </c>
      <c r="B2851" t="s">
        <v>16</v>
      </c>
    </row>
    <row r="2852" spans="1:11" x14ac:dyDescent="0.25">
      <c r="A2852" t="s">
        <v>2864</v>
      </c>
      <c r="B2852" t="s">
        <v>48</v>
      </c>
      <c r="D2852" t="s">
        <v>20</v>
      </c>
      <c r="I2852" t="s">
        <v>79</v>
      </c>
    </row>
    <row r="2853" spans="1:11" x14ac:dyDescent="0.25">
      <c r="A2853" t="s">
        <v>2865</v>
      </c>
      <c r="B2853" t="s">
        <v>20</v>
      </c>
      <c r="D2853" t="s">
        <v>20</v>
      </c>
      <c r="I2853" t="s">
        <v>79</v>
      </c>
    </row>
    <row r="2854" spans="1:11" hidden="1" x14ac:dyDescent="0.25">
      <c r="A2854" t="s">
        <v>2866</v>
      </c>
      <c r="B2854" t="s">
        <v>95</v>
      </c>
    </row>
    <row r="2855" spans="1:11" hidden="1" x14ac:dyDescent="0.25">
      <c r="A2855" t="s">
        <v>2867</v>
      </c>
      <c r="B2855" t="s">
        <v>173</v>
      </c>
    </row>
    <row r="2856" spans="1:11" hidden="1" x14ac:dyDescent="0.25">
      <c r="A2856" t="s">
        <v>2868</v>
      </c>
      <c r="B2856" t="s">
        <v>173</v>
      </c>
    </row>
    <row r="2857" spans="1:11" hidden="1" x14ac:dyDescent="0.25">
      <c r="A2857" t="s">
        <v>2480</v>
      </c>
      <c r="B2857" t="s">
        <v>16</v>
      </c>
    </row>
    <row r="2858" spans="1:11" hidden="1" x14ac:dyDescent="0.25">
      <c r="A2858" t="s">
        <v>2869</v>
      </c>
      <c r="B2858" t="s">
        <v>173</v>
      </c>
    </row>
    <row r="2859" spans="1:11" hidden="1" x14ac:dyDescent="0.25">
      <c r="A2859" t="s">
        <v>2870</v>
      </c>
      <c r="B2859" t="s">
        <v>173</v>
      </c>
    </row>
    <row r="2860" spans="1:11" hidden="1" x14ac:dyDescent="0.25">
      <c r="A2860" t="s">
        <v>2871</v>
      </c>
      <c r="B2860" t="s">
        <v>173</v>
      </c>
    </row>
    <row r="2861" spans="1:11" hidden="1" x14ac:dyDescent="0.25">
      <c r="A2861" t="s">
        <v>2872</v>
      </c>
      <c r="B2861" t="s">
        <v>173</v>
      </c>
    </row>
    <row r="2862" spans="1:11" hidden="1" x14ac:dyDescent="0.25">
      <c r="A2862" t="s">
        <v>2873</v>
      </c>
      <c r="B2862" t="s">
        <v>173</v>
      </c>
    </row>
    <row r="2863" spans="1:11" x14ac:dyDescent="0.25">
      <c r="A2863" t="s">
        <v>2061</v>
      </c>
      <c r="B2863" t="s">
        <v>48</v>
      </c>
      <c r="D2863" t="s">
        <v>46</v>
      </c>
      <c r="J2863">
        <v>40</v>
      </c>
      <c r="K2863">
        <v>40</v>
      </c>
    </row>
    <row r="2864" spans="1:11" hidden="1" x14ac:dyDescent="0.25">
      <c r="A2864" t="s">
        <v>2874</v>
      </c>
      <c r="B2864" t="s">
        <v>87</v>
      </c>
    </row>
    <row r="2865" spans="1:19" hidden="1" x14ac:dyDescent="0.25">
      <c r="A2865" t="s">
        <v>2875</v>
      </c>
      <c r="B2865" t="s">
        <v>87</v>
      </c>
    </row>
    <row r="2866" spans="1:19" hidden="1" x14ac:dyDescent="0.25">
      <c r="A2866" t="s">
        <v>1782</v>
      </c>
      <c r="B2866" t="s">
        <v>173</v>
      </c>
    </row>
    <row r="2867" spans="1:19" hidden="1" x14ac:dyDescent="0.25">
      <c r="A2867" t="s">
        <v>2876</v>
      </c>
      <c r="B2867" t="s">
        <v>16</v>
      </c>
    </row>
    <row r="2868" spans="1:19" hidden="1" x14ac:dyDescent="0.25">
      <c r="A2868" t="s">
        <v>2877</v>
      </c>
      <c r="B2868" t="s">
        <v>341</v>
      </c>
    </row>
    <row r="2869" spans="1:19" hidden="1" x14ac:dyDescent="0.25">
      <c r="A2869" t="s">
        <v>2878</v>
      </c>
      <c r="B2869" t="s">
        <v>173</v>
      </c>
    </row>
    <row r="2870" spans="1:19" x14ac:dyDescent="0.25">
      <c r="A2870" t="s">
        <v>2879</v>
      </c>
      <c r="B2870" t="s">
        <v>77</v>
      </c>
      <c r="C2870" t="s">
        <v>85</v>
      </c>
      <c r="D2870" t="s">
        <v>77</v>
      </c>
      <c r="J2870">
        <v>56</v>
      </c>
      <c r="K2870">
        <v>56</v>
      </c>
      <c r="S2870" t="s">
        <v>290</v>
      </c>
    </row>
    <row r="2871" spans="1:19" hidden="1" x14ac:dyDescent="0.25">
      <c r="A2871" t="s">
        <v>2880</v>
      </c>
      <c r="B2871" t="s">
        <v>341</v>
      </c>
    </row>
    <row r="2872" spans="1:19" x14ac:dyDescent="0.25">
      <c r="A2872" t="s">
        <v>2881</v>
      </c>
      <c r="B2872" t="s">
        <v>20</v>
      </c>
      <c r="D2872" t="s">
        <v>44</v>
      </c>
      <c r="Q2872" t="s">
        <v>2882</v>
      </c>
    </row>
    <row r="2873" spans="1:19" x14ac:dyDescent="0.25">
      <c r="A2873" t="s">
        <v>2883</v>
      </c>
      <c r="B2873" t="s">
        <v>46</v>
      </c>
      <c r="D2873" t="s">
        <v>45</v>
      </c>
      <c r="Q2873" t="s">
        <v>2882</v>
      </c>
    </row>
    <row r="2874" spans="1:19" x14ac:dyDescent="0.25">
      <c r="A2874" t="s">
        <v>2884</v>
      </c>
      <c r="B2874" t="s">
        <v>77</v>
      </c>
      <c r="D2874" t="s">
        <v>77</v>
      </c>
      <c r="Q2874" t="s">
        <v>2882</v>
      </c>
    </row>
    <row r="2875" spans="1:19" hidden="1" x14ac:dyDescent="0.25">
      <c r="A2875" t="s">
        <v>2885</v>
      </c>
      <c r="B2875" t="s">
        <v>16</v>
      </c>
    </row>
    <row r="2876" spans="1:19" x14ac:dyDescent="0.25">
      <c r="A2876" t="s">
        <v>2886</v>
      </c>
      <c r="B2876" t="s">
        <v>46</v>
      </c>
      <c r="D2876" t="s">
        <v>46</v>
      </c>
      <c r="E2876">
        <v>1</v>
      </c>
      <c r="M2876">
        <v>2</v>
      </c>
      <c r="O2876" t="s">
        <v>215</v>
      </c>
    </row>
    <row r="2877" spans="1:19" hidden="1" x14ac:dyDescent="0.25">
      <c r="A2877" t="s">
        <v>2887</v>
      </c>
      <c r="B2877" t="s">
        <v>95</v>
      </c>
    </row>
    <row r="2878" spans="1:19" x14ac:dyDescent="0.25">
      <c r="A2878" t="s">
        <v>2888</v>
      </c>
      <c r="B2878" t="s">
        <v>46</v>
      </c>
      <c r="D2878" t="s">
        <v>46</v>
      </c>
      <c r="R2878" t="s">
        <v>108</v>
      </c>
    </row>
    <row r="2879" spans="1:19" x14ac:dyDescent="0.25">
      <c r="A2879" t="s">
        <v>2889</v>
      </c>
      <c r="B2879" t="s">
        <v>46</v>
      </c>
      <c r="D2879" t="s">
        <v>46</v>
      </c>
      <c r="R2879" t="s">
        <v>106</v>
      </c>
    </row>
    <row r="2880" spans="1:19" x14ac:dyDescent="0.25">
      <c r="A2880" t="s">
        <v>2890</v>
      </c>
      <c r="B2880" t="s">
        <v>77</v>
      </c>
      <c r="C2880" t="s">
        <v>85</v>
      </c>
      <c r="D2880" t="s">
        <v>77</v>
      </c>
      <c r="J2880" t="s">
        <v>612</v>
      </c>
      <c r="K2880">
        <v>21</v>
      </c>
    </row>
    <row r="2881" spans="1:11" x14ac:dyDescent="0.25">
      <c r="A2881" t="s">
        <v>2891</v>
      </c>
      <c r="B2881" t="s">
        <v>77</v>
      </c>
      <c r="D2881" t="s">
        <v>77</v>
      </c>
      <c r="J2881" t="s">
        <v>612</v>
      </c>
      <c r="K2881">
        <v>21</v>
      </c>
    </row>
    <row r="2882" spans="1:11" hidden="1" x14ac:dyDescent="0.25">
      <c r="A2882" t="s">
        <v>2892</v>
      </c>
      <c r="B2882" t="s">
        <v>173</v>
      </c>
    </row>
    <row r="2883" spans="1:11" hidden="1" x14ac:dyDescent="0.25">
      <c r="A2883" t="s">
        <v>2893</v>
      </c>
      <c r="B2883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0"/>
  <sheetViews>
    <sheetView workbookViewId="0">
      <selection activeCell="A14" sqref="A14"/>
    </sheetView>
  </sheetViews>
  <sheetFormatPr defaultRowHeight="15" x14ac:dyDescent="0.25"/>
  <cols>
    <col min="1" max="1" width="18.85546875" bestFit="1" customWidth="1"/>
    <col min="2" max="2" width="15.42578125" bestFit="1" customWidth="1"/>
    <col min="3" max="3" width="8.5703125" bestFit="1" customWidth="1"/>
    <col min="4" max="4" width="16.7109375" bestFit="1" customWidth="1"/>
    <col min="5" max="5" width="11.5703125" bestFit="1" customWidth="1"/>
    <col min="6" max="6" width="13.5703125" bestFit="1" customWidth="1"/>
    <col min="7" max="7" width="13" bestFit="1" customWidth="1"/>
    <col min="8" max="8" width="17.28515625" bestFit="1" customWidth="1"/>
    <col min="9" max="9" width="7" bestFit="1" customWidth="1"/>
    <col min="10" max="10" width="7.42578125" bestFit="1" customWidth="1"/>
    <col min="11" max="11" width="7.140625" bestFit="1" customWidth="1"/>
    <col min="12" max="12" width="12.28515625" bestFit="1" customWidth="1"/>
    <col min="13" max="13" width="13.28515625" bestFit="1" customWidth="1"/>
  </cols>
  <sheetData>
    <row r="1" spans="1:13" x14ac:dyDescent="0.25">
      <c r="A1" t="s">
        <v>0</v>
      </c>
      <c r="B1" t="s">
        <v>1</v>
      </c>
      <c r="C1" t="s">
        <v>3001</v>
      </c>
      <c r="D1" t="s">
        <v>3000</v>
      </c>
      <c r="E1" t="s">
        <v>17</v>
      </c>
      <c r="F1" t="s">
        <v>2999</v>
      </c>
      <c r="G1" t="s">
        <v>2998</v>
      </c>
      <c r="H1" t="s">
        <v>2997</v>
      </c>
      <c r="I1" t="s">
        <v>2996</v>
      </c>
      <c r="J1" t="s">
        <v>2995</v>
      </c>
      <c r="K1" t="s">
        <v>2994</v>
      </c>
      <c r="L1" t="s">
        <v>2993</v>
      </c>
      <c r="M1" t="s">
        <v>2992</v>
      </c>
    </row>
    <row r="2" spans="1:13" x14ac:dyDescent="0.25">
      <c r="A2" t="s">
        <v>69</v>
      </c>
      <c r="B2" t="s">
        <v>16</v>
      </c>
      <c r="D2" t="s">
        <v>2991</v>
      </c>
      <c r="E2" t="s">
        <v>108</v>
      </c>
    </row>
    <row r="3" spans="1:13" x14ac:dyDescent="0.25">
      <c r="A3" t="s">
        <v>70</v>
      </c>
      <c r="B3" t="s">
        <v>16</v>
      </c>
      <c r="D3" t="s">
        <v>2991</v>
      </c>
      <c r="E3" t="s">
        <v>106</v>
      </c>
    </row>
    <row r="4" spans="1:13" x14ac:dyDescent="0.25">
      <c r="A4" t="s">
        <v>71</v>
      </c>
      <c r="B4" t="s">
        <v>16</v>
      </c>
      <c r="D4" t="s">
        <v>2990</v>
      </c>
      <c r="E4" t="s">
        <v>108</v>
      </c>
    </row>
    <row r="5" spans="1:13" x14ac:dyDescent="0.25">
      <c r="A5" t="s">
        <v>72</v>
      </c>
      <c r="B5" t="s">
        <v>16</v>
      </c>
      <c r="D5" t="s">
        <v>2990</v>
      </c>
      <c r="E5" t="s">
        <v>106</v>
      </c>
    </row>
    <row r="6" spans="1:13" x14ac:dyDescent="0.25">
      <c r="A6" t="s">
        <v>73</v>
      </c>
      <c r="B6" t="s">
        <v>16</v>
      </c>
      <c r="D6" t="s">
        <v>2989</v>
      </c>
      <c r="E6" t="s">
        <v>108</v>
      </c>
    </row>
    <row r="7" spans="1:13" x14ac:dyDescent="0.25">
      <c r="A7" t="s">
        <v>74</v>
      </c>
      <c r="B7" t="s">
        <v>16</v>
      </c>
      <c r="D7" t="s">
        <v>2989</v>
      </c>
      <c r="E7" t="s">
        <v>106</v>
      </c>
    </row>
    <row r="8" spans="1:13" x14ac:dyDescent="0.25">
      <c r="A8" t="s">
        <v>75</v>
      </c>
      <c r="B8" t="s">
        <v>76</v>
      </c>
      <c r="D8" t="s">
        <v>75</v>
      </c>
    </row>
    <row r="9" spans="1:13" x14ac:dyDescent="0.25">
      <c r="A9" t="s">
        <v>86</v>
      </c>
      <c r="B9" t="s">
        <v>87</v>
      </c>
    </row>
    <row r="10" spans="1:13" x14ac:dyDescent="0.25">
      <c r="A10" t="s">
        <v>88</v>
      </c>
      <c r="B10" t="s">
        <v>87</v>
      </c>
    </row>
    <row r="11" spans="1:13" x14ac:dyDescent="0.25">
      <c r="A11" t="s">
        <v>89</v>
      </c>
      <c r="B11" t="s">
        <v>16</v>
      </c>
      <c r="D11" t="s">
        <v>89</v>
      </c>
    </row>
    <row r="12" spans="1:13" x14ac:dyDescent="0.25">
      <c r="A12" t="s">
        <v>90</v>
      </c>
      <c r="B12" t="s">
        <v>16</v>
      </c>
      <c r="D12" t="s">
        <v>90</v>
      </c>
    </row>
    <row r="13" spans="1:13" x14ac:dyDescent="0.25">
      <c r="A13" t="s">
        <v>91</v>
      </c>
      <c r="B13" t="s">
        <v>16</v>
      </c>
      <c r="D13" t="s">
        <v>91</v>
      </c>
    </row>
    <row r="14" spans="1:13" x14ac:dyDescent="0.25">
      <c r="A14" t="s">
        <v>92</v>
      </c>
      <c r="B14" t="s">
        <v>16</v>
      </c>
      <c r="D14" t="s">
        <v>92</v>
      </c>
    </row>
    <row r="15" spans="1:13" x14ac:dyDescent="0.25">
      <c r="A15" t="s">
        <v>93</v>
      </c>
      <c r="B15" t="s">
        <v>16</v>
      </c>
      <c r="D15" t="s">
        <v>93</v>
      </c>
    </row>
    <row r="16" spans="1:13" x14ac:dyDescent="0.25">
      <c r="A16" t="s">
        <v>94</v>
      </c>
      <c r="B16" t="s">
        <v>95</v>
      </c>
      <c r="C16" t="s">
        <v>85</v>
      </c>
      <c r="D16" t="s">
        <v>93</v>
      </c>
    </row>
    <row r="17" spans="1:5" x14ac:dyDescent="0.25">
      <c r="A17" t="s">
        <v>96</v>
      </c>
      <c r="B17" t="s">
        <v>16</v>
      </c>
      <c r="D17" t="s">
        <v>2988</v>
      </c>
      <c r="E17" t="s">
        <v>108</v>
      </c>
    </row>
    <row r="18" spans="1:5" x14ac:dyDescent="0.25">
      <c r="A18" t="s">
        <v>97</v>
      </c>
      <c r="B18" t="s">
        <v>16</v>
      </c>
      <c r="D18" t="s">
        <v>2988</v>
      </c>
      <c r="E18" t="s">
        <v>106</v>
      </c>
    </row>
    <row r="19" spans="1:5" x14ac:dyDescent="0.25">
      <c r="A19" t="s">
        <v>98</v>
      </c>
      <c r="B19" t="s">
        <v>16</v>
      </c>
      <c r="D19" t="s">
        <v>98</v>
      </c>
    </row>
    <row r="20" spans="1:5" x14ac:dyDescent="0.25">
      <c r="A20" t="s">
        <v>99</v>
      </c>
      <c r="B20" t="s">
        <v>16</v>
      </c>
      <c r="D20" t="s">
        <v>99</v>
      </c>
    </row>
    <row r="21" spans="1:5" x14ac:dyDescent="0.25">
      <c r="A21" t="s">
        <v>112</v>
      </c>
      <c r="B21" t="s">
        <v>16</v>
      </c>
      <c r="D21" t="s">
        <v>112</v>
      </c>
    </row>
    <row r="22" spans="1:5" x14ac:dyDescent="0.25">
      <c r="A22" t="s">
        <v>113</v>
      </c>
      <c r="B22" t="s">
        <v>16</v>
      </c>
      <c r="D22" t="s">
        <v>113</v>
      </c>
    </row>
    <row r="23" spans="1:5" x14ac:dyDescent="0.25">
      <c r="A23" t="s">
        <v>114</v>
      </c>
      <c r="B23" t="s">
        <v>16</v>
      </c>
      <c r="D23" t="s">
        <v>114</v>
      </c>
    </row>
    <row r="24" spans="1:5" x14ac:dyDescent="0.25">
      <c r="A24" t="s">
        <v>115</v>
      </c>
      <c r="B24" t="s">
        <v>16</v>
      </c>
      <c r="D24" t="s">
        <v>115</v>
      </c>
    </row>
    <row r="25" spans="1:5" x14ac:dyDescent="0.25">
      <c r="A25" t="s">
        <v>116</v>
      </c>
      <c r="B25" t="s">
        <v>16</v>
      </c>
      <c r="D25" t="s">
        <v>116</v>
      </c>
    </row>
    <row r="26" spans="1:5" x14ac:dyDescent="0.25">
      <c r="A26" t="s">
        <v>117</v>
      </c>
      <c r="B26" t="s">
        <v>16</v>
      </c>
      <c r="D26" t="s">
        <v>117</v>
      </c>
    </row>
    <row r="27" spans="1:5" x14ac:dyDescent="0.25">
      <c r="A27" t="s">
        <v>118</v>
      </c>
      <c r="B27" t="s">
        <v>16</v>
      </c>
      <c r="D27" t="s">
        <v>118</v>
      </c>
    </row>
    <row r="28" spans="1:5" x14ac:dyDescent="0.25">
      <c r="A28" t="s">
        <v>119</v>
      </c>
      <c r="B28" t="s">
        <v>16</v>
      </c>
      <c r="D28" t="s">
        <v>119</v>
      </c>
    </row>
    <row r="29" spans="1:5" x14ac:dyDescent="0.25">
      <c r="A29" t="s">
        <v>120</v>
      </c>
      <c r="B29" t="s">
        <v>16</v>
      </c>
      <c r="D29" t="s">
        <v>120</v>
      </c>
    </row>
    <row r="30" spans="1:5" x14ac:dyDescent="0.25">
      <c r="A30" t="s">
        <v>121</v>
      </c>
      <c r="B30" t="s">
        <v>16</v>
      </c>
      <c r="D30" t="s">
        <v>121</v>
      </c>
    </row>
    <row r="31" spans="1:5" x14ac:dyDescent="0.25">
      <c r="A31" t="s">
        <v>122</v>
      </c>
      <c r="B31" t="s">
        <v>16</v>
      </c>
      <c r="D31" t="s">
        <v>122</v>
      </c>
    </row>
    <row r="32" spans="1:5" x14ac:dyDescent="0.25">
      <c r="A32" t="s">
        <v>123</v>
      </c>
      <c r="B32" t="s">
        <v>16</v>
      </c>
      <c r="D32" t="s">
        <v>2987</v>
      </c>
      <c r="E32" t="s">
        <v>108</v>
      </c>
    </row>
    <row r="33" spans="1:5" x14ac:dyDescent="0.25">
      <c r="A33" t="s">
        <v>124</v>
      </c>
      <c r="B33" t="s">
        <v>16</v>
      </c>
      <c r="D33" t="s">
        <v>2987</v>
      </c>
      <c r="E33" t="s">
        <v>106</v>
      </c>
    </row>
    <row r="34" spans="1:5" x14ac:dyDescent="0.25">
      <c r="A34" t="s">
        <v>125</v>
      </c>
      <c r="B34" t="s">
        <v>16</v>
      </c>
      <c r="D34" t="s">
        <v>2941</v>
      </c>
      <c r="E34" t="s">
        <v>106</v>
      </c>
    </row>
    <row r="35" spans="1:5" x14ac:dyDescent="0.25">
      <c r="A35" t="s">
        <v>126</v>
      </c>
      <c r="B35" t="s">
        <v>16</v>
      </c>
      <c r="D35" t="s">
        <v>2941</v>
      </c>
      <c r="E35" t="s">
        <v>108</v>
      </c>
    </row>
    <row r="36" spans="1:5" x14ac:dyDescent="0.25">
      <c r="A36" t="s">
        <v>142</v>
      </c>
      <c r="B36" t="s">
        <v>16</v>
      </c>
      <c r="D36" t="s">
        <v>1630</v>
      </c>
      <c r="E36" t="s">
        <v>106</v>
      </c>
    </row>
    <row r="37" spans="1:5" x14ac:dyDescent="0.25">
      <c r="A37" t="s">
        <v>143</v>
      </c>
      <c r="B37" t="s">
        <v>16</v>
      </c>
      <c r="D37" t="s">
        <v>1630</v>
      </c>
      <c r="E37" t="s">
        <v>108</v>
      </c>
    </row>
    <row r="38" spans="1:5" x14ac:dyDescent="0.25">
      <c r="A38" t="s">
        <v>144</v>
      </c>
      <c r="B38" t="s">
        <v>16</v>
      </c>
      <c r="D38" t="s">
        <v>1630</v>
      </c>
      <c r="E38" t="s">
        <v>1136</v>
      </c>
    </row>
    <row r="39" spans="1:5" x14ac:dyDescent="0.25">
      <c r="A39" t="s">
        <v>145</v>
      </c>
      <c r="B39" t="s">
        <v>16</v>
      </c>
      <c r="D39" t="s">
        <v>145</v>
      </c>
    </row>
    <row r="40" spans="1:5" x14ac:dyDescent="0.25">
      <c r="A40" t="s">
        <v>146</v>
      </c>
      <c r="B40" t="s">
        <v>16</v>
      </c>
      <c r="D40" t="s">
        <v>146</v>
      </c>
    </row>
    <row r="41" spans="1:5" x14ac:dyDescent="0.25">
      <c r="A41" t="s">
        <v>147</v>
      </c>
      <c r="B41" t="s">
        <v>16</v>
      </c>
      <c r="D41" t="s">
        <v>147</v>
      </c>
    </row>
    <row r="42" spans="1:5" x14ac:dyDescent="0.25">
      <c r="A42" t="s">
        <v>148</v>
      </c>
      <c r="B42" t="s">
        <v>16</v>
      </c>
      <c r="D42" t="s">
        <v>148</v>
      </c>
    </row>
    <row r="43" spans="1:5" x14ac:dyDescent="0.25">
      <c r="A43" t="s">
        <v>149</v>
      </c>
      <c r="B43" t="s">
        <v>16</v>
      </c>
      <c r="D43" t="s">
        <v>149</v>
      </c>
    </row>
    <row r="44" spans="1:5" x14ac:dyDescent="0.25">
      <c r="A44" t="s">
        <v>156</v>
      </c>
      <c r="B44" t="s">
        <v>16</v>
      </c>
      <c r="D44" t="s">
        <v>156</v>
      </c>
    </row>
    <row r="45" spans="1:5" x14ac:dyDescent="0.25">
      <c r="A45" t="s">
        <v>157</v>
      </c>
      <c r="B45" t="s">
        <v>16</v>
      </c>
      <c r="D45" t="s">
        <v>157</v>
      </c>
    </row>
    <row r="46" spans="1:5" x14ac:dyDescent="0.25">
      <c r="A46" t="s">
        <v>158</v>
      </c>
      <c r="B46" t="s">
        <v>16</v>
      </c>
      <c r="D46" t="s">
        <v>158</v>
      </c>
    </row>
    <row r="47" spans="1:5" x14ac:dyDescent="0.25">
      <c r="A47" t="s">
        <v>159</v>
      </c>
      <c r="B47" t="s">
        <v>16</v>
      </c>
      <c r="D47" t="s">
        <v>159</v>
      </c>
    </row>
    <row r="48" spans="1:5" x14ac:dyDescent="0.25">
      <c r="A48" t="s">
        <v>160</v>
      </c>
      <c r="B48" t="s">
        <v>16</v>
      </c>
      <c r="D48" t="s">
        <v>160</v>
      </c>
    </row>
    <row r="49" spans="1:7" x14ac:dyDescent="0.25">
      <c r="A49" t="s">
        <v>161</v>
      </c>
      <c r="B49" t="s">
        <v>16</v>
      </c>
      <c r="D49" t="s">
        <v>161</v>
      </c>
    </row>
    <row r="50" spans="1:7" x14ac:dyDescent="0.25">
      <c r="A50" t="s">
        <v>162</v>
      </c>
      <c r="B50" t="s">
        <v>16</v>
      </c>
      <c r="D50" t="s">
        <v>162</v>
      </c>
    </row>
    <row r="51" spans="1:7" x14ac:dyDescent="0.25">
      <c r="A51" t="s">
        <v>163</v>
      </c>
      <c r="B51" t="s">
        <v>16</v>
      </c>
      <c r="D51" t="s">
        <v>2986</v>
      </c>
      <c r="E51" t="s">
        <v>106</v>
      </c>
    </row>
    <row r="52" spans="1:7" x14ac:dyDescent="0.25">
      <c r="A52" t="s">
        <v>164</v>
      </c>
      <c r="B52" t="s">
        <v>16</v>
      </c>
      <c r="D52" t="s">
        <v>2986</v>
      </c>
      <c r="E52" t="s">
        <v>108</v>
      </c>
    </row>
    <row r="53" spans="1:7" x14ac:dyDescent="0.25">
      <c r="A53" t="s">
        <v>165</v>
      </c>
      <c r="B53" t="s">
        <v>16</v>
      </c>
      <c r="D53" t="s">
        <v>165</v>
      </c>
    </row>
    <row r="54" spans="1:7" x14ac:dyDescent="0.25">
      <c r="A54" t="s">
        <v>166</v>
      </c>
      <c r="B54" t="s">
        <v>16</v>
      </c>
      <c r="D54" t="s">
        <v>166</v>
      </c>
    </row>
    <row r="55" spans="1:7" x14ac:dyDescent="0.25">
      <c r="A55" t="s">
        <v>167</v>
      </c>
      <c r="B55" t="s">
        <v>87</v>
      </c>
      <c r="D55" t="s">
        <v>119</v>
      </c>
      <c r="F55" t="s">
        <v>2985</v>
      </c>
      <c r="G55" t="s">
        <v>46</v>
      </c>
    </row>
    <row r="56" spans="1:7" x14ac:dyDescent="0.25">
      <c r="A56" t="s">
        <v>168</v>
      </c>
      <c r="B56" t="s">
        <v>95</v>
      </c>
      <c r="C56" t="s">
        <v>85</v>
      </c>
      <c r="D56" t="s">
        <v>119</v>
      </c>
    </row>
    <row r="57" spans="1:7" x14ac:dyDescent="0.25">
      <c r="A57" t="s">
        <v>169</v>
      </c>
      <c r="B57" t="s">
        <v>95</v>
      </c>
      <c r="C57" t="s">
        <v>2895</v>
      </c>
      <c r="D57" t="s">
        <v>118</v>
      </c>
    </row>
    <row r="58" spans="1:7" x14ac:dyDescent="0.25">
      <c r="A58" t="s">
        <v>170</v>
      </c>
      <c r="B58" t="s">
        <v>16</v>
      </c>
      <c r="D58" t="s">
        <v>2969</v>
      </c>
      <c r="E58" t="s">
        <v>106</v>
      </c>
    </row>
    <row r="59" spans="1:7" x14ac:dyDescent="0.25">
      <c r="A59" t="s">
        <v>171</v>
      </c>
      <c r="B59" t="s">
        <v>16</v>
      </c>
      <c r="D59" t="s">
        <v>2969</v>
      </c>
      <c r="E59" t="s">
        <v>108</v>
      </c>
    </row>
    <row r="60" spans="1:7" x14ac:dyDescent="0.25">
      <c r="A60" t="s">
        <v>172</v>
      </c>
      <c r="B60" t="s">
        <v>173</v>
      </c>
    </row>
    <row r="61" spans="1:7" x14ac:dyDescent="0.25">
      <c r="A61" t="s">
        <v>176</v>
      </c>
      <c r="B61" t="s">
        <v>16</v>
      </c>
      <c r="D61" t="s">
        <v>928</v>
      </c>
      <c r="E61" t="s">
        <v>106</v>
      </c>
    </row>
    <row r="62" spans="1:7" x14ac:dyDescent="0.25">
      <c r="A62" t="s">
        <v>177</v>
      </c>
      <c r="B62" t="s">
        <v>16</v>
      </c>
      <c r="D62" t="s">
        <v>928</v>
      </c>
      <c r="E62" t="s">
        <v>108</v>
      </c>
    </row>
    <row r="63" spans="1:7" x14ac:dyDescent="0.25">
      <c r="A63" t="s">
        <v>178</v>
      </c>
      <c r="B63" t="s">
        <v>16</v>
      </c>
      <c r="D63" t="s">
        <v>178</v>
      </c>
    </row>
    <row r="64" spans="1:7" x14ac:dyDescent="0.25">
      <c r="A64" t="s">
        <v>179</v>
      </c>
      <c r="B64" t="s">
        <v>16</v>
      </c>
      <c r="D64" t="s">
        <v>2896</v>
      </c>
      <c r="E64" t="s">
        <v>106</v>
      </c>
    </row>
    <row r="65" spans="1:5" x14ac:dyDescent="0.25">
      <c r="A65" t="s">
        <v>180</v>
      </c>
      <c r="B65" t="s">
        <v>16</v>
      </c>
      <c r="D65" t="s">
        <v>2896</v>
      </c>
      <c r="E65" t="s">
        <v>108</v>
      </c>
    </row>
    <row r="66" spans="1:5" x14ac:dyDescent="0.25">
      <c r="A66" t="s">
        <v>181</v>
      </c>
      <c r="B66" t="s">
        <v>95</v>
      </c>
      <c r="C66" t="s">
        <v>2895</v>
      </c>
      <c r="D66" t="s">
        <v>2896</v>
      </c>
    </row>
    <row r="67" spans="1:5" x14ac:dyDescent="0.25">
      <c r="A67" t="s">
        <v>182</v>
      </c>
      <c r="B67" t="s">
        <v>16</v>
      </c>
      <c r="D67" t="s">
        <v>2970</v>
      </c>
      <c r="E67" t="s">
        <v>106</v>
      </c>
    </row>
    <row r="68" spans="1:5" x14ac:dyDescent="0.25">
      <c r="A68" t="s">
        <v>183</v>
      </c>
      <c r="B68" t="s">
        <v>16</v>
      </c>
      <c r="D68" t="s">
        <v>2970</v>
      </c>
      <c r="E68" t="s">
        <v>108</v>
      </c>
    </row>
    <row r="69" spans="1:5" x14ac:dyDescent="0.25">
      <c r="A69" t="s">
        <v>185</v>
      </c>
      <c r="B69" t="s">
        <v>95</v>
      </c>
      <c r="C69" t="s">
        <v>2895</v>
      </c>
      <c r="D69" t="s">
        <v>145</v>
      </c>
    </row>
    <row r="70" spans="1:5" x14ac:dyDescent="0.25">
      <c r="A70" t="s">
        <v>193</v>
      </c>
      <c r="B70" t="s">
        <v>16</v>
      </c>
      <c r="D70" t="s">
        <v>1946</v>
      </c>
      <c r="E70" t="s">
        <v>106</v>
      </c>
    </row>
    <row r="71" spans="1:5" x14ac:dyDescent="0.25">
      <c r="A71" t="s">
        <v>194</v>
      </c>
      <c r="B71" t="s">
        <v>16</v>
      </c>
      <c r="D71" t="s">
        <v>1946</v>
      </c>
      <c r="E71" t="s">
        <v>108</v>
      </c>
    </row>
    <row r="72" spans="1:5" x14ac:dyDescent="0.25">
      <c r="A72" t="s">
        <v>195</v>
      </c>
      <c r="B72" t="s">
        <v>16</v>
      </c>
      <c r="D72" t="s">
        <v>2984</v>
      </c>
      <c r="E72" t="s">
        <v>106</v>
      </c>
    </row>
    <row r="73" spans="1:5" x14ac:dyDescent="0.25">
      <c r="A73" t="s">
        <v>196</v>
      </c>
      <c r="B73" t="s">
        <v>16</v>
      </c>
      <c r="D73" t="s">
        <v>2984</v>
      </c>
      <c r="E73" t="s">
        <v>108</v>
      </c>
    </row>
    <row r="74" spans="1:5" x14ac:dyDescent="0.25">
      <c r="A74" t="s">
        <v>197</v>
      </c>
      <c r="B74" t="s">
        <v>16</v>
      </c>
      <c r="D74" t="s">
        <v>2983</v>
      </c>
      <c r="E74" t="s">
        <v>106</v>
      </c>
    </row>
    <row r="75" spans="1:5" x14ac:dyDescent="0.25">
      <c r="A75" t="s">
        <v>198</v>
      </c>
      <c r="B75" t="s">
        <v>16</v>
      </c>
      <c r="D75" t="s">
        <v>2983</v>
      </c>
      <c r="E75" t="s">
        <v>108</v>
      </c>
    </row>
    <row r="76" spans="1:5" x14ac:dyDescent="0.25">
      <c r="A76" t="s">
        <v>199</v>
      </c>
      <c r="B76" t="s">
        <v>16</v>
      </c>
      <c r="D76" t="s">
        <v>199</v>
      </c>
    </row>
    <row r="77" spans="1:5" x14ac:dyDescent="0.25">
      <c r="A77" t="s">
        <v>200</v>
      </c>
      <c r="B77" t="s">
        <v>16</v>
      </c>
      <c r="D77" t="s">
        <v>2900</v>
      </c>
      <c r="E77" t="s">
        <v>106</v>
      </c>
    </row>
    <row r="78" spans="1:5" x14ac:dyDescent="0.25">
      <c r="A78" t="s">
        <v>201</v>
      </c>
      <c r="B78" t="s">
        <v>16</v>
      </c>
      <c r="D78" t="s">
        <v>2900</v>
      </c>
      <c r="E78" t="s">
        <v>108</v>
      </c>
    </row>
    <row r="79" spans="1:5" x14ac:dyDescent="0.25">
      <c r="A79" t="s">
        <v>202</v>
      </c>
      <c r="B79" t="s">
        <v>16</v>
      </c>
      <c r="D79" t="s">
        <v>2900</v>
      </c>
      <c r="E79" t="s">
        <v>1136</v>
      </c>
    </row>
    <row r="80" spans="1:5" x14ac:dyDescent="0.25">
      <c r="A80" t="s">
        <v>205</v>
      </c>
      <c r="B80" t="s">
        <v>206</v>
      </c>
    </row>
    <row r="81" spans="1:5" x14ac:dyDescent="0.25">
      <c r="A81" t="s">
        <v>207</v>
      </c>
      <c r="B81" t="s">
        <v>16</v>
      </c>
      <c r="D81" t="s">
        <v>2968</v>
      </c>
      <c r="E81" t="s">
        <v>1136</v>
      </c>
    </row>
    <row r="82" spans="1:5" x14ac:dyDescent="0.25">
      <c r="A82" t="s">
        <v>208</v>
      </c>
      <c r="B82" t="s">
        <v>16</v>
      </c>
      <c r="D82" t="s">
        <v>2968</v>
      </c>
      <c r="E82" t="s">
        <v>106</v>
      </c>
    </row>
    <row r="83" spans="1:5" x14ac:dyDescent="0.25">
      <c r="A83" t="s">
        <v>209</v>
      </c>
      <c r="B83" t="s">
        <v>16</v>
      </c>
      <c r="D83" t="s">
        <v>2968</v>
      </c>
      <c r="E83" t="s">
        <v>108</v>
      </c>
    </row>
    <row r="84" spans="1:5" x14ac:dyDescent="0.25">
      <c r="A84" t="s">
        <v>216</v>
      </c>
      <c r="B84" t="s">
        <v>16</v>
      </c>
      <c r="D84" t="s">
        <v>216</v>
      </c>
    </row>
    <row r="85" spans="1:5" x14ac:dyDescent="0.25">
      <c r="A85" t="s">
        <v>217</v>
      </c>
      <c r="B85" t="s">
        <v>95</v>
      </c>
      <c r="C85" t="s">
        <v>2895</v>
      </c>
      <c r="D85" t="s">
        <v>2982</v>
      </c>
    </row>
    <row r="86" spans="1:5" x14ac:dyDescent="0.25">
      <c r="A86" t="s">
        <v>218</v>
      </c>
      <c r="B86" t="s">
        <v>87</v>
      </c>
    </row>
    <row r="87" spans="1:5" x14ac:dyDescent="0.25">
      <c r="A87" t="s">
        <v>219</v>
      </c>
      <c r="B87" t="s">
        <v>87</v>
      </c>
    </row>
    <row r="88" spans="1:5" x14ac:dyDescent="0.25">
      <c r="A88" t="s">
        <v>220</v>
      </c>
      <c r="B88" t="s">
        <v>87</v>
      </c>
    </row>
    <row r="89" spans="1:5" x14ac:dyDescent="0.25">
      <c r="A89" t="s">
        <v>231</v>
      </c>
      <c r="B89" t="s">
        <v>16</v>
      </c>
      <c r="D89" t="s">
        <v>231</v>
      </c>
    </row>
    <row r="90" spans="1:5" x14ac:dyDescent="0.25">
      <c r="A90" t="s">
        <v>232</v>
      </c>
      <c r="B90" t="s">
        <v>16</v>
      </c>
      <c r="D90" t="s">
        <v>232</v>
      </c>
    </row>
    <row r="91" spans="1:5" x14ac:dyDescent="0.25">
      <c r="A91" t="s">
        <v>236</v>
      </c>
      <c r="B91" t="s">
        <v>16</v>
      </c>
      <c r="D91" t="s">
        <v>2981</v>
      </c>
      <c r="E91" t="s">
        <v>106</v>
      </c>
    </row>
    <row r="92" spans="1:5" x14ac:dyDescent="0.25">
      <c r="A92" t="s">
        <v>237</v>
      </c>
      <c r="B92" t="s">
        <v>16</v>
      </c>
      <c r="D92" t="s">
        <v>2981</v>
      </c>
      <c r="E92" t="s">
        <v>108</v>
      </c>
    </row>
    <row r="93" spans="1:5" x14ac:dyDescent="0.25">
      <c r="A93" t="s">
        <v>240</v>
      </c>
      <c r="B93" t="s">
        <v>95</v>
      </c>
      <c r="C93" t="s">
        <v>85</v>
      </c>
      <c r="D93" t="s">
        <v>89</v>
      </c>
    </row>
    <row r="94" spans="1:5" x14ac:dyDescent="0.25">
      <c r="A94" t="s">
        <v>241</v>
      </c>
      <c r="B94" t="s">
        <v>95</v>
      </c>
      <c r="C94" t="s">
        <v>85</v>
      </c>
      <c r="D94" t="s">
        <v>231</v>
      </c>
    </row>
    <row r="95" spans="1:5" x14ac:dyDescent="0.25">
      <c r="A95" t="s">
        <v>242</v>
      </c>
      <c r="B95" t="s">
        <v>95</v>
      </c>
      <c r="C95" t="s">
        <v>85</v>
      </c>
      <c r="D95" t="s">
        <v>232</v>
      </c>
    </row>
    <row r="96" spans="1:5" x14ac:dyDescent="0.25">
      <c r="A96" t="s">
        <v>245</v>
      </c>
      <c r="B96" t="s">
        <v>16</v>
      </c>
      <c r="D96" t="s">
        <v>245</v>
      </c>
    </row>
    <row r="97" spans="1:5" x14ac:dyDescent="0.25">
      <c r="A97" t="s">
        <v>246</v>
      </c>
      <c r="B97" t="s">
        <v>16</v>
      </c>
      <c r="D97" t="s">
        <v>246</v>
      </c>
    </row>
    <row r="98" spans="1:5" x14ac:dyDescent="0.25">
      <c r="A98" t="s">
        <v>239</v>
      </c>
      <c r="B98" t="s">
        <v>16</v>
      </c>
      <c r="D98" t="s">
        <v>239</v>
      </c>
    </row>
    <row r="99" spans="1:5" x14ac:dyDescent="0.25">
      <c r="A99" t="s">
        <v>76</v>
      </c>
      <c r="B99" t="s">
        <v>76</v>
      </c>
      <c r="D99" t="s">
        <v>76</v>
      </c>
    </row>
    <row r="100" spans="1:5" x14ac:dyDescent="0.25">
      <c r="A100" t="s">
        <v>256</v>
      </c>
      <c r="B100" t="s">
        <v>16</v>
      </c>
      <c r="D100" t="s">
        <v>256</v>
      </c>
    </row>
    <row r="101" spans="1:5" x14ac:dyDescent="0.25">
      <c r="A101" t="s">
        <v>257</v>
      </c>
      <c r="B101" t="s">
        <v>16</v>
      </c>
      <c r="D101" t="s">
        <v>257</v>
      </c>
    </row>
    <row r="102" spans="1:5" x14ac:dyDescent="0.25">
      <c r="A102" t="s">
        <v>264</v>
      </c>
      <c r="B102" t="s">
        <v>16</v>
      </c>
      <c r="D102" t="s">
        <v>264</v>
      </c>
    </row>
    <row r="103" spans="1:5" x14ac:dyDescent="0.25">
      <c r="A103" t="s">
        <v>265</v>
      </c>
      <c r="B103" t="s">
        <v>16</v>
      </c>
      <c r="D103" t="s">
        <v>2964</v>
      </c>
      <c r="E103" t="s">
        <v>106</v>
      </c>
    </row>
    <row r="104" spans="1:5" x14ac:dyDescent="0.25">
      <c r="A104" t="s">
        <v>266</v>
      </c>
      <c r="B104" t="s">
        <v>16</v>
      </c>
      <c r="D104" t="s">
        <v>2964</v>
      </c>
      <c r="E104" t="s">
        <v>108</v>
      </c>
    </row>
    <row r="105" spans="1:5" x14ac:dyDescent="0.25">
      <c r="A105" t="s">
        <v>267</v>
      </c>
      <c r="B105" t="s">
        <v>16</v>
      </c>
      <c r="D105" t="s">
        <v>2964</v>
      </c>
      <c r="E105" t="s">
        <v>1136</v>
      </c>
    </row>
    <row r="106" spans="1:5" x14ac:dyDescent="0.25">
      <c r="A106" t="s">
        <v>268</v>
      </c>
      <c r="B106" t="s">
        <v>16</v>
      </c>
      <c r="D106" t="s">
        <v>2966</v>
      </c>
      <c r="E106" t="s">
        <v>1136</v>
      </c>
    </row>
    <row r="107" spans="1:5" x14ac:dyDescent="0.25">
      <c r="A107" t="s">
        <v>269</v>
      </c>
      <c r="B107" t="s">
        <v>16</v>
      </c>
      <c r="D107" t="s">
        <v>2966</v>
      </c>
      <c r="E107" t="s">
        <v>106</v>
      </c>
    </row>
    <row r="108" spans="1:5" x14ac:dyDescent="0.25">
      <c r="A108" t="s">
        <v>270</v>
      </c>
      <c r="B108" t="s">
        <v>16</v>
      </c>
      <c r="D108" t="s">
        <v>2966</v>
      </c>
      <c r="E108" t="s">
        <v>108</v>
      </c>
    </row>
    <row r="109" spans="1:5" x14ac:dyDescent="0.25">
      <c r="A109" t="s">
        <v>271</v>
      </c>
      <c r="B109" t="s">
        <v>173</v>
      </c>
    </row>
    <row r="110" spans="1:5" x14ac:dyDescent="0.25">
      <c r="A110" t="s">
        <v>272</v>
      </c>
      <c r="B110" t="s">
        <v>173</v>
      </c>
    </row>
    <row r="111" spans="1:5" x14ac:dyDescent="0.25">
      <c r="A111" t="s">
        <v>273</v>
      </c>
      <c r="B111" t="s">
        <v>173</v>
      </c>
    </row>
    <row r="112" spans="1:5" x14ac:dyDescent="0.25">
      <c r="A112" t="s">
        <v>274</v>
      </c>
      <c r="B112" t="s">
        <v>173</v>
      </c>
    </row>
    <row r="113" spans="1:5" x14ac:dyDescent="0.25">
      <c r="A113" t="s">
        <v>275</v>
      </c>
      <c r="B113" t="s">
        <v>87</v>
      </c>
    </row>
    <row r="114" spans="1:5" x14ac:dyDescent="0.25">
      <c r="A114" t="s">
        <v>276</v>
      </c>
      <c r="B114" t="s">
        <v>87</v>
      </c>
    </row>
    <row r="115" spans="1:5" x14ac:dyDescent="0.25">
      <c r="A115" t="s">
        <v>277</v>
      </c>
      <c r="B115" t="s">
        <v>95</v>
      </c>
    </row>
    <row r="116" spans="1:5" x14ac:dyDescent="0.25">
      <c r="A116" t="s">
        <v>282</v>
      </c>
      <c r="B116" t="s">
        <v>16</v>
      </c>
      <c r="D116" t="s">
        <v>282</v>
      </c>
    </row>
    <row r="117" spans="1:5" x14ac:dyDescent="0.25">
      <c r="A117" t="s">
        <v>283</v>
      </c>
      <c r="B117" t="s">
        <v>95</v>
      </c>
      <c r="C117" t="s">
        <v>85</v>
      </c>
      <c r="D117" t="s">
        <v>282</v>
      </c>
    </row>
    <row r="118" spans="1:5" x14ac:dyDescent="0.25">
      <c r="A118" t="s">
        <v>284</v>
      </c>
      <c r="B118" t="s">
        <v>95</v>
      </c>
      <c r="C118" t="s">
        <v>85</v>
      </c>
      <c r="D118" t="s">
        <v>2964</v>
      </c>
      <c r="E118" t="s">
        <v>106</v>
      </c>
    </row>
    <row r="119" spans="1:5" x14ac:dyDescent="0.25">
      <c r="A119" t="s">
        <v>285</v>
      </c>
      <c r="B119" t="s">
        <v>95</v>
      </c>
      <c r="C119" t="s">
        <v>85</v>
      </c>
      <c r="D119" t="s">
        <v>2964</v>
      </c>
      <c r="E119" t="s">
        <v>108</v>
      </c>
    </row>
    <row r="120" spans="1:5" x14ac:dyDescent="0.25">
      <c r="A120" t="s">
        <v>304</v>
      </c>
      <c r="B120" t="s">
        <v>95</v>
      </c>
      <c r="C120" t="s">
        <v>2296</v>
      </c>
      <c r="D120" t="s">
        <v>145</v>
      </c>
    </row>
    <row r="121" spans="1:5" x14ac:dyDescent="0.25">
      <c r="A121" t="s">
        <v>327</v>
      </c>
      <c r="B121" t="s">
        <v>16</v>
      </c>
      <c r="D121" t="s">
        <v>2943</v>
      </c>
      <c r="E121" t="s">
        <v>108</v>
      </c>
    </row>
    <row r="122" spans="1:5" x14ac:dyDescent="0.25">
      <c r="A122" t="s">
        <v>328</v>
      </c>
      <c r="B122" t="s">
        <v>16</v>
      </c>
      <c r="D122" t="s">
        <v>2943</v>
      </c>
      <c r="E122" t="s">
        <v>106</v>
      </c>
    </row>
    <row r="123" spans="1:5" x14ac:dyDescent="0.25">
      <c r="A123" t="s">
        <v>329</v>
      </c>
      <c r="B123" t="s">
        <v>16</v>
      </c>
      <c r="D123" t="s">
        <v>2980</v>
      </c>
      <c r="E123" t="s">
        <v>108</v>
      </c>
    </row>
    <row r="124" spans="1:5" x14ac:dyDescent="0.25">
      <c r="A124" t="s">
        <v>330</v>
      </c>
      <c r="B124" t="s">
        <v>16</v>
      </c>
      <c r="D124" t="s">
        <v>2980</v>
      </c>
      <c r="E124" t="s">
        <v>106</v>
      </c>
    </row>
    <row r="125" spans="1:5" x14ac:dyDescent="0.25">
      <c r="A125" t="s">
        <v>331</v>
      </c>
      <c r="B125" t="s">
        <v>16</v>
      </c>
      <c r="D125" t="s">
        <v>2979</v>
      </c>
      <c r="E125" t="s">
        <v>108</v>
      </c>
    </row>
    <row r="126" spans="1:5" x14ac:dyDescent="0.25">
      <c r="A126" t="s">
        <v>332</v>
      </c>
      <c r="B126" t="s">
        <v>16</v>
      </c>
      <c r="D126" t="s">
        <v>2979</v>
      </c>
      <c r="E126" t="s">
        <v>106</v>
      </c>
    </row>
    <row r="127" spans="1:5" x14ac:dyDescent="0.25">
      <c r="A127" t="s">
        <v>333</v>
      </c>
      <c r="B127" t="s">
        <v>16</v>
      </c>
      <c r="D127" t="s">
        <v>333</v>
      </c>
    </row>
    <row r="128" spans="1:5" x14ac:dyDescent="0.25">
      <c r="A128" t="s">
        <v>334</v>
      </c>
      <c r="B128" t="s">
        <v>16</v>
      </c>
      <c r="D128" t="s">
        <v>334</v>
      </c>
    </row>
    <row r="129" spans="1:8" x14ac:dyDescent="0.25">
      <c r="A129" t="s">
        <v>335</v>
      </c>
      <c r="B129" t="s">
        <v>16</v>
      </c>
      <c r="D129" t="s">
        <v>335</v>
      </c>
    </row>
    <row r="130" spans="1:8" x14ac:dyDescent="0.25">
      <c r="A130" t="s">
        <v>336</v>
      </c>
      <c r="B130" t="s">
        <v>16</v>
      </c>
      <c r="D130" t="s">
        <v>336</v>
      </c>
    </row>
    <row r="131" spans="1:8" x14ac:dyDescent="0.25">
      <c r="A131" t="s">
        <v>337</v>
      </c>
      <c r="B131" t="s">
        <v>95</v>
      </c>
      <c r="D131" t="s">
        <v>337</v>
      </c>
    </row>
    <row r="132" spans="1:8" x14ac:dyDescent="0.25">
      <c r="A132" t="s">
        <v>339</v>
      </c>
      <c r="B132" t="s">
        <v>95</v>
      </c>
      <c r="D132" t="s">
        <v>75</v>
      </c>
      <c r="F132" t="s">
        <v>2978</v>
      </c>
      <c r="G132" t="s">
        <v>77</v>
      </c>
      <c r="H132">
        <v>20</v>
      </c>
    </row>
    <row r="133" spans="1:8" x14ac:dyDescent="0.25">
      <c r="A133" t="s">
        <v>340</v>
      </c>
      <c r="B133" t="s">
        <v>341</v>
      </c>
    </row>
    <row r="134" spans="1:8" x14ac:dyDescent="0.25">
      <c r="A134" t="s">
        <v>342</v>
      </c>
      <c r="B134" t="s">
        <v>16</v>
      </c>
      <c r="D134" t="s">
        <v>342</v>
      </c>
    </row>
    <row r="135" spans="1:8" x14ac:dyDescent="0.25">
      <c r="A135" t="s">
        <v>343</v>
      </c>
      <c r="B135" t="s">
        <v>16</v>
      </c>
      <c r="D135" t="s">
        <v>343</v>
      </c>
    </row>
    <row r="136" spans="1:8" x14ac:dyDescent="0.25">
      <c r="A136" t="s">
        <v>344</v>
      </c>
      <c r="B136" t="s">
        <v>16</v>
      </c>
      <c r="D136" t="s">
        <v>344</v>
      </c>
    </row>
    <row r="137" spans="1:8" x14ac:dyDescent="0.25">
      <c r="A137" t="s">
        <v>351</v>
      </c>
      <c r="B137" t="s">
        <v>16</v>
      </c>
      <c r="D137" t="s">
        <v>351</v>
      </c>
    </row>
    <row r="138" spans="1:8" x14ac:dyDescent="0.25">
      <c r="A138" t="s">
        <v>352</v>
      </c>
      <c r="B138" t="s">
        <v>16</v>
      </c>
      <c r="D138" t="s">
        <v>352</v>
      </c>
    </row>
    <row r="139" spans="1:8" x14ac:dyDescent="0.25">
      <c r="A139" t="s">
        <v>353</v>
      </c>
      <c r="B139" t="s">
        <v>16</v>
      </c>
      <c r="D139" t="s">
        <v>2977</v>
      </c>
      <c r="E139" t="s">
        <v>106</v>
      </c>
    </row>
    <row r="140" spans="1:8" x14ac:dyDescent="0.25">
      <c r="A140" t="s">
        <v>354</v>
      </c>
      <c r="B140" t="s">
        <v>16</v>
      </c>
      <c r="D140" t="s">
        <v>2977</v>
      </c>
      <c r="E140" t="s">
        <v>108</v>
      </c>
    </row>
    <row r="141" spans="1:8" x14ac:dyDescent="0.25">
      <c r="A141" t="s">
        <v>355</v>
      </c>
      <c r="B141" t="s">
        <v>16</v>
      </c>
      <c r="D141" t="s">
        <v>2976</v>
      </c>
      <c r="E141" t="s">
        <v>106</v>
      </c>
    </row>
    <row r="142" spans="1:8" x14ac:dyDescent="0.25">
      <c r="A142" t="s">
        <v>356</v>
      </c>
      <c r="B142" t="s">
        <v>16</v>
      </c>
      <c r="D142" t="s">
        <v>2976</v>
      </c>
      <c r="E142" t="s">
        <v>108</v>
      </c>
    </row>
    <row r="143" spans="1:8" x14ac:dyDescent="0.25">
      <c r="A143" t="s">
        <v>357</v>
      </c>
      <c r="B143" t="s">
        <v>16</v>
      </c>
      <c r="D143" t="s">
        <v>2975</v>
      </c>
      <c r="E143" t="s">
        <v>106</v>
      </c>
    </row>
    <row r="144" spans="1:8" x14ac:dyDescent="0.25">
      <c r="A144" t="s">
        <v>358</v>
      </c>
      <c r="B144" t="s">
        <v>16</v>
      </c>
      <c r="D144" t="s">
        <v>2975</v>
      </c>
      <c r="E144" t="s">
        <v>108</v>
      </c>
    </row>
    <row r="145" spans="1:7" x14ac:dyDescent="0.25">
      <c r="A145" t="s">
        <v>359</v>
      </c>
      <c r="B145" t="s">
        <v>16</v>
      </c>
      <c r="D145" t="s">
        <v>359</v>
      </c>
    </row>
    <row r="146" spans="1:7" x14ac:dyDescent="0.25">
      <c r="A146" t="s">
        <v>360</v>
      </c>
      <c r="B146" t="s">
        <v>16</v>
      </c>
      <c r="D146" t="s">
        <v>360</v>
      </c>
    </row>
    <row r="147" spans="1:7" x14ac:dyDescent="0.25">
      <c r="A147" t="s">
        <v>361</v>
      </c>
      <c r="B147" t="s">
        <v>16</v>
      </c>
      <c r="D147" t="s">
        <v>361</v>
      </c>
    </row>
    <row r="148" spans="1:7" x14ac:dyDescent="0.25">
      <c r="A148" t="s">
        <v>362</v>
      </c>
      <c r="B148" t="s">
        <v>16</v>
      </c>
      <c r="D148" t="s">
        <v>2280</v>
      </c>
      <c r="E148" t="s">
        <v>106</v>
      </c>
    </row>
    <row r="149" spans="1:7" x14ac:dyDescent="0.25">
      <c r="A149" t="s">
        <v>363</v>
      </c>
      <c r="B149" t="s">
        <v>16</v>
      </c>
      <c r="D149" t="s">
        <v>2280</v>
      </c>
      <c r="E149" t="s">
        <v>108</v>
      </c>
    </row>
    <row r="150" spans="1:7" x14ac:dyDescent="0.25">
      <c r="A150" t="s">
        <v>364</v>
      </c>
      <c r="B150" t="s">
        <v>16</v>
      </c>
      <c r="D150" t="s">
        <v>364</v>
      </c>
    </row>
    <row r="151" spans="1:7" x14ac:dyDescent="0.25">
      <c r="A151" t="s">
        <v>365</v>
      </c>
      <c r="B151" t="s">
        <v>16</v>
      </c>
      <c r="D151" t="s">
        <v>365</v>
      </c>
    </row>
    <row r="152" spans="1:7" x14ac:dyDescent="0.25">
      <c r="A152" t="s">
        <v>396</v>
      </c>
      <c r="B152" t="s">
        <v>95</v>
      </c>
      <c r="D152" t="s">
        <v>396</v>
      </c>
    </row>
    <row r="153" spans="1:7" x14ac:dyDescent="0.25">
      <c r="A153" t="s">
        <v>401</v>
      </c>
      <c r="B153" t="s">
        <v>95</v>
      </c>
      <c r="C153" t="s">
        <v>2908</v>
      </c>
      <c r="D153" t="s">
        <v>93</v>
      </c>
    </row>
    <row r="154" spans="1:7" x14ac:dyDescent="0.25">
      <c r="A154" t="s">
        <v>417</v>
      </c>
      <c r="B154" t="s">
        <v>16</v>
      </c>
      <c r="D154" t="s">
        <v>417</v>
      </c>
    </row>
    <row r="155" spans="1:7" x14ac:dyDescent="0.25">
      <c r="A155" t="s">
        <v>418</v>
      </c>
      <c r="B155" t="s">
        <v>16</v>
      </c>
      <c r="D155" t="s">
        <v>418</v>
      </c>
    </row>
    <row r="156" spans="1:7" x14ac:dyDescent="0.25">
      <c r="A156" t="s">
        <v>424</v>
      </c>
      <c r="B156" t="s">
        <v>16</v>
      </c>
      <c r="D156" t="s">
        <v>424</v>
      </c>
    </row>
    <row r="157" spans="1:7" x14ac:dyDescent="0.25">
      <c r="A157" t="s">
        <v>425</v>
      </c>
      <c r="B157" t="s">
        <v>16</v>
      </c>
      <c r="D157" t="s">
        <v>425</v>
      </c>
    </row>
    <row r="158" spans="1:7" x14ac:dyDescent="0.25">
      <c r="A158" t="s">
        <v>426</v>
      </c>
      <c r="B158" t="s">
        <v>16</v>
      </c>
      <c r="D158" t="s">
        <v>426</v>
      </c>
    </row>
    <row r="159" spans="1:7" x14ac:dyDescent="0.25">
      <c r="A159" t="s">
        <v>427</v>
      </c>
      <c r="B159" t="s">
        <v>95</v>
      </c>
      <c r="C159" t="s">
        <v>2959</v>
      </c>
      <c r="D159" t="s">
        <v>426</v>
      </c>
    </row>
    <row r="160" spans="1:7" x14ac:dyDescent="0.25">
      <c r="A160" t="s">
        <v>428</v>
      </c>
      <c r="B160" t="s">
        <v>95</v>
      </c>
      <c r="D160" t="s">
        <v>156</v>
      </c>
      <c r="F160" t="s">
        <v>2974</v>
      </c>
      <c r="G160" t="s">
        <v>20</v>
      </c>
    </row>
    <row r="161" spans="1:10" x14ac:dyDescent="0.25">
      <c r="A161" t="s">
        <v>429</v>
      </c>
      <c r="B161" t="s">
        <v>16</v>
      </c>
      <c r="D161" t="s">
        <v>429</v>
      </c>
    </row>
    <row r="162" spans="1:10" x14ac:dyDescent="0.25">
      <c r="A162" t="s">
        <v>430</v>
      </c>
      <c r="B162" t="s">
        <v>16</v>
      </c>
      <c r="D162" t="s">
        <v>430</v>
      </c>
    </row>
    <row r="163" spans="1:10" x14ac:dyDescent="0.25">
      <c r="A163" t="s">
        <v>431</v>
      </c>
      <c r="B163" t="s">
        <v>95</v>
      </c>
      <c r="C163" t="s">
        <v>2959</v>
      </c>
      <c r="D163" t="s">
        <v>118</v>
      </c>
    </row>
    <row r="164" spans="1:10" x14ac:dyDescent="0.25">
      <c r="A164" t="s">
        <v>432</v>
      </c>
      <c r="B164" t="s">
        <v>16</v>
      </c>
      <c r="D164" t="s">
        <v>432</v>
      </c>
    </row>
    <row r="165" spans="1:10" x14ac:dyDescent="0.25">
      <c r="A165" t="s">
        <v>438</v>
      </c>
      <c r="B165" t="s">
        <v>95</v>
      </c>
      <c r="D165" t="s">
        <v>75</v>
      </c>
      <c r="F165" t="s">
        <v>2973</v>
      </c>
      <c r="G165" t="s">
        <v>77</v>
      </c>
      <c r="H165">
        <v>36</v>
      </c>
    </row>
    <row r="166" spans="1:10" x14ac:dyDescent="0.25">
      <c r="A166" t="s">
        <v>439</v>
      </c>
      <c r="B166" t="s">
        <v>95</v>
      </c>
      <c r="D166" t="s">
        <v>75</v>
      </c>
      <c r="I166" t="s">
        <v>2972</v>
      </c>
      <c r="J166" t="s">
        <v>2971</v>
      </c>
    </row>
    <row r="167" spans="1:10" x14ac:dyDescent="0.25">
      <c r="A167" t="s">
        <v>444</v>
      </c>
      <c r="B167" t="s">
        <v>16</v>
      </c>
      <c r="D167" t="s">
        <v>444</v>
      </c>
    </row>
    <row r="168" spans="1:10" x14ac:dyDescent="0.25">
      <c r="A168" t="s">
        <v>445</v>
      </c>
      <c r="B168" t="s">
        <v>16</v>
      </c>
      <c r="D168" t="s">
        <v>445</v>
      </c>
    </row>
    <row r="169" spans="1:10" x14ac:dyDescent="0.25">
      <c r="A169" t="s">
        <v>446</v>
      </c>
      <c r="B169" t="s">
        <v>173</v>
      </c>
    </row>
    <row r="170" spans="1:10" x14ac:dyDescent="0.25">
      <c r="A170" t="s">
        <v>449</v>
      </c>
      <c r="B170" t="s">
        <v>214</v>
      </c>
    </row>
    <row r="171" spans="1:10" x14ac:dyDescent="0.25">
      <c r="A171" t="s">
        <v>451</v>
      </c>
      <c r="B171" t="s">
        <v>341</v>
      </c>
    </row>
    <row r="172" spans="1:10" x14ac:dyDescent="0.25">
      <c r="A172" t="s">
        <v>452</v>
      </c>
      <c r="B172" t="s">
        <v>341</v>
      </c>
    </row>
    <row r="173" spans="1:10" x14ac:dyDescent="0.25">
      <c r="A173" t="s">
        <v>145</v>
      </c>
      <c r="B173" t="s">
        <v>173</v>
      </c>
      <c r="D173" t="s">
        <v>145</v>
      </c>
    </row>
    <row r="174" spans="1:10" x14ac:dyDescent="0.25">
      <c r="A174" t="s">
        <v>216</v>
      </c>
      <c r="B174" t="s">
        <v>173</v>
      </c>
      <c r="D174" t="s">
        <v>216</v>
      </c>
    </row>
    <row r="175" spans="1:10" x14ac:dyDescent="0.25">
      <c r="A175" t="s">
        <v>453</v>
      </c>
      <c r="B175" t="s">
        <v>173</v>
      </c>
    </row>
    <row r="176" spans="1:10" x14ac:dyDescent="0.25">
      <c r="A176" t="s">
        <v>454</v>
      </c>
      <c r="B176" t="s">
        <v>173</v>
      </c>
    </row>
    <row r="177" spans="1:5" x14ac:dyDescent="0.25">
      <c r="A177" t="s">
        <v>455</v>
      </c>
      <c r="B177" t="s">
        <v>173</v>
      </c>
      <c r="D177" t="s">
        <v>455</v>
      </c>
    </row>
    <row r="178" spans="1:5" x14ac:dyDescent="0.25">
      <c r="A178" t="s">
        <v>177</v>
      </c>
      <c r="B178" t="s">
        <v>173</v>
      </c>
      <c r="D178" t="s">
        <v>928</v>
      </c>
      <c r="E178" t="s">
        <v>108</v>
      </c>
    </row>
    <row r="179" spans="1:5" x14ac:dyDescent="0.25">
      <c r="A179" t="s">
        <v>176</v>
      </c>
      <c r="B179" t="s">
        <v>173</v>
      </c>
      <c r="D179" t="s">
        <v>928</v>
      </c>
      <c r="E179" t="s">
        <v>106</v>
      </c>
    </row>
    <row r="180" spans="1:5" x14ac:dyDescent="0.25">
      <c r="A180" t="s">
        <v>183</v>
      </c>
      <c r="B180" t="s">
        <v>173</v>
      </c>
      <c r="D180" t="s">
        <v>2970</v>
      </c>
      <c r="E180" t="s">
        <v>108</v>
      </c>
    </row>
    <row r="181" spans="1:5" x14ac:dyDescent="0.25">
      <c r="A181" t="s">
        <v>182</v>
      </c>
      <c r="B181" t="s">
        <v>173</v>
      </c>
      <c r="D181" t="s">
        <v>2970</v>
      </c>
      <c r="E181" t="s">
        <v>106</v>
      </c>
    </row>
    <row r="182" spans="1:5" x14ac:dyDescent="0.25">
      <c r="A182" t="s">
        <v>171</v>
      </c>
      <c r="B182" t="s">
        <v>173</v>
      </c>
      <c r="D182" t="s">
        <v>2969</v>
      </c>
      <c r="E182" t="s">
        <v>108</v>
      </c>
    </row>
    <row r="183" spans="1:5" x14ac:dyDescent="0.25">
      <c r="A183" t="s">
        <v>170</v>
      </c>
      <c r="B183" t="s">
        <v>173</v>
      </c>
      <c r="D183" t="s">
        <v>2969</v>
      </c>
      <c r="E183" t="s">
        <v>106</v>
      </c>
    </row>
    <row r="184" spans="1:5" x14ac:dyDescent="0.25">
      <c r="A184" t="s">
        <v>119</v>
      </c>
      <c r="B184" t="s">
        <v>173</v>
      </c>
      <c r="D184" t="s">
        <v>119</v>
      </c>
    </row>
    <row r="185" spans="1:5" x14ac:dyDescent="0.25">
      <c r="A185" t="s">
        <v>459</v>
      </c>
      <c r="B185" t="s">
        <v>16</v>
      </c>
      <c r="D185" t="s">
        <v>2950</v>
      </c>
      <c r="E185" t="s">
        <v>108</v>
      </c>
    </row>
    <row r="186" spans="1:5" x14ac:dyDescent="0.25">
      <c r="A186" t="s">
        <v>460</v>
      </c>
      <c r="B186" t="s">
        <v>16</v>
      </c>
      <c r="D186" t="s">
        <v>2950</v>
      </c>
      <c r="E186" t="s">
        <v>106</v>
      </c>
    </row>
    <row r="187" spans="1:5" x14ac:dyDescent="0.25">
      <c r="A187" t="s">
        <v>463</v>
      </c>
      <c r="B187" t="s">
        <v>16</v>
      </c>
      <c r="D187" t="s">
        <v>463</v>
      </c>
    </row>
    <row r="188" spans="1:5" x14ac:dyDescent="0.25">
      <c r="A188" t="s">
        <v>464</v>
      </c>
      <c r="B188" t="s">
        <v>341</v>
      </c>
    </row>
    <row r="189" spans="1:5" x14ac:dyDescent="0.25">
      <c r="A189" t="s">
        <v>465</v>
      </c>
      <c r="B189" t="s">
        <v>87</v>
      </c>
    </row>
    <row r="190" spans="1:5" x14ac:dyDescent="0.25">
      <c r="A190" t="s">
        <v>466</v>
      </c>
      <c r="B190" t="s">
        <v>467</v>
      </c>
    </row>
    <row r="191" spans="1:5" x14ac:dyDescent="0.25">
      <c r="A191" t="s">
        <v>468</v>
      </c>
      <c r="B191" t="s">
        <v>467</v>
      </c>
    </row>
    <row r="192" spans="1:5" x14ac:dyDescent="0.25">
      <c r="A192" t="s">
        <v>469</v>
      </c>
      <c r="B192" t="s">
        <v>341</v>
      </c>
    </row>
    <row r="193" spans="1:4" x14ac:dyDescent="0.25">
      <c r="A193" t="s">
        <v>470</v>
      </c>
      <c r="B193" t="s">
        <v>341</v>
      </c>
    </row>
    <row r="194" spans="1:4" x14ac:dyDescent="0.25">
      <c r="A194" t="s">
        <v>471</v>
      </c>
      <c r="B194" t="s">
        <v>341</v>
      </c>
    </row>
    <row r="195" spans="1:4" x14ac:dyDescent="0.25">
      <c r="A195" t="s">
        <v>472</v>
      </c>
      <c r="B195" t="s">
        <v>87</v>
      </c>
    </row>
    <row r="196" spans="1:4" x14ac:dyDescent="0.25">
      <c r="A196" t="s">
        <v>473</v>
      </c>
      <c r="B196" t="s">
        <v>87</v>
      </c>
    </row>
    <row r="197" spans="1:4" x14ac:dyDescent="0.25">
      <c r="A197" t="s">
        <v>474</v>
      </c>
      <c r="B197" t="s">
        <v>87</v>
      </c>
    </row>
    <row r="198" spans="1:4" x14ac:dyDescent="0.25">
      <c r="A198" t="s">
        <v>475</v>
      </c>
      <c r="B198" t="s">
        <v>87</v>
      </c>
    </row>
    <row r="199" spans="1:4" x14ac:dyDescent="0.25">
      <c r="A199" t="s">
        <v>480</v>
      </c>
      <c r="B199" t="s">
        <v>95</v>
      </c>
      <c r="C199" t="s">
        <v>85</v>
      </c>
      <c r="D199" t="s">
        <v>118</v>
      </c>
    </row>
    <row r="200" spans="1:4" x14ac:dyDescent="0.25">
      <c r="A200" t="s">
        <v>509</v>
      </c>
      <c r="B200" t="s">
        <v>341</v>
      </c>
    </row>
    <row r="201" spans="1:4" x14ac:dyDescent="0.25">
      <c r="A201" t="s">
        <v>512</v>
      </c>
      <c r="B201" t="s">
        <v>16</v>
      </c>
    </row>
    <row r="202" spans="1:4" x14ac:dyDescent="0.25">
      <c r="A202" t="s">
        <v>513</v>
      </c>
      <c r="B202" t="s">
        <v>16</v>
      </c>
    </row>
    <row r="203" spans="1:4" x14ac:dyDescent="0.25">
      <c r="A203" t="s">
        <v>514</v>
      </c>
      <c r="B203" t="s">
        <v>87</v>
      </c>
    </row>
    <row r="204" spans="1:4" x14ac:dyDescent="0.25">
      <c r="A204" t="s">
        <v>515</v>
      </c>
      <c r="B204" t="s">
        <v>87</v>
      </c>
    </row>
    <row r="205" spans="1:4" x14ac:dyDescent="0.25">
      <c r="A205" t="s">
        <v>516</v>
      </c>
      <c r="B205" t="s">
        <v>87</v>
      </c>
    </row>
    <row r="206" spans="1:4" x14ac:dyDescent="0.25">
      <c r="A206" t="s">
        <v>471</v>
      </c>
      <c r="B206" t="s">
        <v>87</v>
      </c>
    </row>
    <row r="207" spans="1:4" x14ac:dyDescent="0.25">
      <c r="A207" t="s">
        <v>517</v>
      </c>
      <c r="B207" t="s">
        <v>87</v>
      </c>
    </row>
    <row r="208" spans="1:4" x14ac:dyDescent="0.25">
      <c r="A208" t="s">
        <v>518</v>
      </c>
      <c r="B208" t="s">
        <v>87</v>
      </c>
    </row>
    <row r="209" spans="1:4" x14ac:dyDescent="0.25">
      <c r="A209" t="s">
        <v>519</v>
      </c>
      <c r="B209" t="s">
        <v>87</v>
      </c>
    </row>
    <row r="210" spans="1:4" x14ac:dyDescent="0.25">
      <c r="A210" t="s">
        <v>520</v>
      </c>
      <c r="B210" t="s">
        <v>173</v>
      </c>
      <c r="D210" t="s">
        <v>520</v>
      </c>
    </row>
    <row r="211" spans="1:4" x14ac:dyDescent="0.25">
      <c r="A211" t="s">
        <v>521</v>
      </c>
      <c r="B211" t="s">
        <v>87</v>
      </c>
    </row>
    <row r="212" spans="1:4" x14ac:dyDescent="0.25">
      <c r="A212" t="s">
        <v>522</v>
      </c>
      <c r="B212" t="s">
        <v>87</v>
      </c>
    </row>
    <row r="213" spans="1:4" x14ac:dyDescent="0.25">
      <c r="A213" t="s">
        <v>523</v>
      </c>
      <c r="B213" t="s">
        <v>87</v>
      </c>
    </row>
    <row r="214" spans="1:4" x14ac:dyDescent="0.25">
      <c r="A214" t="s">
        <v>534</v>
      </c>
      <c r="B214" t="s">
        <v>87</v>
      </c>
    </row>
    <row r="215" spans="1:4" x14ac:dyDescent="0.25">
      <c r="A215" t="s">
        <v>535</v>
      </c>
      <c r="B215" t="s">
        <v>87</v>
      </c>
    </row>
    <row r="216" spans="1:4" x14ac:dyDescent="0.25">
      <c r="A216" t="s">
        <v>541</v>
      </c>
      <c r="B216" t="s">
        <v>87</v>
      </c>
    </row>
    <row r="217" spans="1:4" x14ac:dyDescent="0.25">
      <c r="A217" t="s">
        <v>542</v>
      </c>
      <c r="B217" t="s">
        <v>87</v>
      </c>
    </row>
    <row r="218" spans="1:4" x14ac:dyDescent="0.25">
      <c r="A218" t="s">
        <v>543</v>
      </c>
      <c r="B218" t="s">
        <v>87</v>
      </c>
    </row>
    <row r="219" spans="1:4" x14ac:dyDescent="0.25">
      <c r="A219" t="s">
        <v>544</v>
      </c>
      <c r="B219" t="s">
        <v>87</v>
      </c>
    </row>
    <row r="220" spans="1:4" x14ac:dyDescent="0.25">
      <c r="A220" t="s">
        <v>546</v>
      </c>
      <c r="B220" t="s">
        <v>87</v>
      </c>
    </row>
    <row r="221" spans="1:4" x14ac:dyDescent="0.25">
      <c r="A221" t="s">
        <v>204</v>
      </c>
      <c r="B221" t="s">
        <v>173</v>
      </c>
    </row>
    <row r="222" spans="1:4" x14ac:dyDescent="0.25">
      <c r="A222" t="s">
        <v>113</v>
      </c>
      <c r="B222" t="s">
        <v>173</v>
      </c>
      <c r="D222" t="s">
        <v>113</v>
      </c>
    </row>
    <row r="223" spans="1:4" x14ac:dyDescent="0.25">
      <c r="A223" t="s">
        <v>547</v>
      </c>
      <c r="B223" t="s">
        <v>87</v>
      </c>
    </row>
    <row r="224" spans="1:4" x14ac:dyDescent="0.25">
      <c r="A224" t="s">
        <v>548</v>
      </c>
      <c r="B224" t="s">
        <v>87</v>
      </c>
    </row>
    <row r="225" spans="1:13" x14ac:dyDescent="0.25">
      <c r="A225" t="s">
        <v>549</v>
      </c>
      <c r="B225" t="s">
        <v>173</v>
      </c>
    </row>
    <row r="226" spans="1:13" x14ac:dyDescent="0.25">
      <c r="A226" t="s">
        <v>550</v>
      </c>
      <c r="B226" t="s">
        <v>87</v>
      </c>
    </row>
    <row r="227" spans="1:13" x14ac:dyDescent="0.25">
      <c r="A227" t="s">
        <v>208</v>
      </c>
      <c r="B227" t="s">
        <v>173</v>
      </c>
      <c r="D227" t="s">
        <v>2968</v>
      </c>
      <c r="E227" t="s">
        <v>106</v>
      </c>
    </row>
    <row r="228" spans="1:13" x14ac:dyDescent="0.25">
      <c r="A228" t="s">
        <v>209</v>
      </c>
      <c r="B228" t="s">
        <v>173</v>
      </c>
      <c r="D228" t="s">
        <v>2968</v>
      </c>
      <c r="E228" t="s">
        <v>108</v>
      </c>
    </row>
    <row r="229" spans="1:13" x14ac:dyDescent="0.25">
      <c r="A229" t="s">
        <v>555</v>
      </c>
      <c r="B229" t="s">
        <v>16</v>
      </c>
      <c r="D229" t="s">
        <v>445</v>
      </c>
      <c r="M229">
        <v>3</v>
      </c>
    </row>
    <row r="230" spans="1:13" x14ac:dyDescent="0.25">
      <c r="A230" t="s">
        <v>568</v>
      </c>
      <c r="B230" t="s">
        <v>95</v>
      </c>
    </row>
    <row r="231" spans="1:13" x14ac:dyDescent="0.25">
      <c r="A231" t="s">
        <v>569</v>
      </c>
      <c r="B231" t="s">
        <v>87</v>
      </c>
    </row>
    <row r="232" spans="1:13" x14ac:dyDescent="0.25">
      <c r="A232" t="s">
        <v>571</v>
      </c>
      <c r="B232" t="s">
        <v>87</v>
      </c>
    </row>
    <row r="233" spans="1:13" x14ac:dyDescent="0.25">
      <c r="A233" t="s">
        <v>464</v>
      </c>
      <c r="B233" t="s">
        <v>87</v>
      </c>
    </row>
    <row r="234" spans="1:13" x14ac:dyDescent="0.25">
      <c r="A234" t="s">
        <v>572</v>
      </c>
      <c r="B234" t="s">
        <v>87</v>
      </c>
    </row>
    <row r="235" spans="1:13" x14ac:dyDescent="0.25">
      <c r="A235" t="s">
        <v>573</v>
      </c>
      <c r="B235" t="s">
        <v>87</v>
      </c>
    </row>
    <row r="236" spans="1:13" x14ac:dyDescent="0.25">
      <c r="A236" t="s">
        <v>333</v>
      </c>
      <c r="B236" t="s">
        <v>173</v>
      </c>
      <c r="D236" t="s">
        <v>333</v>
      </c>
    </row>
    <row r="237" spans="1:13" x14ac:dyDescent="0.25">
      <c r="A237" t="s">
        <v>157</v>
      </c>
      <c r="B237" t="s">
        <v>173</v>
      </c>
      <c r="D237" t="s">
        <v>157</v>
      </c>
    </row>
    <row r="238" spans="1:13" x14ac:dyDescent="0.25">
      <c r="A238" t="s">
        <v>143</v>
      </c>
      <c r="B238" t="s">
        <v>173</v>
      </c>
      <c r="D238" t="s">
        <v>1630</v>
      </c>
      <c r="E238" t="s">
        <v>108</v>
      </c>
    </row>
    <row r="239" spans="1:13" x14ac:dyDescent="0.25">
      <c r="A239" t="s">
        <v>142</v>
      </c>
      <c r="B239" t="s">
        <v>173</v>
      </c>
      <c r="D239" t="s">
        <v>1630</v>
      </c>
      <c r="E239" t="s">
        <v>106</v>
      </c>
    </row>
    <row r="240" spans="1:13" x14ac:dyDescent="0.25">
      <c r="A240" t="s">
        <v>144</v>
      </c>
      <c r="B240" t="s">
        <v>173</v>
      </c>
      <c r="D240" t="s">
        <v>1630</v>
      </c>
      <c r="E240" t="s">
        <v>1136</v>
      </c>
    </row>
    <row r="241" spans="1:10" x14ac:dyDescent="0.25">
      <c r="A241" t="s">
        <v>156</v>
      </c>
      <c r="B241" t="s">
        <v>173</v>
      </c>
      <c r="D241" t="s">
        <v>156</v>
      </c>
    </row>
    <row r="242" spans="1:10" x14ac:dyDescent="0.25">
      <c r="A242" t="s">
        <v>146</v>
      </c>
      <c r="B242" t="s">
        <v>173</v>
      </c>
      <c r="D242" t="s">
        <v>146</v>
      </c>
    </row>
    <row r="243" spans="1:10" x14ac:dyDescent="0.25">
      <c r="A243" t="s">
        <v>594</v>
      </c>
      <c r="B243" t="s">
        <v>95</v>
      </c>
    </row>
    <row r="244" spans="1:10" x14ac:dyDescent="0.25">
      <c r="A244" t="s">
        <v>595</v>
      </c>
      <c r="B244" t="s">
        <v>341</v>
      </c>
    </row>
    <row r="245" spans="1:10" x14ac:dyDescent="0.25">
      <c r="A245" t="s">
        <v>596</v>
      </c>
      <c r="B245" t="s">
        <v>87</v>
      </c>
    </row>
    <row r="246" spans="1:10" x14ac:dyDescent="0.25">
      <c r="A246" t="s">
        <v>597</v>
      </c>
      <c r="B246" t="s">
        <v>16</v>
      </c>
      <c r="C246" t="s">
        <v>85</v>
      </c>
      <c r="D246" t="s">
        <v>445</v>
      </c>
    </row>
    <row r="247" spans="1:10" x14ac:dyDescent="0.25">
      <c r="A247" t="s">
        <v>602</v>
      </c>
      <c r="B247" t="s">
        <v>87</v>
      </c>
    </row>
    <row r="248" spans="1:10" x14ac:dyDescent="0.25">
      <c r="A248" t="s">
        <v>603</v>
      </c>
      <c r="B248" t="s">
        <v>341</v>
      </c>
    </row>
    <row r="249" spans="1:10" x14ac:dyDescent="0.25">
      <c r="A249" t="s">
        <v>606</v>
      </c>
      <c r="B249" t="s">
        <v>87</v>
      </c>
    </row>
    <row r="250" spans="1:10" x14ac:dyDescent="0.25">
      <c r="A250" t="s">
        <v>607</v>
      </c>
      <c r="B250" t="s">
        <v>87</v>
      </c>
    </row>
    <row r="251" spans="1:10" x14ac:dyDescent="0.25">
      <c r="A251" t="s">
        <v>608</v>
      </c>
      <c r="B251" t="s">
        <v>87</v>
      </c>
    </row>
    <row r="252" spans="1:10" x14ac:dyDescent="0.25">
      <c r="A252" t="s">
        <v>609</v>
      </c>
      <c r="B252" t="s">
        <v>214</v>
      </c>
    </row>
    <row r="253" spans="1:10" x14ac:dyDescent="0.25">
      <c r="A253" t="s">
        <v>610</v>
      </c>
      <c r="B253" t="s">
        <v>95</v>
      </c>
      <c r="D253" t="s">
        <v>75</v>
      </c>
      <c r="I253" t="s">
        <v>2967</v>
      </c>
      <c r="J253" t="s">
        <v>2217</v>
      </c>
    </row>
    <row r="254" spans="1:10" x14ac:dyDescent="0.25">
      <c r="A254" t="s">
        <v>615</v>
      </c>
    </row>
    <row r="255" spans="1:10" x14ac:dyDescent="0.25">
      <c r="A255" t="s">
        <v>616</v>
      </c>
      <c r="B255" t="s">
        <v>173</v>
      </c>
      <c r="D255" t="s">
        <v>616</v>
      </c>
    </row>
    <row r="256" spans="1:10" x14ac:dyDescent="0.25">
      <c r="A256" t="s">
        <v>269</v>
      </c>
      <c r="B256" t="s">
        <v>173</v>
      </c>
      <c r="D256" t="s">
        <v>2966</v>
      </c>
      <c r="E256" t="s">
        <v>106</v>
      </c>
    </row>
    <row r="257" spans="1:5" x14ac:dyDescent="0.25">
      <c r="A257" t="s">
        <v>270</v>
      </c>
      <c r="B257" t="s">
        <v>173</v>
      </c>
      <c r="D257" t="s">
        <v>2966</v>
      </c>
      <c r="E257" t="s">
        <v>108</v>
      </c>
    </row>
    <row r="258" spans="1:5" x14ac:dyDescent="0.25">
      <c r="A258" t="s">
        <v>617</v>
      </c>
      <c r="B258" t="s">
        <v>341</v>
      </c>
    </row>
    <row r="259" spans="1:5" x14ac:dyDescent="0.25">
      <c r="A259" t="s">
        <v>619</v>
      </c>
      <c r="B259" t="s">
        <v>341</v>
      </c>
    </row>
    <row r="260" spans="1:5" x14ac:dyDescent="0.25">
      <c r="A260" t="s">
        <v>620</v>
      </c>
      <c r="B260" t="s">
        <v>341</v>
      </c>
    </row>
    <row r="261" spans="1:5" x14ac:dyDescent="0.25">
      <c r="A261" t="s">
        <v>165</v>
      </c>
      <c r="B261" t="s">
        <v>173</v>
      </c>
      <c r="D261" t="s">
        <v>165</v>
      </c>
    </row>
    <row r="262" spans="1:5" x14ac:dyDescent="0.25">
      <c r="A262" t="s">
        <v>282</v>
      </c>
      <c r="B262" t="s">
        <v>173</v>
      </c>
      <c r="D262" t="s">
        <v>282</v>
      </c>
    </row>
    <row r="263" spans="1:5" x14ac:dyDescent="0.25">
      <c r="A263" t="s">
        <v>621</v>
      </c>
      <c r="B263" t="s">
        <v>95</v>
      </c>
      <c r="C263" t="s">
        <v>2895</v>
      </c>
      <c r="D263" t="s">
        <v>520</v>
      </c>
    </row>
    <row r="264" spans="1:5" x14ac:dyDescent="0.25">
      <c r="A264" t="s">
        <v>626</v>
      </c>
      <c r="B264" t="s">
        <v>16</v>
      </c>
    </row>
    <row r="265" spans="1:5" x14ac:dyDescent="0.25">
      <c r="A265" t="s">
        <v>627</v>
      </c>
      <c r="B265" t="s">
        <v>87</v>
      </c>
    </row>
    <row r="266" spans="1:5" x14ac:dyDescent="0.25">
      <c r="A266" t="s">
        <v>628</v>
      </c>
      <c r="B266" t="s">
        <v>87</v>
      </c>
    </row>
    <row r="267" spans="1:5" x14ac:dyDescent="0.25">
      <c r="A267" t="s">
        <v>629</v>
      </c>
      <c r="B267" t="s">
        <v>87</v>
      </c>
    </row>
    <row r="268" spans="1:5" x14ac:dyDescent="0.25">
      <c r="A268" t="s">
        <v>630</v>
      </c>
      <c r="B268" t="s">
        <v>87</v>
      </c>
    </row>
    <row r="269" spans="1:5" x14ac:dyDescent="0.25">
      <c r="A269" t="s">
        <v>631</v>
      </c>
      <c r="B269" t="s">
        <v>87</v>
      </c>
    </row>
    <row r="270" spans="1:5" x14ac:dyDescent="0.25">
      <c r="A270" t="s">
        <v>632</v>
      </c>
      <c r="B270" t="s">
        <v>87</v>
      </c>
    </row>
    <row r="271" spans="1:5" x14ac:dyDescent="0.25">
      <c r="A271" t="s">
        <v>633</v>
      </c>
      <c r="B271" t="s">
        <v>87</v>
      </c>
    </row>
    <row r="272" spans="1:5" x14ac:dyDescent="0.25">
      <c r="A272" t="s">
        <v>641</v>
      </c>
      <c r="B272" t="s">
        <v>87</v>
      </c>
    </row>
    <row r="273" spans="1:8" x14ac:dyDescent="0.25">
      <c r="A273" t="s">
        <v>642</v>
      </c>
      <c r="B273" t="s">
        <v>87</v>
      </c>
    </row>
    <row r="274" spans="1:8" x14ac:dyDescent="0.25">
      <c r="A274" t="s">
        <v>459</v>
      </c>
      <c r="B274" t="s">
        <v>173</v>
      </c>
      <c r="D274" t="s">
        <v>2950</v>
      </c>
      <c r="E274" t="s">
        <v>108</v>
      </c>
    </row>
    <row r="275" spans="1:8" x14ac:dyDescent="0.25">
      <c r="A275" t="s">
        <v>460</v>
      </c>
      <c r="B275" t="s">
        <v>173</v>
      </c>
      <c r="D275" t="s">
        <v>2950</v>
      </c>
      <c r="E275" t="s">
        <v>106</v>
      </c>
    </row>
    <row r="276" spans="1:8" x14ac:dyDescent="0.25">
      <c r="A276" t="s">
        <v>257</v>
      </c>
      <c r="B276" t="s">
        <v>173</v>
      </c>
      <c r="D276" t="s">
        <v>257</v>
      </c>
    </row>
    <row r="277" spans="1:8" x14ac:dyDescent="0.25">
      <c r="A277" t="s">
        <v>643</v>
      </c>
      <c r="B277" t="s">
        <v>173</v>
      </c>
      <c r="D277" t="s">
        <v>643</v>
      </c>
    </row>
    <row r="278" spans="1:8" x14ac:dyDescent="0.25">
      <c r="A278" t="s">
        <v>644</v>
      </c>
      <c r="B278" t="s">
        <v>173</v>
      </c>
      <c r="D278" t="s">
        <v>644</v>
      </c>
    </row>
    <row r="279" spans="1:8" x14ac:dyDescent="0.25">
      <c r="A279" t="s">
        <v>646</v>
      </c>
      <c r="B279" t="s">
        <v>173</v>
      </c>
    </row>
    <row r="280" spans="1:8" x14ac:dyDescent="0.25">
      <c r="A280" t="s">
        <v>647</v>
      </c>
      <c r="B280" t="s">
        <v>173</v>
      </c>
    </row>
    <row r="281" spans="1:8" x14ac:dyDescent="0.25">
      <c r="A281" t="s">
        <v>652</v>
      </c>
      <c r="B281" t="s">
        <v>87</v>
      </c>
    </row>
    <row r="282" spans="1:8" x14ac:dyDescent="0.25">
      <c r="A282" t="s">
        <v>656</v>
      </c>
    </row>
    <row r="283" spans="1:8" x14ac:dyDescent="0.25">
      <c r="A283" t="s">
        <v>657</v>
      </c>
      <c r="B283" t="s">
        <v>341</v>
      </c>
    </row>
    <row r="284" spans="1:8" x14ac:dyDescent="0.25">
      <c r="A284" t="s">
        <v>658</v>
      </c>
      <c r="B284" t="s">
        <v>87</v>
      </c>
    </row>
    <row r="285" spans="1:8" x14ac:dyDescent="0.25">
      <c r="A285" t="s">
        <v>659</v>
      </c>
      <c r="B285" t="s">
        <v>341</v>
      </c>
    </row>
    <row r="286" spans="1:8" x14ac:dyDescent="0.25">
      <c r="A286" t="s">
        <v>335</v>
      </c>
      <c r="B286" t="s">
        <v>173</v>
      </c>
      <c r="D286" t="s">
        <v>335</v>
      </c>
    </row>
    <row r="287" spans="1:8" x14ac:dyDescent="0.25">
      <c r="A287" t="s">
        <v>660</v>
      </c>
      <c r="B287" t="s">
        <v>173</v>
      </c>
    </row>
    <row r="288" spans="1:8" x14ac:dyDescent="0.25">
      <c r="A288" t="s">
        <v>661</v>
      </c>
      <c r="B288" t="s">
        <v>95</v>
      </c>
      <c r="D288" t="s">
        <v>75</v>
      </c>
      <c r="F288" t="s">
        <v>2965</v>
      </c>
      <c r="G288" t="s">
        <v>77</v>
      </c>
      <c r="H288">
        <v>0.8</v>
      </c>
    </row>
    <row r="289" spans="1:5" x14ac:dyDescent="0.25">
      <c r="A289" t="s">
        <v>264</v>
      </c>
      <c r="B289" t="s">
        <v>173</v>
      </c>
      <c r="D289" t="s">
        <v>264</v>
      </c>
    </row>
    <row r="290" spans="1:5" x14ac:dyDescent="0.25">
      <c r="A290" t="s">
        <v>265</v>
      </c>
      <c r="B290" t="s">
        <v>173</v>
      </c>
      <c r="D290" t="s">
        <v>2964</v>
      </c>
      <c r="E290" t="s">
        <v>106</v>
      </c>
    </row>
    <row r="291" spans="1:5" x14ac:dyDescent="0.25">
      <c r="A291" t="s">
        <v>266</v>
      </c>
      <c r="B291" t="s">
        <v>173</v>
      </c>
      <c r="D291" t="s">
        <v>2964</v>
      </c>
      <c r="E291" t="s">
        <v>108</v>
      </c>
    </row>
    <row r="292" spans="1:5" x14ac:dyDescent="0.25">
      <c r="A292" t="s">
        <v>333</v>
      </c>
      <c r="B292" t="s">
        <v>48</v>
      </c>
      <c r="D292" t="s">
        <v>333</v>
      </c>
    </row>
    <row r="293" spans="1:5" x14ac:dyDescent="0.25">
      <c r="A293" t="s">
        <v>664</v>
      </c>
      <c r="B293" t="s">
        <v>16</v>
      </c>
      <c r="D293" t="s">
        <v>664</v>
      </c>
    </row>
    <row r="294" spans="1:5" x14ac:dyDescent="0.25">
      <c r="A294" t="s">
        <v>665</v>
      </c>
      <c r="B294" t="s">
        <v>16</v>
      </c>
      <c r="D294" t="s">
        <v>665</v>
      </c>
    </row>
    <row r="295" spans="1:5" x14ac:dyDescent="0.25">
      <c r="A295" t="s">
        <v>666</v>
      </c>
      <c r="B295" t="s">
        <v>87</v>
      </c>
    </row>
    <row r="296" spans="1:5" x14ac:dyDescent="0.25">
      <c r="A296" t="s">
        <v>667</v>
      </c>
      <c r="B296" t="s">
        <v>87</v>
      </c>
    </row>
    <row r="297" spans="1:5" x14ac:dyDescent="0.25">
      <c r="A297" t="s">
        <v>668</v>
      </c>
      <c r="B297" t="s">
        <v>87</v>
      </c>
    </row>
    <row r="298" spans="1:5" x14ac:dyDescent="0.25">
      <c r="A298" t="s">
        <v>669</v>
      </c>
      <c r="B298" t="s">
        <v>87</v>
      </c>
    </row>
    <row r="299" spans="1:5" x14ac:dyDescent="0.25">
      <c r="A299" t="s">
        <v>670</v>
      </c>
      <c r="B299" t="s">
        <v>87</v>
      </c>
    </row>
    <row r="300" spans="1:5" x14ac:dyDescent="0.25">
      <c r="A300" t="s">
        <v>671</v>
      </c>
      <c r="B300" t="s">
        <v>87</v>
      </c>
    </row>
    <row r="301" spans="1:5" x14ac:dyDescent="0.25">
      <c r="A301" t="s">
        <v>674</v>
      </c>
      <c r="B301" t="s">
        <v>173</v>
      </c>
    </row>
    <row r="302" spans="1:5" x14ac:dyDescent="0.25">
      <c r="A302" t="s">
        <v>676</v>
      </c>
      <c r="B302" t="s">
        <v>173</v>
      </c>
    </row>
    <row r="303" spans="1:5" x14ac:dyDescent="0.25">
      <c r="A303" t="s">
        <v>679</v>
      </c>
      <c r="B303" t="s">
        <v>87</v>
      </c>
    </row>
    <row r="304" spans="1:5" x14ac:dyDescent="0.25">
      <c r="A304" t="s">
        <v>680</v>
      </c>
      <c r="B304" t="s">
        <v>87</v>
      </c>
    </row>
    <row r="305" spans="1:2" x14ac:dyDescent="0.25">
      <c r="A305" t="s">
        <v>681</v>
      </c>
      <c r="B305" t="s">
        <v>87</v>
      </c>
    </row>
    <row r="306" spans="1:2" x14ac:dyDescent="0.25">
      <c r="A306" t="s">
        <v>682</v>
      </c>
      <c r="B306" t="s">
        <v>87</v>
      </c>
    </row>
    <row r="307" spans="1:2" x14ac:dyDescent="0.25">
      <c r="A307" t="s">
        <v>695</v>
      </c>
      <c r="B307" t="s">
        <v>87</v>
      </c>
    </row>
    <row r="308" spans="1:2" x14ac:dyDescent="0.25">
      <c r="A308" t="s">
        <v>696</v>
      </c>
      <c r="B308" t="s">
        <v>173</v>
      </c>
    </row>
    <row r="309" spans="1:2" x14ac:dyDescent="0.25">
      <c r="A309" t="s">
        <v>705</v>
      </c>
      <c r="B309" t="s">
        <v>341</v>
      </c>
    </row>
    <row r="310" spans="1:2" x14ac:dyDescent="0.25">
      <c r="A310" t="s">
        <v>706</v>
      </c>
      <c r="B310" t="s">
        <v>341</v>
      </c>
    </row>
    <row r="311" spans="1:2" x14ac:dyDescent="0.25">
      <c r="A311" t="s">
        <v>707</v>
      </c>
      <c r="B311" t="s">
        <v>341</v>
      </c>
    </row>
    <row r="312" spans="1:2" x14ac:dyDescent="0.25">
      <c r="A312" t="s">
        <v>708</v>
      </c>
      <c r="B312" t="s">
        <v>341</v>
      </c>
    </row>
    <row r="313" spans="1:2" x14ac:dyDescent="0.25">
      <c r="A313" t="s">
        <v>714</v>
      </c>
      <c r="B313" t="s">
        <v>87</v>
      </c>
    </row>
    <row r="314" spans="1:2" x14ac:dyDescent="0.25">
      <c r="A314" t="s">
        <v>715</v>
      </c>
      <c r="B314" t="s">
        <v>87</v>
      </c>
    </row>
    <row r="315" spans="1:2" x14ac:dyDescent="0.25">
      <c r="A315" t="s">
        <v>716</v>
      </c>
      <c r="B315" t="s">
        <v>87</v>
      </c>
    </row>
    <row r="316" spans="1:2" x14ac:dyDescent="0.25">
      <c r="A316" t="s">
        <v>717</v>
      </c>
      <c r="B316" t="s">
        <v>87</v>
      </c>
    </row>
    <row r="317" spans="1:2" x14ac:dyDescent="0.25">
      <c r="A317" t="s">
        <v>718</v>
      </c>
      <c r="B317" t="s">
        <v>87</v>
      </c>
    </row>
    <row r="318" spans="1:2" x14ac:dyDescent="0.25">
      <c r="A318" t="s">
        <v>719</v>
      </c>
      <c r="B318" t="s">
        <v>87</v>
      </c>
    </row>
    <row r="319" spans="1:2" x14ac:dyDescent="0.25">
      <c r="A319" t="s">
        <v>720</v>
      </c>
      <c r="B319" t="s">
        <v>341</v>
      </c>
    </row>
    <row r="320" spans="1:2" x14ac:dyDescent="0.25">
      <c r="A320" t="s">
        <v>470</v>
      </c>
      <c r="B320" t="s">
        <v>87</v>
      </c>
    </row>
    <row r="321" spans="1:12" x14ac:dyDescent="0.25">
      <c r="A321" t="s">
        <v>721</v>
      </c>
      <c r="B321" t="s">
        <v>95</v>
      </c>
      <c r="D321" t="s">
        <v>75</v>
      </c>
      <c r="F321" t="s">
        <v>2963</v>
      </c>
      <c r="G321" t="s">
        <v>77</v>
      </c>
      <c r="H321">
        <v>1</v>
      </c>
    </row>
    <row r="322" spans="1:12" x14ac:dyDescent="0.25">
      <c r="A322" t="s">
        <v>723</v>
      </c>
      <c r="B322" t="s">
        <v>87</v>
      </c>
    </row>
    <row r="323" spans="1:12" x14ac:dyDescent="0.25">
      <c r="A323" t="s">
        <v>724</v>
      </c>
      <c r="B323" t="s">
        <v>87</v>
      </c>
    </row>
    <row r="324" spans="1:12" x14ac:dyDescent="0.25">
      <c r="A324" t="s">
        <v>725</v>
      </c>
      <c r="B324" t="s">
        <v>87</v>
      </c>
    </row>
    <row r="325" spans="1:12" x14ac:dyDescent="0.25">
      <c r="A325" t="s">
        <v>729</v>
      </c>
      <c r="B325" t="s">
        <v>87</v>
      </c>
    </row>
    <row r="326" spans="1:12" x14ac:dyDescent="0.25">
      <c r="A326" t="s">
        <v>730</v>
      </c>
      <c r="B326" t="s">
        <v>87</v>
      </c>
    </row>
    <row r="327" spans="1:12" x14ac:dyDescent="0.25">
      <c r="A327" t="s">
        <v>731</v>
      </c>
      <c r="B327" t="s">
        <v>95</v>
      </c>
      <c r="C327" t="s">
        <v>2936</v>
      </c>
      <c r="D327" t="s">
        <v>2962</v>
      </c>
      <c r="E327" t="s">
        <v>292</v>
      </c>
      <c r="K327" t="s">
        <v>2961</v>
      </c>
      <c r="L327" t="s">
        <v>2960</v>
      </c>
    </row>
    <row r="328" spans="1:12" x14ac:dyDescent="0.25">
      <c r="A328" t="s">
        <v>732</v>
      </c>
      <c r="B328" t="s">
        <v>341</v>
      </c>
    </row>
    <row r="329" spans="1:12" x14ac:dyDescent="0.25">
      <c r="A329" t="s">
        <v>751</v>
      </c>
      <c r="B329" t="s">
        <v>341</v>
      </c>
    </row>
    <row r="330" spans="1:12" x14ac:dyDescent="0.25">
      <c r="A330" t="s">
        <v>752</v>
      </c>
      <c r="B330" t="s">
        <v>341</v>
      </c>
    </row>
    <row r="331" spans="1:12" x14ac:dyDescent="0.25">
      <c r="A331" t="s">
        <v>753</v>
      </c>
      <c r="B331" t="s">
        <v>341</v>
      </c>
    </row>
    <row r="332" spans="1:12" x14ac:dyDescent="0.25">
      <c r="A332" t="s">
        <v>754</v>
      </c>
      <c r="B332" t="s">
        <v>87</v>
      </c>
    </row>
    <row r="333" spans="1:12" x14ac:dyDescent="0.25">
      <c r="A333" t="s">
        <v>755</v>
      </c>
      <c r="B333" t="s">
        <v>87</v>
      </c>
    </row>
    <row r="334" spans="1:12" x14ac:dyDescent="0.25">
      <c r="A334" t="s">
        <v>334</v>
      </c>
      <c r="B334" t="s">
        <v>173</v>
      </c>
      <c r="D334" t="s">
        <v>334</v>
      </c>
    </row>
    <row r="335" spans="1:12" x14ac:dyDescent="0.25">
      <c r="A335" t="s">
        <v>756</v>
      </c>
      <c r="B335" t="s">
        <v>173</v>
      </c>
      <c r="D335" t="s">
        <v>756</v>
      </c>
    </row>
    <row r="336" spans="1:12" x14ac:dyDescent="0.25">
      <c r="A336" t="s">
        <v>757</v>
      </c>
      <c r="B336" t="s">
        <v>173</v>
      </c>
    </row>
    <row r="337" spans="1:13" x14ac:dyDescent="0.25">
      <c r="A337" t="s">
        <v>760</v>
      </c>
      <c r="B337" t="s">
        <v>95</v>
      </c>
      <c r="C337" t="s">
        <v>2959</v>
      </c>
      <c r="D337" t="s">
        <v>145</v>
      </c>
    </row>
    <row r="338" spans="1:13" x14ac:dyDescent="0.25">
      <c r="A338" t="s">
        <v>761</v>
      </c>
      <c r="B338" t="s">
        <v>173</v>
      </c>
      <c r="D338" t="s">
        <v>761</v>
      </c>
    </row>
    <row r="339" spans="1:13" x14ac:dyDescent="0.25">
      <c r="A339" t="s">
        <v>762</v>
      </c>
      <c r="B339" t="s">
        <v>341</v>
      </c>
    </row>
    <row r="340" spans="1:13" x14ac:dyDescent="0.25">
      <c r="A340" t="s">
        <v>763</v>
      </c>
      <c r="B340" t="s">
        <v>16</v>
      </c>
      <c r="D340" t="s">
        <v>2900</v>
      </c>
      <c r="E340" t="s">
        <v>106</v>
      </c>
      <c r="M340">
        <v>1</v>
      </c>
    </row>
    <row r="341" spans="1:13" x14ac:dyDescent="0.25">
      <c r="A341" t="s">
        <v>764</v>
      </c>
      <c r="B341" t="s">
        <v>16</v>
      </c>
      <c r="D341" t="s">
        <v>2900</v>
      </c>
      <c r="E341" t="s">
        <v>108</v>
      </c>
      <c r="M341">
        <v>1</v>
      </c>
    </row>
    <row r="342" spans="1:13" x14ac:dyDescent="0.25">
      <c r="A342" t="s">
        <v>201</v>
      </c>
      <c r="B342" t="s">
        <v>173</v>
      </c>
      <c r="D342" t="s">
        <v>2900</v>
      </c>
      <c r="E342" t="s">
        <v>108</v>
      </c>
    </row>
    <row r="343" spans="1:13" x14ac:dyDescent="0.25">
      <c r="A343" t="s">
        <v>200</v>
      </c>
      <c r="B343" t="s">
        <v>173</v>
      </c>
      <c r="D343" t="s">
        <v>2900</v>
      </c>
      <c r="E343" t="s">
        <v>106</v>
      </c>
    </row>
    <row r="344" spans="1:13" x14ac:dyDescent="0.25">
      <c r="A344" t="s">
        <v>765</v>
      </c>
      <c r="B344" t="s">
        <v>173</v>
      </c>
    </row>
    <row r="345" spans="1:13" x14ac:dyDescent="0.25">
      <c r="A345" t="s">
        <v>767</v>
      </c>
      <c r="B345" t="s">
        <v>173</v>
      </c>
    </row>
    <row r="346" spans="1:13" x14ac:dyDescent="0.25">
      <c r="A346" t="s">
        <v>768</v>
      </c>
      <c r="B346" t="s">
        <v>173</v>
      </c>
      <c r="D346" t="s">
        <v>768</v>
      </c>
    </row>
    <row r="347" spans="1:13" x14ac:dyDescent="0.25">
      <c r="A347" t="s">
        <v>769</v>
      </c>
      <c r="B347" t="s">
        <v>87</v>
      </c>
    </row>
    <row r="348" spans="1:13" x14ac:dyDescent="0.25">
      <c r="A348" t="s">
        <v>770</v>
      </c>
      <c r="B348" t="s">
        <v>87</v>
      </c>
    </row>
    <row r="349" spans="1:13" x14ac:dyDescent="0.25">
      <c r="A349" t="s">
        <v>773</v>
      </c>
    </row>
    <row r="350" spans="1:13" x14ac:dyDescent="0.25">
      <c r="A350" t="s">
        <v>774</v>
      </c>
      <c r="B350" t="s">
        <v>87</v>
      </c>
    </row>
    <row r="351" spans="1:13" x14ac:dyDescent="0.25">
      <c r="A351" t="s">
        <v>775</v>
      </c>
      <c r="B351" t="s">
        <v>87</v>
      </c>
    </row>
    <row r="352" spans="1:13" x14ac:dyDescent="0.25">
      <c r="A352" t="s">
        <v>781</v>
      </c>
      <c r="B352" t="s">
        <v>87</v>
      </c>
    </row>
    <row r="353" spans="1:4" x14ac:dyDescent="0.25">
      <c r="A353" t="s">
        <v>396</v>
      </c>
      <c r="B353" t="s">
        <v>173</v>
      </c>
      <c r="D353" t="s">
        <v>396</v>
      </c>
    </row>
    <row r="354" spans="1:4" x14ac:dyDescent="0.25">
      <c r="A354" t="s">
        <v>790</v>
      </c>
      <c r="B354" t="s">
        <v>173</v>
      </c>
    </row>
    <row r="355" spans="1:4" x14ac:dyDescent="0.25">
      <c r="A355" t="s">
        <v>791</v>
      </c>
      <c r="B355" t="s">
        <v>173</v>
      </c>
    </row>
    <row r="356" spans="1:4" x14ac:dyDescent="0.25">
      <c r="A356" t="s">
        <v>792</v>
      </c>
      <c r="B356" t="s">
        <v>173</v>
      </c>
    </row>
    <row r="357" spans="1:4" x14ac:dyDescent="0.25">
      <c r="A357" t="s">
        <v>793</v>
      </c>
      <c r="B357" t="s">
        <v>173</v>
      </c>
    </row>
    <row r="358" spans="1:4" x14ac:dyDescent="0.25">
      <c r="A358" t="s">
        <v>794</v>
      </c>
      <c r="B358" t="s">
        <v>173</v>
      </c>
    </row>
    <row r="359" spans="1:4" x14ac:dyDescent="0.25">
      <c r="A359" t="s">
        <v>795</v>
      </c>
      <c r="B359" t="s">
        <v>173</v>
      </c>
    </row>
    <row r="360" spans="1:4" x14ac:dyDescent="0.25">
      <c r="A360" t="s">
        <v>796</v>
      </c>
      <c r="B360" t="s">
        <v>173</v>
      </c>
    </row>
    <row r="361" spans="1:4" x14ac:dyDescent="0.25">
      <c r="A361" t="s">
        <v>797</v>
      </c>
      <c r="B361" t="s">
        <v>173</v>
      </c>
    </row>
    <row r="362" spans="1:4" x14ac:dyDescent="0.25">
      <c r="A362" t="s">
        <v>798</v>
      </c>
      <c r="B362" t="s">
        <v>341</v>
      </c>
    </row>
    <row r="363" spans="1:4" x14ac:dyDescent="0.25">
      <c r="A363" t="s">
        <v>799</v>
      </c>
      <c r="B363" t="s">
        <v>341</v>
      </c>
    </row>
    <row r="364" spans="1:4" x14ac:dyDescent="0.25">
      <c r="A364" t="s">
        <v>800</v>
      </c>
      <c r="B364" t="s">
        <v>341</v>
      </c>
    </row>
    <row r="365" spans="1:4" x14ac:dyDescent="0.25">
      <c r="A365" t="s">
        <v>801</v>
      </c>
      <c r="B365" t="s">
        <v>341</v>
      </c>
    </row>
    <row r="366" spans="1:4" x14ac:dyDescent="0.25">
      <c r="A366" t="s">
        <v>803</v>
      </c>
      <c r="B366" t="s">
        <v>173</v>
      </c>
    </row>
    <row r="367" spans="1:4" x14ac:dyDescent="0.25">
      <c r="A367" t="s">
        <v>804</v>
      </c>
      <c r="B367" t="s">
        <v>87</v>
      </c>
    </row>
    <row r="368" spans="1:4" x14ac:dyDescent="0.25">
      <c r="A368" t="s">
        <v>807</v>
      </c>
      <c r="B368" t="s">
        <v>87</v>
      </c>
    </row>
    <row r="369" spans="1:8" x14ac:dyDescent="0.25">
      <c r="A369" t="s">
        <v>808</v>
      </c>
      <c r="B369" t="s">
        <v>173</v>
      </c>
    </row>
    <row r="370" spans="1:8" x14ac:dyDescent="0.25">
      <c r="A370" t="s">
        <v>815</v>
      </c>
      <c r="B370" t="s">
        <v>341</v>
      </c>
    </row>
    <row r="371" spans="1:8" x14ac:dyDescent="0.25">
      <c r="A371" t="s">
        <v>816</v>
      </c>
      <c r="B371" t="s">
        <v>95</v>
      </c>
      <c r="D371" t="s">
        <v>75</v>
      </c>
      <c r="F371" t="s">
        <v>2958</v>
      </c>
      <c r="G371" t="s">
        <v>77</v>
      </c>
      <c r="H371" t="s">
        <v>2957</v>
      </c>
    </row>
    <row r="372" spans="1:8" x14ac:dyDescent="0.25">
      <c r="A372" t="s">
        <v>825</v>
      </c>
      <c r="B372" t="s">
        <v>95</v>
      </c>
      <c r="D372" t="s">
        <v>75</v>
      </c>
      <c r="F372" t="s">
        <v>2956</v>
      </c>
      <c r="G372" t="s">
        <v>77</v>
      </c>
      <c r="H372" t="s">
        <v>2955</v>
      </c>
    </row>
    <row r="373" spans="1:8" x14ac:dyDescent="0.25">
      <c r="A373" t="s">
        <v>826</v>
      </c>
      <c r="B373" t="s">
        <v>341</v>
      </c>
    </row>
    <row r="374" spans="1:8" x14ac:dyDescent="0.25">
      <c r="A374" t="s">
        <v>827</v>
      </c>
      <c r="B374" t="s">
        <v>341</v>
      </c>
    </row>
    <row r="375" spans="1:8" x14ac:dyDescent="0.25">
      <c r="A375" t="s">
        <v>828</v>
      </c>
      <c r="B375" t="s">
        <v>341</v>
      </c>
    </row>
    <row r="376" spans="1:8" x14ac:dyDescent="0.25">
      <c r="A376" t="s">
        <v>829</v>
      </c>
      <c r="B376" t="s">
        <v>341</v>
      </c>
    </row>
    <row r="377" spans="1:8" x14ac:dyDescent="0.25">
      <c r="A377" t="s">
        <v>830</v>
      </c>
      <c r="B377" t="s">
        <v>341</v>
      </c>
    </row>
    <row r="378" spans="1:8" x14ac:dyDescent="0.25">
      <c r="A378" t="s">
        <v>831</v>
      </c>
      <c r="B378" t="s">
        <v>341</v>
      </c>
    </row>
    <row r="379" spans="1:8" x14ac:dyDescent="0.25">
      <c r="A379" t="s">
        <v>832</v>
      </c>
      <c r="B379" t="s">
        <v>341</v>
      </c>
    </row>
    <row r="380" spans="1:8" x14ac:dyDescent="0.25">
      <c r="A380" t="s">
        <v>833</v>
      </c>
      <c r="B380" t="s">
        <v>173</v>
      </c>
    </row>
    <row r="381" spans="1:8" x14ac:dyDescent="0.25">
      <c r="A381" t="s">
        <v>834</v>
      </c>
      <c r="B381" t="s">
        <v>173</v>
      </c>
    </row>
    <row r="382" spans="1:8" x14ac:dyDescent="0.25">
      <c r="A382" t="s">
        <v>835</v>
      </c>
      <c r="B382" t="s">
        <v>87</v>
      </c>
    </row>
    <row r="383" spans="1:8" x14ac:dyDescent="0.25">
      <c r="A383" t="s">
        <v>836</v>
      </c>
      <c r="B383" t="s">
        <v>87</v>
      </c>
    </row>
    <row r="384" spans="1:8" x14ac:dyDescent="0.25">
      <c r="A384" t="s">
        <v>837</v>
      </c>
      <c r="B384" t="s">
        <v>16</v>
      </c>
      <c r="D384" t="s">
        <v>2950</v>
      </c>
      <c r="E384" t="s">
        <v>106</v>
      </c>
    </row>
    <row r="385" spans="1:4" x14ac:dyDescent="0.25">
      <c r="A385" t="s">
        <v>761</v>
      </c>
      <c r="B385" t="s">
        <v>16</v>
      </c>
      <c r="D385" t="s">
        <v>761</v>
      </c>
    </row>
    <row r="386" spans="1:4" x14ac:dyDescent="0.25">
      <c r="A386" t="s">
        <v>839</v>
      </c>
      <c r="B386" t="s">
        <v>16</v>
      </c>
      <c r="D386" t="s">
        <v>839</v>
      </c>
    </row>
    <row r="387" spans="1:4" x14ac:dyDescent="0.25">
      <c r="A387" t="s">
        <v>840</v>
      </c>
      <c r="B387" t="s">
        <v>16</v>
      </c>
    </row>
    <row r="388" spans="1:4" x14ac:dyDescent="0.25">
      <c r="A388" t="s">
        <v>841</v>
      </c>
      <c r="B388" t="s">
        <v>341</v>
      </c>
    </row>
    <row r="389" spans="1:4" x14ac:dyDescent="0.25">
      <c r="A389" t="s">
        <v>843</v>
      </c>
      <c r="B389" t="s">
        <v>341</v>
      </c>
    </row>
    <row r="390" spans="1:4" x14ac:dyDescent="0.25">
      <c r="A390" t="s">
        <v>658</v>
      </c>
      <c r="B390" t="s">
        <v>341</v>
      </c>
    </row>
    <row r="391" spans="1:4" x14ac:dyDescent="0.25">
      <c r="A391" t="s">
        <v>844</v>
      </c>
      <c r="B391" t="s">
        <v>87</v>
      </c>
    </row>
    <row r="392" spans="1:4" x14ac:dyDescent="0.25">
      <c r="A392" t="s">
        <v>845</v>
      </c>
      <c r="B392" t="s">
        <v>87</v>
      </c>
    </row>
    <row r="393" spans="1:4" x14ac:dyDescent="0.25">
      <c r="A393" t="s">
        <v>846</v>
      </c>
      <c r="B393" t="s">
        <v>87</v>
      </c>
    </row>
    <row r="394" spans="1:4" x14ac:dyDescent="0.25">
      <c r="A394" t="s">
        <v>847</v>
      </c>
      <c r="B394" t="s">
        <v>87</v>
      </c>
    </row>
    <row r="395" spans="1:4" x14ac:dyDescent="0.25">
      <c r="A395" t="s">
        <v>752</v>
      </c>
      <c r="B395" t="s">
        <v>87</v>
      </c>
    </row>
    <row r="396" spans="1:4" x14ac:dyDescent="0.25">
      <c r="A396" t="s">
        <v>851</v>
      </c>
      <c r="B396" t="s">
        <v>87</v>
      </c>
    </row>
    <row r="397" spans="1:4" x14ac:dyDescent="0.25">
      <c r="A397" t="s">
        <v>720</v>
      </c>
      <c r="B397" t="s">
        <v>87</v>
      </c>
    </row>
    <row r="398" spans="1:4" x14ac:dyDescent="0.25">
      <c r="A398" t="s">
        <v>853</v>
      </c>
      <c r="B398" t="s">
        <v>87</v>
      </c>
    </row>
    <row r="399" spans="1:4" x14ac:dyDescent="0.25">
      <c r="A399" t="s">
        <v>515</v>
      </c>
      <c r="B399" t="s">
        <v>341</v>
      </c>
    </row>
    <row r="400" spans="1:4" x14ac:dyDescent="0.25">
      <c r="A400" t="s">
        <v>469</v>
      </c>
      <c r="B400" t="s">
        <v>87</v>
      </c>
    </row>
    <row r="401" spans="1:2" x14ac:dyDescent="0.25">
      <c r="A401" t="s">
        <v>854</v>
      </c>
      <c r="B401" t="s">
        <v>87</v>
      </c>
    </row>
    <row r="402" spans="1:2" x14ac:dyDescent="0.25">
      <c r="A402" t="s">
        <v>855</v>
      </c>
      <c r="B402" t="s">
        <v>341</v>
      </c>
    </row>
    <row r="403" spans="1:2" x14ac:dyDescent="0.25">
      <c r="A403" t="s">
        <v>856</v>
      </c>
      <c r="B403" t="s">
        <v>87</v>
      </c>
    </row>
    <row r="404" spans="1:2" x14ac:dyDescent="0.25">
      <c r="A404" t="s">
        <v>861</v>
      </c>
      <c r="B404" t="s">
        <v>173</v>
      </c>
    </row>
    <row r="405" spans="1:2" x14ac:dyDescent="0.25">
      <c r="A405" t="s">
        <v>862</v>
      </c>
    </row>
    <row r="406" spans="1:2" x14ac:dyDescent="0.25">
      <c r="A406" t="s">
        <v>863</v>
      </c>
      <c r="B406" t="s">
        <v>95</v>
      </c>
    </row>
    <row r="407" spans="1:2" x14ac:dyDescent="0.25">
      <c r="A407" t="s">
        <v>864</v>
      </c>
      <c r="B407" t="s">
        <v>87</v>
      </c>
    </row>
    <row r="408" spans="1:2" x14ac:dyDescent="0.25">
      <c r="A408" t="s">
        <v>865</v>
      </c>
      <c r="B408" t="s">
        <v>87</v>
      </c>
    </row>
    <row r="409" spans="1:2" x14ac:dyDescent="0.25">
      <c r="A409" t="s">
        <v>341</v>
      </c>
      <c r="B409" t="s">
        <v>341</v>
      </c>
    </row>
    <row r="410" spans="1:2" x14ac:dyDescent="0.25">
      <c r="A410" t="s">
        <v>866</v>
      </c>
      <c r="B410" t="s">
        <v>341</v>
      </c>
    </row>
    <row r="411" spans="1:2" x14ac:dyDescent="0.25">
      <c r="A411" t="s">
        <v>868</v>
      </c>
      <c r="B411" t="s">
        <v>87</v>
      </c>
    </row>
    <row r="412" spans="1:2" x14ac:dyDescent="0.25">
      <c r="A412" t="s">
        <v>869</v>
      </c>
      <c r="B412" t="s">
        <v>87</v>
      </c>
    </row>
    <row r="413" spans="1:2" x14ac:dyDescent="0.25">
      <c r="A413" t="s">
        <v>870</v>
      </c>
      <c r="B413" t="s">
        <v>87</v>
      </c>
    </row>
    <row r="414" spans="1:2" x14ac:dyDescent="0.25">
      <c r="A414" t="s">
        <v>871</v>
      </c>
      <c r="B414" t="s">
        <v>95</v>
      </c>
    </row>
    <row r="415" spans="1:2" x14ac:dyDescent="0.25">
      <c r="A415" t="s">
        <v>882</v>
      </c>
      <c r="B415" t="s">
        <v>87</v>
      </c>
    </row>
    <row r="416" spans="1:2" x14ac:dyDescent="0.25">
      <c r="A416" t="s">
        <v>514</v>
      </c>
      <c r="B416" t="s">
        <v>341</v>
      </c>
    </row>
    <row r="417" spans="1:8" x14ac:dyDescent="0.25">
      <c r="A417" t="s">
        <v>883</v>
      </c>
      <c r="B417" t="s">
        <v>87</v>
      </c>
    </row>
    <row r="418" spans="1:8" x14ac:dyDescent="0.25">
      <c r="A418" t="s">
        <v>146</v>
      </c>
      <c r="B418" t="s">
        <v>95</v>
      </c>
      <c r="D418" t="s">
        <v>146</v>
      </c>
    </row>
    <row r="419" spans="1:8" x14ac:dyDescent="0.25">
      <c r="A419" t="s">
        <v>445</v>
      </c>
      <c r="B419" t="s">
        <v>95</v>
      </c>
      <c r="D419" t="s">
        <v>445</v>
      </c>
    </row>
    <row r="420" spans="1:8" x14ac:dyDescent="0.25">
      <c r="A420" t="s">
        <v>886</v>
      </c>
    </row>
    <row r="421" spans="1:8" x14ac:dyDescent="0.25">
      <c r="A421" t="s">
        <v>891</v>
      </c>
      <c r="B421" t="s">
        <v>77</v>
      </c>
    </row>
    <row r="422" spans="1:8" x14ac:dyDescent="0.25">
      <c r="A422" t="s">
        <v>895</v>
      </c>
      <c r="B422" t="s">
        <v>341</v>
      </c>
    </row>
    <row r="423" spans="1:8" x14ac:dyDescent="0.25">
      <c r="A423" t="s">
        <v>896</v>
      </c>
      <c r="B423" t="s">
        <v>341</v>
      </c>
    </row>
    <row r="424" spans="1:8" x14ac:dyDescent="0.25">
      <c r="A424" t="s">
        <v>897</v>
      </c>
      <c r="B424" t="s">
        <v>87</v>
      </c>
    </row>
    <row r="425" spans="1:8" x14ac:dyDescent="0.25">
      <c r="A425" t="s">
        <v>898</v>
      </c>
      <c r="B425" t="s">
        <v>87</v>
      </c>
    </row>
    <row r="426" spans="1:8" x14ac:dyDescent="0.25">
      <c r="A426" t="s">
        <v>899</v>
      </c>
      <c r="B426" t="s">
        <v>87</v>
      </c>
    </row>
    <row r="427" spans="1:8" x14ac:dyDescent="0.25">
      <c r="A427" t="s">
        <v>900</v>
      </c>
      <c r="B427" t="s">
        <v>87</v>
      </c>
    </row>
    <row r="428" spans="1:8" x14ac:dyDescent="0.25">
      <c r="A428" t="s">
        <v>149</v>
      </c>
      <c r="B428" t="s">
        <v>173</v>
      </c>
      <c r="D428" t="s">
        <v>149</v>
      </c>
    </row>
    <row r="429" spans="1:8" x14ac:dyDescent="0.25">
      <c r="A429" t="s">
        <v>901</v>
      </c>
      <c r="B429" t="s">
        <v>173</v>
      </c>
      <c r="D429" t="s">
        <v>2928</v>
      </c>
      <c r="E429" t="s">
        <v>108</v>
      </c>
    </row>
    <row r="430" spans="1:8" x14ac:dyDescent="0.25">
      <c r="A430" t="s">
        <v>902</v>
      </c>
      <c r="B430" t="s">
        <v>173</v>
      </c>
      <c r="D430" t="s">
        <v>2928</v>
      </c>
      <c r="E430" t="s">
        <v>106</v>
      </c>
    </row>
    <row r="431" spans="1:8" x14ac:dyDescent="0.25">
      <c r="A431" t="s">
        <v>905</v>
      </c>
      <c r="B431" t="s">
        <v>95</v>
      </c>
      <c r="D431" t="s">
        <v>75</v>
      </c>
      <c r="F431" t="s">
        <v>2926</v>
      </c>
      <c r="G431" t="s">
        <v>77</v>
      </c>
      <c r="H431">
        <v>54</v>
      </c>
    </row>
    <row r="432" spans="1:8" x14ac:dyDescent="0.25">
      <c r="A432" t="s">
        <v>906</v>
      </c>
      <c r="B432" t="s">
        <v>16</v>
      </c>
    </row>
    <row r="433" spans="1:8" x14ac:dyDescent="0.25">
      <c r="A433" t="s">
        <v>907</v>
      </c>
      <c r="B433" t="s">
        <v>173</v>
      </c>
    </row>
    <row r="434" spans="1:8" x14ac:dyDescent="0.25">
      <c r="A434" t="s">
        <v>112</v>
      </c>
      <c r="B434" t="s">
        <v>173</v>
      </c>
      <c r="D434" t="s">
        <v>112</v>
      </c>
    </row>
    <row r="435" spans="1:8" x14ac:dyDescent="0.25">
      <c r="A435" t="s">
        <v>908</v>
      </c>
      <c r="B435" t="s">
        <v>173</v>
      </c>
    </row>
    <row r="436" spans="1:8" x14ac:dyDescent="0.25">
      <c r="A436" t="s">
        <v>913</v>
      </c>
      <c r="B436" t="s">
        <v>48</v>
      </c>
    </row>
    <row r="437" spans="1:8" x14ac:dyDescent="0.25">
      <c r="A437" t="s">
        <v>915</v>
      </c>
      <c r="B437" t="s">
        <v>341</v>
      </c>
    </row>
    <row r="438" spans="1:8" x14ac:dyDescent="0.25">
      <c r="A438" t="s">
        <v>518</v>
      </c>
      <c r="B438" t="s">
        <v>341</v>
      </c>
    </row>
    <row r="439" spans="1:8" x14ac:dyDescent="0.25">
      <c r="A439" t="s">
        <v>916</v>
      </c>
      <c r="B439" t="s">
        <v>341</v>
      </c>
    </row>
    <row r="440" spans="1:8" x14ac:dyDescent="0.25">
      <c r="A440" t="s">
        <v>917</v>
      </c>
      <c r="B440" t="s">
        <v>173</v>
      </c>
      <c r="D440" t="s">
        <v>917</v>
      </c>
    </row>
    <row r="441" spans="1:8" x14ac:dyDescent="0.25">
      <c r="A441" t="s">
        <v>918</v>
      </c>
      <c r="B441" t="s">
        <v>95</v>
      </c>
      <c r="D441" t="s">
        <v>75</v>
      </c>
      <c r="F441" t="s">
        <v>2954</v>
      </c>
      <c r="G441" t="s">
        <v>77</v>
      </c>
      <c r="H441" t="s">
        <v>2953</v>
      </c>
    </row>
    <row r="442" spans="1:8" x14ac:dyDescent="0.25">
      <c r="A442" t="s">
        <v>240</v>
      </c>
      <c r="B442" t="s">
        <v>77</v>
      </c>
      <c r="C442" t="s">
        <v>85</v>
      </c>
      <c r="D442" t="s">
        <v>89</v>
      </c>
    </row>
    <row r="443" spans="1:8" x14ac:dyDescent="0.25">
      <c r="A443" t="s">
        <v>922</v>
      </c>
    </row>
    <row r="444" spans="1:8" x14ac:dyDescent="0.25">
      <c r="A444" t="s">
        <v>923</v>
      </c>
    </row>
    <row r="445" spans="1:8" x14ac:dyDescent="0.25">
      <c r="A445" t="s">
        <v>924</v>
      </c>
      <c r="B445" t="s">
        <v>95</v>
      </c>
      <c r="D445" t="s">
        <v>75</v>
      </c>
      <c r="F445" t="s">
        <v>2952</v>
      </c>
      <c r="G445" t="s">
        <v>77</v>
      </c>
      <c r="H445" t="s">
        <v>2951</v>
      </c>
    </row>
    <row r="446" spans="1:8" x14ac:dyDescent="0.25">
      <c r="A446" t="s">
        <v>925</v>
      </c>
      <c r="B446" t="s">
        <v>173</v>
      </c>
    </row>
    <row r="447" spans="1:8" x14ac:dyDescent="0.25">
      <c r="A447" t="s">
        <v>926</v>
      </c>
    </row>
    <row r="448" spans="1:8" x14ac:dyDescent="0.25">
      <c r="A448" t="s">
        <v>927</v>
      </c>
    </row>
    <row r="449" spans="1:5" x14ac:dyDescent="0.25">
      <c r="A449" t="s">
        <v>928</v>
      </c>
      <c r="B449" t="s">
        <v>173</v>
      </c>
      <c r="D449" t="s">
        <v>928</v>
      </c>
    </row>
    <row r="450" spans="1:5" x14ac:dyDescent="0.25">
      <c r="A450" t="s">
        <v>808</v>
      </c>
      <c r="B450" t="s">
        <v>87</v>
      </c>
    </row>
    <row r="451" spans="1:5" x14ac:dyDescent="0.25">
      <c r="A451" t="s">
        <v>941</v>
      </c>
      <c r="B451" t="s">
        <v>87</v>
      </c>
    </row>
    <row r="452" spans="1:5" x14ac:dyDescent="0.25">
      <c r="A452" t="s">
        <v>943</v>
      </c>
      <c r="B452" t="s">
        <v>173</v>
      </c>
    </row>
    <row r="453" spans="1:5" x14ac:dyDescent="0.25">
      <c r="A453" t="s">
        <v>944</v>
      </c>
      <c r="B453" t="s">
        <v>87</v>
      </c>
    </row>
    <row r="454" spans="1:5" x14ac:dyDescent="0.25">
      <c r="A454" t="s">
        <v>945</v>
      </c>
      <c r="B454" t="s">
        <v>87</v>
      </c>
    </row>
    <row r="455" spans="1:5" x14ac:dyDescent="0.25">
      <c r="A455" t="s">
        <v>946</v>
      </c>
      <c r="B455" t="s">
        <v>16</v>
      </c>
      <c r="D455" t="s">
        <v>2950</v>
      </c>
      <c r="E455" t="s">
        <v>108</v>
      </c>
    </row>
    <row r="456" spans="1:5" x14ac:dyDescent="0.25">
      <c r="A456" t="s">
        <v>205</v>
      </c>
      <c r="B456" t="s">
        <v>173</v>
      </c>
    </row>
    <row r="457" spans="1:5" x14ac:dyDescent="0.25">
      <c r="A457" t="s">
        <v>955</v>
      </c>
      <c r="B457" t="s">
        <v>77</v>
      </c>
    </row>
    <row r="458" spans="1:5" x14ac:dyDescent="0.25">
      <c r="A458" t="s">
        <v>956</v>
      </c>
      <c r="B458" t="s">
        <v>77</v>
      </c>
    </row>
    <row r="459" spans="1:5" x14ac:dyDescent="0.25">
      <c r="A459" t="s">
        <v>981</v>
      </c>
      <c r="B459" t="s">
        <v>341</v>
      </c>
    </row>
    <row r="460" spans="1:5" x14ac:dyDescent="0.25">
      <c r="A460" t="s">
        <v>982</v>
      </c>
      <c r="B460" t="s">
        <v>173</v>
      </c>
      <c r="D460" t="s">
        <v>2949</v>
      </c>
      <c r="E460" t="s">
        <v>106</v>
      </c>
    </row>
    <row r="461" spans="1:5" x14ac:dyDescent="0.25">
      <c r="A461" t="s">
        <v>652</v>
      </c>
      <c r="B461" t="s">
        <v>173</v>
      </c>
    </row>
    <row r="462" spans="1:5" x14ac:dyDescent="0.25">
      <c r="A462" t="s">
        <v>983</v>
      </c>
      <c r="B462" t="s">
        <v>173</v>
      </c>
    </row>
    <row r="463" spans="1:5" x14ac:dyDescent="0.25">
      <c r="A463" t="s">
        <v>986</v>
      </c>
    </row>
    <row r="464" spans="1:5" x14ac:dyDescent="0.25">
      <c r="A464" t="s">
        <v>987</v>
      </c>
      <c r="B464" t="s">
        <v>341</v>
      </c>
    </row>
    <row r="465" spans="1:2" x14ac:dyDescent="0.25">
      <c r="A465" t="s">
        <v>988</v>
      </c>
    </row>
    <row r="466" spans="1:2" x14ac:dyDescent="0.25">
      <c r="A466" t="s">
        <v>989</v>
      </c>
      <c r="B466" t="s">
        <v>341</v>
      </c>
    </row>
    <row r="467" spans="1:2" x14ac:dyDescent="0.25">
      <c r="A467" t="s">
        <v>990</v>
      </c>
      <c r="B467" t="s">
        <v>341</v>
      </c>
    </row>
    <row r="468" spans="1:2" x14ac:dyDescent="0.25">
      <c r="A468" t="s">
        <v>991</v>
      </c>
      <c r="B468" t="s">
        <v>173</v>
      </c>
    </row>
    <row r="469" spans="1:2" x14ac:dyDescent="0.25">
      <c r="A469" t="s">
        <v>992</v>
      </c>
      <c r="B469" t="s">
        <v>173</v>
      </c>
    </row>
    <row r="470" spans="1:2" x14ac:dyDescent="0.25">
      <c r="A470" t="s">
        <v>993</v>
      </c>
      <c r="B470" t="s">
        <v>341</v>
      </c>
    </row>
    <row r="471" spans="1:2" x14ac:dyDescent="0.25">
      <c r="A471" t="s">
        <v>994</v>
      </c>
      <c r="B471" t="s">
        <v>341</v>
      </c>
    </row>
    <row r="472" spans="1:2" x14ac:dyDescent="0.25">
      <c r="A472" t="s">
        <v>995</v>
      </c>
      <c r="B472" t="s">
        <v>87</v>
      </c>
    </row>
    <row r="473" spans="1:2" x14ac:dyDescent="0.25">
      <c r="A473" t="s">
        <v>996</v>
      </c>
      <c r="B473" t="s">
        <v>87</v>
      </c>
    </row>
    <row r="474" spans="1:2" x14ac:dyDescent="0.25">
      <c r="A474" t="s">
        <v>997</v>
      </c>
      <c r="B474" t="s">
        <v>173</v>
      </c>
    </row>
    <row r="475" spans="1:2" x14ac:dyDescent="0.25">
      <c r="A475" t="s">
        <v>998</v>
      </c>
      <c r="B475" t="s">
        <v>341</v>
      </c>
    </row>
    <row r="476" spans="1:2" x14ac:dyDescent="0.25">
      <c r="A476" t="s">
        <v>999</v>
      </c>
      <c r="B476" t="s">
        <v>87</v>
      </c>
    </row>
    <row r="477" spans="1:2" x14ac:dyDescent="0.25">
      <c r="A477" t="s">
        <v>1000</v>
      </c>
      <c r="B477" t="s">
        <v>341</v>
      </c>
    </row>
    <row r="478" spans="1:2" x14ac:dyDescent="0.25">
      <c r="A478" t="s">
        <v>1001</v>
      </c>
      <c r="B478" t="s">
        <v>16</v>
      </c>
    </row>
    <row r="479" spans="1:2" x14ac:dyDescent="0.25">
      <c r="A479" t="s">
        <v>1002</v>
      </c>
      <c r="B479" t="s">
        <v>87</v>
      </c>
    </row>
    <row r="480" spans="1:2" x14ac:dyDescent="0.25">
      <c r="A480" t="s">
        <v>1009</v>
      </c>
      <c r="B480" t="s">
        <v>87</v>
      </c>
    </row>
    <row r="481" spans="1:4" x14ac:dyDescent="0.25">
      <c r="A481" t="s">
        <v>1013</v>
      </c>
    </row>
    <row r="482" spans="1:4" x14ac:dyDescent="0.25">
      <c r="A482" t="s">
        <v>1014</v>
      </c>
      <c r="B482" t="s">
        <v>95</v>
      </c>
    </row>
    <row r="483" spans="1:4" x14ac:dyDescent="0.25">
      <c r="A483" t="s">
        <v>1015</v>
      </c>
      <c r="B483" t="s">
        <v>95</v>
      </c>
      <c r="C483" t="s">
        <v>85</v>
      </c>
      <c r="D483" t="s">
        <v>455</v>
      </c>
    </row>
    <row r="484" spans="1:4" x14ac:dyDescent="0.25">
      <c r="A484" t="s">
        <v>1016</v>
      </c>
      <c r="B484" t="s">
        <v>341</v>
      </c>
    </row>
    <row r="485" spans="1:4" x14ac:dyDescent="0.25">
      <c r="A485" t="s">
        <v>1020</v>
      </c>
      <c r="B485" t="s">
        <v>173</v>
      </c>
    </row>
    <row r="486" spans="1:4" x14ac:dyDescent="0.25">
      <c r="A486" t="s">
        <v>631</v>
      </c>
      <c r="B486" t="s">
        <v>341</v>
      </c>
    </row>
    <row r="487" spans="1:4" x14ac:dyDescent="0.25">
      <c r="A487" t="s">
        <v>1024</v>
      </c>
      <c r="B487" t="s">
        <v>87</v>
      </c>
    </row>
    <row r="488" spans="1:4" x14ac:dyDescent="0.25">
      <c r="A488" t="s">
        <v>1025</v>
      </c>
      <c r="B488" t="s">
        <v>87</v>
      </c>
    </row>
    <row r="489" spans="1:4" x14ac:dyDescent="0.25">
      <c r="A489" t="s">
        <v>1026</v>
      </c>
      <c r="B489" t="s">
        <v>341</v>
      </c>
    </row>
    <row r="490" spans="1:4" x14ac:dyDescent="0.25">
      <c r="A490" t="s">
        <v>1027</v>
      </c>
      <c r="B490" t="s">
        <v>87</v>
      </c>
    </row>
    <row r="491" spans="1:4" x14ac:dyDescent="0.25">
      <c r="A491" t="s">
        <v>1028</v>
      </c>
      <c r="B491" t="s">
        <v>87</v>
      </c>
    </row>
    <row r="492" spans="1:4" x14ac:dyDescent="0.25">
      <c r="A492" t="s">
        <v>364</v>
      </c>
      <c r="B492" t="s">
        <v>173</v>
      </c>
      <c r="D492" t="s">
        <v>364</v>
      </c>
    </row>
    <row r="493" spans="1:4" x14ac:dyDescent="0.25">
      <c r="A493" t="s">
        <v>1032</v>
      </c>
      <c r="B493" t="s">
        <v>95</v>
      </c>
    </row>
    <row r="494" spans="1:4" x14ac:dyDescent="0.25">
      <c r="A494" t="s">
        <v>943</v>
      </c>
      <c r="B494" t="s">
        <v>48</v>
      </c>
    </row>
    <row r="495" spans="1:4" x14ac:dyDescent="0.25">
      <c r="A495" t="s">
        <v>1039</v>
      </c>
      <c r="B495" t="s">
        <v>48</v>
      </c>
    </row>
    <row r="496" spans="1:4" x14ac:dyDescent="0.25">
      <c r="A496" t="s">
        <v>1042</v>
      </c>
      <c r="B496" t="s">
        <v>87</v>
      </c>
    </row>
    <row r="497" spans="1:2" x14ac:dyDescent="0.25">
      <c r="A497" t="s">
        <v>1043</v>
      </c>
      <c r="B497" t="s">
        <v>87</v>
      </c>
    </row>
    <row r="498" spans="1:2" x14ac:dyDescent="0.25">
      <c r="A498" t="s">
        <v>1044</v>
      </c>
      <c r="B498" t="s">
        <v>173</v>
      </c>
    </row>
    <row r="499" spans="1:2" x14ac:dyDescent="0.25">
      <c r="A499" t="s">
        <v>1045</v>
      </c>
      <c r="B499" t="s">
        <v>173</v>
      </c>
    </row>
    <row r="500" spans="1:2" x14ac:dyDescent="0.25">
      <c r="A500" t="s">
        <v>1046</v>
      </c>
      <c r="B500" t="s">
        <v>173</v>
      </c>
    </row>
    <row r="501" spans="1:2" x14ac:dyDescent="0.25">
      <c r="A501" t="s">
        <v>993</v>
      </c>
      <c r="B501" t="s">
        <v>87</v>
      </c>
    </row>
    <row r="502" spans="1:2" x14ac:dyDescent="0.25">
      <c r="A502" t="s">
        <v>1047</v>
      </c>
      <c r="B502" t="s">
        <v>87</v>
      </c>
    </row>
    <row r="503" spans="1:2" x14ac:dyDescent="0.25">
      <c r="A503" t="s">
        <v>1048</v>
      </c>
      <c r="B503" t="s">
        <v>87</v>
      </c>
    </row>
    <row r="504" spans="1:2" x14ac:dyDescent="0.25">
      <c r="A504" t="s">
        <v>1050</v>
      </c>
      <c r="B504" t="s">
        <v>16</v>
      </c>
    </row>
    <row r="505" spans="1:2" x14ac:dyDescent="0.25">
      <c r="A505" t="s">
        <v>1054</v>
      </c>
      <c r="B505" t="s">
        <v>48</v>
      </c>
    </row>
    <row r="506" spans="1:2" x14ac:dyDescent="0.25">
      <c r="A506" t="s">
        <v>1055</v>
      </c>
      <c r="B506" t="s">
        <v>48</v>
      </c>
    </row>
    <row r="507" spans="1:2" x14ac:dyDescent="0.25">
      <c r="A507" t="s">
        <v>1056</v>
      </c>
      <c r="B507" t="s">
        <v>341</v>
      </c>
    </row>
    <row r="508" spans="1:2" x14ac:dyDescent="0.25">
      <c r="A508" t="s">
        <v>1057</v>
      </c>
      <c r="B508" t="s">
        <v>341</v>
      </c>
    </row>
    <row r="509" spans="1:2" x14ac:dyDescent="0.25">
      <c r="A509" t="s">
        <v>1058</v>
      </c>
      <c r="B509" t="s">
        <v>341</v>
      </c>
    </row>
    <row r="510" spans="1:2" x14ac:dyDescent="0.25">
      <c r="A510" t="s">
        <v>1059</v>
      </c>
      <c r="B510" t="s">
        <v>87</v>
      </c>
    </row>
    <row r="511" spans="1:2" x14ac:dyDescent="0.25">
      <c r="A511" t="s">
        <v>1064</v>
      </c>
      <c r="B511" t="s">
        <v>173</v>
      </c>
    </row>
    <row r="512" spans="1:2" x14ac:dyDescent="0.25">
      <c r="A512" t="s">
        <v>1068</v>
      </c>
      <c r="B512" t="s">
        <v>173</v>
      </c>
    </row>
    <row r="513" spans="1:5" x14ac:dyDescent="0.25">
      <c r="A513" t="s">
        <v>1069</v>
      </c>
      <c r="B513" t="s">
        <v>173</v>
      </c>
      <c r="D513" t="s">
        <v>1069</v>
      </c>
    </row>
    <row r="514" spans="1:5" x14ac:dyDescent="0.25">
      <c r="A514" t="s">
        <v>1070</v>
      </c>
      <c r="B514" t="s">
        <v>173</v>
      </c>
      <c r="D514" t="s">
        <v>1070</v>
      </c>
    </row>
    <row r="515" spans="1:5" x14ac:dyDescent="0.25">
      <c r="A515" t="s">
        <v>1077</v>
      </c>
      <c r="B515" t="s">
        <v>16</v>
      </c>
      <c r="D515" t="s">
        <v>2948</v>
      </c>
      <c r="E515" t="s">
        <v>108</v>
      </c>
    </row>
    <row r="516" spans="1:5" x14ac:dyDescent="0.25">
      <c r="A516" t="s">
        <v>1078</v>
      </c>
      <c r="B516" t="s">
        <v>16</v>
      </c>
      <c r="D516" t="s">
        <v>2948</v>
      </c>
      <c r="E516" t="s">
        <v>106</v>
      </c>
    </row>
    <row r="517" spans="1:5" x14ac:dyDescent="0.25">
      <c r="A517" t="s">
        <v>1079</v>
      </c>
      <c r="B517" t="s">
        <v>16</v>
      </c>
      <c r="D517" t="s">
        <v>2948</v>
      </c>
      <c r="E517" t="s">
        <v>1136</v>
      </c>
    </row>
    <row r="518" spans="1:5" x14ac:dyDescent="0.25">
      <c r="A518" t="s">
        <v>1083</v>
      </c>
      <c r="B518" t="s">
        <v>173</v>
      </c>
      <c r="D518" t="s">
        <v>2947</v>
      </c>
      <c r="E518" t="s">
        <v>106</v>
      </c>
    </row>
    <row r="519" spans="1:5" x14ac:dyDescent="0.25">
      <c r="A519" t="s">
        <v>1093</v>
      </c>
    </row>
    <row r="520" spans="1:5" x14ac:dyDescent="0.25">
      <c r="A520" t="s">
        <v>1095</v>
      </c>
      <c r="B520" t="s">
        <v>341</v>
      </c>
    </row>
    <row r="521" spans="1:5" x14ac:dyDescent="0.25">
      <c r="A521" t="s">
        <v>1096</v>
      </c>
      <c r="B521" t="s">
        <v>173</v>
      </c>
    </row>
    <row r="522" spans="1:5" x14ac:dyDescent="0.25">
      <c r="A522" t="s">
        <v>1097</v>
      </c>
      <c r="B522" t="s">
        <v>87</v>
      </c>
    </row>
    <row r="523" spans="1:5" x14ac:dyDescent="0.25">
      <c r="A523" t="s">
        <v>1098</v>
      </c>
      <c r="B523" t="s">
        <v>341</v>
      </c>
    </row>
    <row r="524" spans="1:5" x14ac:dyDescent="0.25">
      <c r="A524" t="s">
        <v>1099</v>
      </c>
      <c r="B524" t="s">
        <v>87</v>
      </c>
    </row>
    <row r="525" spans="1:5" x14ac:dyDescent="0.25">
      <c r="A525" t="s">
        <v>1103</v>
      </c>
      <c r="B525" t="s">
        <v>173</v>
      </c>
    </row>
    <row r="526" spans="1:5" x14ac:dyDescent="0.25">
      <c r="A526" t="s">
        <v>1105</v>
      </c>
      <c r="B526" t="s">
        <v>87</v>
      </c>
    </row>
    <row r="527" spans="1:5" x14ac:dyDescent="0.25">
      <c r="A527" t="s">
        <v>1106</v>
      </c>
      <c r="B527" t="s">
        <v>173</v>
      </c>
    </row>
    <row r="528" spans="1:5" x14ac:dyDescent="0.25">
      <c r="A528" t="s">
        <v>1107</v>
      </c>
      <c r="B528" t="s">
        <v>341</v>
      </c>
    </row>
    <row r="529" spans="1:8" x14ac:dyDescent="0.25">
      <c r="A529" t="s">
        <v>1108</v>
      </c>
      <c r="B529" t="s">
        <v>341</v>
      </c>
    </row>
    <row r="530" spans="1:8" x14ac:dyDescent="0.25">
      <c r="A530" t="s">
        <v>1026</v>
      </c>
      <c r="B530" t="s">
        <v>87</v>
      </c>
    </row>
    <row r="531" spans="1:8" x14ac:dyDescent="0.25">
      <c r="A531" t="s">
        <v>1109</v>
      </c>
      <c r="B531" t="s">
        <v>173</v>
      </c>
    </row>
    <row r="532" spans="1:8" x14ac:dyDescent="0.25">
      <c r="A532" t="s">
        <v>1110</v>
      </c>
      <c r="B532" t="s">
        <v>173</v>
      </c>
    </row>
    <row r="533" spans="1:8" x14ac:dyDescent="0.25">
      <c r="A533" t="s">
        <v>337</v>
      </c>
      <c r="B533" t="s">
        <v>16</v>
      </c>
      <c r="D533" t="s">
        <v>337</v>
      </c>
    </row>
    <row r="534" spans="1:8" x14ac:dyDescent="0.25">
      <c r="A534" t="s">
        <v>1114</v>
      </c>
      <c r="B534" t="s">
        <v>16</v>
      </c>
      <c r="D534" t="s">
        <v>1114</v>
      </c>
    </row>
    <row r="535" spans="1:8" x14ac:dyDescent="0.25">
      <c r="A535" t="s">
        <v>1115</v>
      </c>
      <c r="B535" t="s">
        <v>87</v>
      </c>
    </row>
    <row r="536" spans="1:8" x14ac:dyDescent="0.25">
      <c r="A536" t="s">
        <v>1116</v>
      </c>
      <c r="B536" t="s">
        <v>87</v>
      </c>
    </row>
    <row r="537" spans="1:8" x14ac:dyDescent="0.25">
      <c r="A537" t="s">
        <v>1122</v>
      </c>
      <c r="B537" t="s">
        <v>95</v>
      </c>
      <c r="D537" t="s">
        <v>75</v>
      </c>
      <c r="F537" t="s">
        <v>2946</v>
      </c>
      <c r="G537" t="s">
        <v>77</v>
      </c>
      <c r="H537" t="s">
        <v>2945</v>
      </c>
    </row>
    <row r="538" spans="1:8" x14ac:dyDescent="0.25">
      <c r="A538" t="s">
        <v>1123</v>
      </c>
      <c r="B538" t="s">
        <v>341</v>
      </c>
    </row>
    <row r="539" spans="1:8" x14ac:dyDescent="0.25">
      <c r="A539" t="s">
        <v>1128</v>
      </c>
      <c r="B539" t="s">
        <v>341</v>
      </c>
    </row>
    <row r="540" spans="1:8" x14ac:dyDescent="0.25">
      <c r="A540" t="s">
        <v>1129</v>
      </c>
      <c r="B540" t="s">
        <v>341</v>
      </c>
    </row>
    <row r="541" spans="1:8" x14ac:dyDescent="0.25">
      <c r="A541" t="s">
        <v>1130</v>
      </c>
      <c r="B541" t="s">
        <v>341</v>
      </c>
    </row>
    <row r="542" spans="1:8" x14ac:dyDescent="0.25">
      <c r="A542" t="s">
        <v>1131</v>
      </c>
      <c r="B542" t="s">
        <v>341</v>
      </c>
    </row>
    <row r="543" spans="1:8" x14ac:dyDescent="0.25">
      <c r="A543" t="s">
        <v>1132</v>
      </c>
      <c r="B543" t="s">
        <v>341</v>
      </c>
    </row>
    <row r="544" spans="1:8" x14ac:dyDescent="0.25">
      <c r="A544" t="s">
        <v>1133</v>
      </c>
      <c r="B544" t="s">
        <v>341</v>
      </c>
    </row>
    <row r="545" spans="1:4" x14ac:dyDescent="0.25">
      <c r="A545" t="s">
        <v>1134</v>
      </c>
      <c r="B545" t="s">
        <v>341</v>
      </c>
    </row>
    <row r="546" spans="1:4" x14ac:dyDescent="0.25">
      <c r="A546" t="s">
        <v>1137</v>
      </c>
      <c r="B546" t="s">
        <v>87</v>
      </c>
    </row>
    <row r="547" spans="1:4" x14ac:dyDescent="0.25">
      <c r="A547" t="s">
        <v>1138</v>
      </c>
      <c r="B547" t="s">
        <v>95</v>
      </c>
      <c r="D547" t="s">
        <v>1138</v>
      </c>
    </row>
    <row r="548" spans="1:4" x14ac:dyDescent="0.25">
      <c r="A548" t="s">
        <v>1139</v>
      </c>
      <c r="B548" t="s">
        <v>87</v>
      </c>
    </row>
    <row r="549" spans="1:4" x14ac:dyDescent="0.25">
      <c r="A549" t="s">
        <v>1140</v>
      </c>
      <c r="B549" t="s">
        <v>173</v>
      </c>
    </row>
    <row r="550" spans="1:4" x14ac:dyDescent="0.25">
      <c r="A550" t="s">
        <v>1141</v>
      </c>
      <c r="B550" t="s">
        <v>87</v>
      </c>
    </row>
    <row r="551" spans="1:4" x14ac:dyDescent="0.25">
      <c r="A551" t="s">
        <v>1145</v>
      </c>
      <c r="B551" t="s">
        <v>341</v>
      </c>
    </row>
    <row r="552" spans="1:4" x14ac:dyDescent="0.25">
      <c r="A552" t="s">
        <v>1146</v>
      </c>
      <c r="B552" t="s">
        <v>341</v>
      </c>
    </row>
    <row r="553" spans="1:4" x14ac:dyDescent="0.25">
      <c r="A553" t="s">
        <v>1147</v>
      </c>
      <c r="B553" t="s">
        <v>341</v>
      </c>
    </row>
    <row r="554" spans="1:4" x14ac:dyDescent="0.25">
      <c r="A554" t="s">
        <v>1148</v>
      </c>
      <c r="B554" t="s">
        <v>341</v>
      </c>
    </row>
    <row r="555" spans="1:4" x14ac:dyDescent="0.25">
      <c r="A555" t="s">
        <v>1149</v>
      </c>
    </row>
    <row r="556" spans="1:4" x14ac:dyDescent="0.25">
      <c r="A556" t="s">
        <v>1099</v>
      </c>
      <c r="B556" t="s">
        <v>341</v>
      </c>
    </row>
    <row r="557" spans="1:4" x14ac:dyDescent="0.25">
      <c r="A557" t="s">
        <v>1150</v>
      </c>
      <c r="B557" t="s">
        <v>341</v>
      </c>
    </row>
    <row r="558" spans="1:4" x14ac:dyDescent="0.25">
      <c r="A558" t="s">
        <v>1151</v>
      </c>
      <c r="B558" t="s">
        <v>341</v>
      </c>
    </row>
    <row r="559" spans="1:4" x14ac:dyDescent="0.25">
      <c r="A559" t="s">
        <v>1152</v>
      </c>
      <c r="B559" t="s">
        <v>87</v>
      </c>
      <c r="D559" t="s">
        <v>1152</v>
      </c>
    </row>
    <row r="560" spans="1:4" x14ac:dyDescent="0.25">
      <c r="A560" t="s">
        <v>1153</v>
      </c>
      <c r="B560" t="s">
        <v>87</v>
      </c>
    </row>
    <row r="561" spans="1:13" x14ac:dyDescent="0.25">
      <c r="A561" t="s">
        <v>1154</v>
      </c>
    </row>
    <row r="562" spans="1:13" x14ac:dyDescent="0.25">
      <c r="A562" t="s">
        <v>1155</v>
      </c>
    </row>
    <row r="563" spans="1:13" x14ac:dyDescent="0.25">
      <c r="A563" t="s">
        <v>1156</v>
      </c>
      <c r="B563" t="s">
        <v>95</v>
      </c>
      <c r="D563" t="s">
        <v>75</v>
      </c>
      <c r="F563" t="s">
        <v>2944</v>
      </c>
      <c r="G563" t="s">
        <v>77</v>
      </c>
      <c r="H563">
        <v>59.4</v>
      </c>
    </row>
    <row r="564" spans="1:13" x14ac:dyDescent="0.25">
      <c r="A564" t="s">
        <v>1164</v>
      </c>
      <c r="B564" t="s">
        <v>16</v>
      </c>
      <c r="D564" t="s">
        <v>445</v>
      </c>
      <c r="M564">
        <v>5</v>
      </c>
    </row>
    <row r="565" spans="1:13" x14ac:dyDescent="0.25">
      <c r="A565" t="s">
        <v>1165</v>
      </c>
    </row>
    <row r="566" spans="1:13" x14ac:dyDescent="0.25">
      <c r="A566" t="s">
        <v>1166</v>
      </c>
      <c r="B566" t="s">
        <v>87</v>
      </c>
    </row>
    <row r="567" spans="1:13" x14ac:dyDescent="0.25">
      <c r="A567" t="s">
        <v>1167</v>
      </c>
      <c r="B567" t="s">
        <v>341</v>
      </c>
    </row>
    <row r="568" spans="1:13" x14ac:dyDescent="0.25">
      <c r="A568" t="s">
        <v>1168</v>
      </c>
      <c r="B568" t="s">
        <v>87</v>
      </c>
    </row>
    <row r="569" spans="1:13" x14ac:dyDescent="0.25">
      <c r="A569" t="s">
        <v>89</v>
      </c>
      <c r="B569" t="s">
        <v>173</v>
      </c>
      <c r="D569" t="s">
        <v>89</v>
      </c>
    </row>
    <row r="570" spans="1:13" x14ac:dyDescent="0.25">
      <c r="A570" t="s">
        <v>1169</v>
      </c>
      <c r="B570" t="s">
        <v>173</v>
      </c>
    </row>
    <row r="571" spans="1:13" x14ac:dyDescent="0.25">
      <c r="A571" t="s">
        <v>90</v>
      </c>
      <c r="B571" t="s">
        <v>173</v>
      </c>
      <c r="D571" t="s">
        <v>90</v>
      </c>
    </row>
    <row r="572" spans="1:13" x14ac:dyDescent="0.25">
      <c r="A572" t="s">
        <v>328</v>
      </c>
      <c r="B572" t="s">
        <v>173</v>
      </c>
      <c r="D572" t="s">
        <v>2943</v>
      </c>
      <c r="E572" t="s">
        <v>106</v>
      </c>
    </row>
    <row r="573" spans="1:13" x14ac:dyDescent="0.25">
      <c r="A573" t="s">
        <v>327</v>
      </c>
      <c r="B573" t="s">
        <v>173</v>
      </c>
      <c r="D573" t="s">
        <v>2943</v>
      </c>
      <c r="E573" t="s">
        <v>108</v>
      </c>
    </row>
    <row r="574" spans="1:13" x14ac:dyDescent="0.25">
      <c r="A574" t="s">
        <v>1170</v>
      </c>
      <c r="B574" t="s">
        <v>173</v>
      </c>
      <c r="D574" t="s">
        <v>1170</v>
      </c>
    </row>
    <row r="575" spans="1:13" x14ac:dyDescent="0.25">
      <c r="A575" t="s">
        <v>1171</v>
      </c>
      <c r="B575" t="s">
        <v>46</v>
      </c>
    </row>
    <row r="576" spans="1:13" x14ac:dyDescent="0.25">
      <c r="A576" t="s">
        <v>93</v>
      </c>
      <c r="B576" t="s">
        <v>173</v>
      </c>
      <c r="D576" t="s">
        <v>93</v>
      </c>
    </row>
    <row r="577" spans="1:4" x14ac:dyDescent="0.25">
      <c r="A577" t="s">
        <v>360</v>
      </c>
      <c r="B577" t="s">
        <v>173</v>
      </c>
      <c r="D577" t="s">
        <v>360</v>
      </c>
    </row>
    <row r="578" spans="1:4" x14ac:dyDescent="0.25">
      <c r="A578" t="s">
        <v>1172</v>
      </c>
      <c r="B578" t="s">
        <v>173</v>
      </c>
    </row>
    <row r="579" spans="1:4" x14ac:dyDescent="0.25">
      <c r="A579" t="s">
        <v>1173</v>
      </c>
      <c r="B579" t="s">
        <v>173</v>
      </c>
    </row>
    <row r="580" spans="1:4" x14ac:dyDescent="0.25">
      <c r="A580" t="s">
        <v>1174</v>
      </c>
      <c r="B580" t="s">
        <v>173</v>
      </c>
    </row>
    <row r="581" spans="1:4" x14ac:dyDescent="0.25">
      <c r="A581" t="s">
        <v>1175</v>
      </c>
      <c r="B581" t="s">
        <v>173</v>
      </c>
    </row>
    <row r="582" spans="1:4" x14ac:dyDescent="0.25">
      <c r="A582" t="s">
        <v>1176</v>
      </c>
      <c r="B582" t="s">
        <v>173</v>
      </c>
    </row>
    <row r="583" spans="1:4" x14ac:dyDescent="0.25">
      <c r="A583" t="s">
        <v>855</v>
      </c>
      <c r="B583" t="s">
        <v>87</v>
      </c>
    </row>
    <row r="584" spans="1:4" x14ac:dyDescent="0.25">
      <c r="A584" t="s">
        <v>1177</v>
      </c>
      <c r="B584" t="s">
        <v>87</v>
      </c>
    </row>
    <row r="585" spans="1:4" x14ac:dyDescent="0.25">
      <c r="A585" t="s">
        <v>866</v>
      </c>
      <c r="B585" t="s">
        <v>87</v>
      </c>
    </row>
    <row r="586" spans="1:4" x14ac:dyDescent="0.25">
      <c r="A586" t="s">
        <v>1178</v>
      </c>
      <c r="B586" t="s">
        <v>87</v>
      </c>
    </row>
    <row r="587" spans="1:4" x14ac:dyDescent="0.25">
      <c r="A587" t="s">
        <v>641</v>
      </c>
      <c r="B587" t="s">
        <v>341</v>
      </c>
    </row>
    <row r="588" spans="1:4" x14ac:dyDescent="0.25">
      <c r="A588" t="s">
        <v>1050</v>
      </c>
      <c r="B588" t="s">
        <v>173</v>
      </c>
    </row>
    <row r="589" spans="1:4" x14ac:dyDescent="0.25">
      <c r="A589" t="s">
        <v>708</v>
      </c>
      <c r="B589" t="s">
        <v>87</v>
      </c>
    </row>
    <row r="590" spans="1:4" x14ac:dyDescent="0.25">
      <c r="A590" t="s">
        <v>1180</v>
      </c>
      <c r="B590" t="s">
        <v>87</v>
      </c>
    </row>
    <row r="591" spans="1:4" x14ac:dyDescent="0.25">
      <c r="A591" t="s">
        <v>1105</v>
      </c>
      <c r="B591" t="s">
        <v>341</v>
      </c>
    </row>
    <row r="592" spans="1:4" x14ac:dyDescent="0.25">
      <c r="A592" t="s">
        <v>1184</v>
      </c>
      <c r="B592" t="s">
        <v>46</v>
      </c>
    </row>
    <row r="593" spans="1:2" x14ac:dyDescent="0.25">
      <c r="A593" t="s">
        <v>1186</v>
      </c>
      <c r="B593" t="s">
        <v>46</v>
      </c>
    </row>
    <row r="594" spans="1:2" x14ac:dyDescent="0.25">
      <c r="A594" t="s">
        <v>998</v>
      </c>
      <c r="B594" t="s">
        <v>87</v>
      </c>
    </row>
    <row r="595" spans="1:2" x14ac:dyDescent="0.25">
      <c r="A595" t="s">
        <v>1187</v>
      </c>
      <c r="B595" t="s">
        <v>87</v>
      </c>
    </row>
    <row r="596" spans="1:2" x14ac:dyDescent="0.25">
      <c r="A596" t="s">
        <v>1188</v>
      </c>
      <c r="B596" t="s">
        <v>87</v>
      </c>
    </row>
    <row r="597" spans="1:2" x14ac:dyDescent="0.25">
      <c r="A597" t="s">
        <v>1189</v>
      </c>
      <c r="B597" t="s">
        <v>173</v>
      </c>
    </row>
    <row r="598" spans="1:2" x14ac:dyDescent="0.25">
      <c r="A598" t="s">
        <v>1190</v>
      </c>
      <c r="B598" t="s">
        <v>173</v>
      </c>
    </row>
    <row r="599" spans="1:2" x14ac:dyDescent="0.25">
      <c r="A599" t="s">
        <v>1191</v>
      </c>
      <c r="B599" t="s">
        <v>341</v>
      </c>
    </row>
    <row r="600" spans="1:2" x14ac:dyDescent="0.25">
      <c r="A600" t="s">
        <v>1192</v>
      </c>
      <c r="B600" t="s">
        <v>341</v>
      </c>
    </row>
    <row r="601" spans="1:2" x14ac:dyDescent="0.25">
      <c r="A601" t="s">
        <v>1193</v>
      </c>
      <c r="B601" t="s">
        <v>87</v>
      </c>
    </row>
    <row r="602" spans="1:2" x14ac:dyDescent="0.25">
      <c r="A602" t="s">
        <v>1194</v>
      </c>
      <c r="B602" t="s">
        <v>87</v>
      </c>
    </row>
    <row r="603" spans="1:2" x14ac:dyDescent="0.25">
      <c r="A603" t="s">
        <v>1195</v>
      </c>
      <c r="B603" t="s">
        <v>87</v>
      </c>
    </row>
    <row r="604" spans="1:2" x14ac:dyDescent="0.25">
      <c r="A604" t="s">
        <v>1203</v>
      </c>
      <c r="B604" t="s">
        <v>341</v>
      </c>
    </row>
    <row r="605" spans="1:2" x14ac:dyDescent="0.25">
      <c r="A605" t="s">
        <v>1205</v>
      </c>
      <c r="B605" t="s">
        <v>87</v>
      </c>
    </row>
    <row r="606" spans="1:2" x14ac:dyDescent="0.25">
      <c r="A606" t="s">
        <v>1206</v>
      </c>
    </row>
    <row r="607" spans="1:2" x14ac:dyDescent="0.25">
      <c r="A607" t="s">
        <v>1214</v>
      </c>
      <c r="B607" t="s">
        <v>16</v>
      </c>
    </row>
    <row r="608" spans="1:2" x14ac:dyDescent="0.25">
      <c r="A608" t="s">
        <v>1215</v>
      </c>
      <c r="B608" t="s">
        <v>173</v>
      </c>
    </row>
    <row r="609" spans="1:13" x14ac:dyDescent="0.25">
      <c r="A609" t="s">
        <v>1216</v>
      </c>
      <c r="B609" t="s">
        <v>173</v>
      </c>
      <c r="D609" t="s">
        <v>2942</v>
      </c>
      <c r="E609" t="s">
        <v>108</v>
      </c>
    </row>
    <row r="610" spans="1:13" x14ac:dyDescent="0.25">
      <c r="A610" t="s">
        <v>1220</v>
      </c>
      <c r="B610" t="s">
        <v>77</v>
      </c>
    </row>
    <row r="611" spans="1:13" x14ac:dyDescent="0.25">
      <c r="A611" t="s">
        <v>1221</v>
      </c>
      <c r="B611" t="s">
        <v>173</v>
      </c>
    </row>
    <row r="612" spans="1:13" x14ac:dyDescent="0.25">
      <c r="A612" t="s">
        <v>1222</v>
      </c>
      <c r="B612" t="s">
        <v>341</v>
      </c>
    </row>
    <row r="613" spans="1:13" x14ac:dyDescent="0.25">
      <c r="A613" t="s">
        <v>1223</v>
      </c>
      <c r="B613" t="s">
        <v>173</v>
      </c>
      <c r="D613" t="s">
        <v>644</v>
      </c>
      <c r="M613">
        <v>1</v>
      </c>
    </row>
    <row r="614" spans="1:13" x14ac:dyDescent="0.25">
      <c r="A614" t="s">
        <v>1228</v>
      </c>
      <c r="B614" t="s">
        <v>20</v>
      </c>
    </row>
    <row r="615" spans="1:13" x14ac:dyDescent="0.25">
      <c r="A615" t="s">
        <v>1243</v>
      </c>
      <c r="B615" t="s">
        <v>87</v>
      </c>
    </row>
    <row r="616" spans="1:13" x14ac:dyDescent="0.25">
      <c r="A616" t="s">
        <v>1244</v>
      </c>
      <c r="B616" t="s">
        <v>173</v>
      </c>
      <c r="D616" t="s">
        <v>2913</v>
      </c>
      <c r="E616" t="s">
        <v>106</v>
      </c>
    </row>
    <row r="617" spans="1:13" x14ac:dyDescent="0.25">
      <c r="A617" t="s">
        <v>125</v>
      </c>
      <c r="B617" t="s">
        <v>173</v>
      </c>
      <c r="D617" t="s">
        <v>2941</v>
      </c>
      <c r="E617" t="s">
        <v>106</v>
      </c>
    </row>
    <row r="618" spans="1:13" x14ac:dyDescent="0.25">
      <c r="A618" t="s">
        <v>1245</v>
      </c>
      <c r="B618" t="s">
        <v>95</v>
      </c>
    </row>
    <row r="619" spans="1:13" x14ac:dyDescent="0.25">
      <c r="A619" t="s">
        <v>1246</v>
      </c>
      <c r="B619" t="s">
        <v>173</v>
      </c>
      <c r="D619" t="s">
        <v>1246</v>
      </c>
    </row>
    <row r="620" spans="1:13" x14ac:dyDescent="0.25">
      <c r="A620" t="s">
        <v>1248</v>
      </c>
      <c r="B620" t="s">
        <v>173</v>
      </c>
    </row>
    <row r="621" spans="1:13" x14ac:dyDescent="0.25">
      <c r="A621" t="s">
        <v>1249</v>
      </c>
      <c r="B621" t="s">
        <v>341</v>
      </c>
    </row>
    <row r="622" spans="1:13" x14ac:dyDescent="0.25">
      <c r="A622" t="s">
        <v>1250</v>
      </c>
      <c r="B622" t="s">
        <v>341</v>
      </c>
    </row>
    <row r="623" spans="1:13" x14ac:dyDescent="0.25">
      <c r="A623" t="s">
        <v>989</v>
      </c>
      <c r="B623" t="s">
        <v>87</v>
      </c>
    </row>
    <row r="624" spans="1:13" x14ac:dyDescent="0.25">
      <c r="A624" t="s">
        <v>1251</v>
      </c>
      <c r="B624" t="s">
        <v>95</v>
      </c>
    </row>
    <row r="625" spans="1:13" x14ac:dyDescent="0.25">
      <c r="A625" t="s">
        <v>1253</v>
      </c>
      <c r="B625" t="s">
        <v>16</v>
      </c>
      <c r="D625" t="s">
        <v>1253</v>
      </c>
    </row>
    <row r="626" spans="1:13" x14ac:dyDescent="0.25">
      <c r="A626" t="s">
        <v>92</v>
      </c>
      <c r="B626" t="s">
        <v>87</v>
      </c>
      <c r="D626" t="s">
        <v>92</v>
      </c>
    </row>
    <row r="627" spans="1:13" x14ac:dyDescent="0.25">
      <c r="A627" t="s">
        <v>1255</v>
      </c>
    </row>
    <row r="628" spans="1:13" x14ac:dyDescent="0.25">
      <c r="A628" t="s">
        <v>1256</v>
      </c>
    </row>
    <row r="629" spans="1:13" x14ac:dyDescent="0.25">
      <c r="A629" t="s">
        <v>1258</v>
      </c>
      <c r="B629" t="s">
        <v>173</v>
      </c>
      <c r="D629" t="s">
        <v>146</v>
      </c>
      <c r="M629">
        <v>1</v>
      </c>
    </row>
    <row r="630" spans="1:13" x14ac:dyDescent="0.25">
      <c r="A630" t="s">
        <v>1259</v>
      </c>
      <c r="B630" t="s">
        <v>87</v>
      </c>
    </row>
    <row r="631" spans="1:13" x14ac:dyDescent="0.25">
      <c r="A631" t="s">
        <v>1265</v>
      </c>
      <c r="B631" t="s">
        <v>341</v>
      </c>
    </row>
    <row r="632" spans="1:13" x14ac:dyDescent="0.25">
      <c r="A632" t="s">
        <v>1266</v>
      </c>
      <c r="B632" t="s">
        <v>341</v>
      </c>
    </row>
    <row r="633" spans="1:13" x14ac:dyDescent="0.25">
      <c r="A633" t="s">
        <v>1278</v>
      </c>
      <c r="B633" t="s">
        <v>48</v>
      </c>
      <c r="D633" t="s">
        <v>1278</v>
      </c>
    </row>
    <row r="634" spans="1:13" x14ac:dyDescent="0.25">
      <c r="A634" t="s">
        <v>1279</v>
      </c>
      <c r="B634" t="s">
        <v>173</v>
      </c>
    </row>
    <row r="635" spans="1:13" x14ac:dyDescent="0.25">
      <c r="A635" t="s">
        <v>1280</v>
      </c>
      <c r="B635" t="s">
        <v>48</v>
      </c>
      <c r="D635" t="s">
        <v>1280</v>
      </c>
    </row>
    <row r="636" spans="1:13" x14ac:dyDescent="0.25">
      <c r="A636" t="s">
        <v>1285</v>
      </c>
      <c r="B636" t="s">
        <v>77</v>
      </c>
    </row>
    <row r="637" spans="1:13" x14ac:dyDescent="0.25">
      <c r="A637" t="s">
        <v>1286</v>
      </c>
      <c r="B637" t="s">
        <v>341</v>
      </c>
    </row>
    <row r="638" spans="1:13" x14ac:dyDescent="0.25">
      <c r="A638" t="s">
        <v>1287</v>
      </c>
      <c r="B638" t="s">
        <v>87</v>
      </c>
    </row>
    <row r="639" spans="1:13" x14ac:dyDescent="0.25">
      <c r="A639" t="s">
        <v>1288</v>
      </c>
      <c r="B639" t="s">
        <v>87</v>
      </c>
    </row>
    <row r="640" spans="1:13" x14ac:dyDescent="0.25">
      <c r="A640" t="s">
        <v>1290</v>
      </c>
      <c r="B640" t="s">
        <v>20</v>
      </c>
    </row>
    <row r="641" spans="1:8" x14ac:dyDescent="0.25">
      <c r="A641" t="s">
        <v>1299</v>
      </c>
      <c r="B641" t="s">
        <v>16</v>
      </c>
    </row>
    <row r="642" spans="1:8" x14ac:dyDescent="0.25">
      <c r="A642" t="s">
        <v>1303</v>
      </c>
      <c r="B642" t="s">
        <v>341</v>
      </c>
    </row>
    <row r="643" spans="1:8" x14ac:dyDescent="0.25">
      <c r="A643" t="s">
        <v>1312</v>
      </c>
      <c r="B643" t="s">
        <v>77</v>
      </c>
    </row>
    <row r="644" spans="1:8" x14ac:dyDescent="0.25">
      <c r="A644" t="s">
        <v>1191</v>
      </c>
      <c r="B644" t="s">
        <v>87</v>
      </c>
    </row>
    <row r="645" spans="1:8" x14ac:dyDescent="0.25">
      <c r="A645" t="s">
        <v>1319</v>
      </c>
      <c r="B645" t="s">
        <v>173</v>
      </c>
    </row>
    <row r="646" spans="1:8" x14ac:dyDescent="0.25">
      <c r="A646" t="s">
        <v>1320</v>
      </c>
      <c r="B646" t="s">
        <v>173</v>
      </c>
    </row>
    <row r="647" spans="1:8" x14ac:dyDescent="0.25">
      <c r="A647" t="s">
        <v>1321</v>
      </c>
      <c r="B647" t="s">
        <v>87</v>
      </c>
    </row>
    <row r="648" spans="1:8" x14ac:dyDescent="0.25">
      <c r="A648" t="s">
        <v>1326</v>
      </c>
      <c r="B648" t="s">
        <v>173</v>
      </c>
    </row>
    <row r="649" spans="1:8" x14ac:dyDescent="0.25">
      <c r="A649" t="s">
        <v>1327</v>
      </c>
      <c r="B649" t="s">
        <v>173</v>
      </c>
    </row>
    <row r="650" spans="1:8" x14ac:dyDescent="0.25">
      <c r="A650" t="s">
        <v>1328</v>
      </c>
      <c r="B650" t="s">
        <v>46</v>
      </c>
    </row>
    <row r="651" spans="1:8" x14ac:dyDescent="0.25">
      <c r="A651" t="s">
        <v>1329</v>
      </c>
      <c r="B651" t="s">
        <v>173</v>
      </c>
    </row>
    <row r="652" spans="1:8" x14ac:dyDescent="0.25">
      <c r="A652" t="s">
        <v>1339</v>
      </c>
      <c r="B652" t="s">
        <v>341</v>
      </c>
    </row>
    <row r="653" spans="1:8" x14ac:dyDescent="0.25">
      <c r="A653" t="s">
        <v>1340</v>
      </c>
      <c r="B653" t="s">
        <v>87</v>
      </c>
    </row>
    <row r="654" spans="1:8" x14ac:dyDescent="0.25">
      <c r="A654" t="s">
        <v>521</v>
      </c>
      <c r="B654" t="s">
        <v>341</v>
      </c>
    </row>
    <row r="655" spans="1:8" x14ac:dyDescent="0.25">
      <c r="A655" t="s">
        <v>1341</v>
      </c>
      <c r="B655" t="s">
        <v>95</v>
      </c>
      <c r="D655" t="s">
        <v>75</v>
      </c>
      <c r="F655" t="s">
        <v>2940</v>
      </c>
      <c r="G655" t="s">
        <v>77</v>
      </c>
      <c r="H655" t="s">
        <v>2939</v>
      </c>
    </row>
    <row r="656" spans="1:8" x14ac:dyDescent="0.25">
      <c r="A656" t="s">
        <v>1342</v>
      </c>
      <c r="B656" t="s">
        <v>341</v>
      </c>
    </row>
    <row r="657" spans="1:13" x14ac:dyDescent="0.25">
      <c r="A657" t="s">
        <v>1353</v>
      </c>
      <c r="B657" t="s">
        <v>341</v>
      </c>
    </row>
    <row r="658" spans="1:13" x14ac:dyDescent="0.25">
      <c r="A658" t="s">
        <v>1354</v>
      </c>
      <c r="B658" t="s">
        <v>95</v>
      </c>
      <c r="D658" t="s">
        <v>75</v>
      </c>
      <c r="F658" t="s">
        <v>2938</v>
      </c>
      <c r="G658" t="s">
        <v>77</v>
      </c>
      <c r="H658" t="s">
        <v>2937</v>
      </c>
    </row>
    <row r="659" spans="1:13" x14ac:dyDescent="0.25">
      <c r="A659" t="s">
        <v>1355</v>
      </c>
      <c r="B659" t="s">
        <v>87</v>
      </c>
    </row>
    <row r="660" spans="1:13" x14ac:dyDescent="0.25">
      <c r="A660" t="s">
        <v>1356</v>
      </c>
      <c r="B660" t="s">
        <v>87</v>
      </c>
    </row>
    <row r="661" spans="1:13" x14ac:dyDescent="0.25">
      <c r="A661" t="s">
        <v>1357</v>
      </c>
      <c r="B661" t="s">
        <v>87</v>
      </c>
    </row>
    <row r="662" spans="1:13" x14ac:dyDescent="0.25">
      <c r="A662" t="s">
        <v>1358</v>
      </c>
      <c r="B662" t="s">
        <v>341</v>
      </c>
    </row>
    <row r="663" spans="1:13" x14ac:dyDescent="0.25">
      <c r="A663" t="s">
        <v>1359</v>
      </c>
      <c r="B663" t="s">
        <v>341</v>
      </c>
    </row>
    <row r="664" spans="1:13" x14ac:dyDescent="0.25">
      <c r="A664" t="s">
        <v>1360</v>
      </c>
      <c r="B664" t="s">
        <v>87</v>
      </c>
    </row>
    <row r="665" spans="1:13" x14ac:dyDescent="0.25">
      <c r="A665" t="s">
        <v>1369</v>
      </c>
      <c r="B665" t="s">
        <v>95</v>
      </c>
      <c r="C665" t="s">
        <v>2936</v>
      </c>
      <c r="D665" t="s">
        <v>2935</v>
      </c>
    </row>
    <row r="666" spans="1:13" x14ac:dyDescent="0.25">
      <c r="A666" t="s">
        <v>1370</v>
      </c>
      <c r="B666" t="s">
        <v>173</v>
      </c>
      <c r="D666" t="s">
        <v>1630</v>
      </c>
      <c r="E666" t="s">
        <v>106</v>
      </c>
      <c r="M666">
        <v>1</v>
      </c>
    </row>
    <row r="667" spans="1:13" x14ac:dyDescent="0.25">
      <c r="A667" t="s">
        <v>1371</v>
      </c>
      <c r="B667" t="s">
        <v>173</v>
      </c>
      <c r="D667" t="s">
        <v>1630</v>
      </c>
      <c r="E667" t="s">
        <v>108</v>
      </c>
      <c r="M667">
        <v>1</v>
      </c>
    </row>
    <row r="668" spans="1:13" x14ac:dyDescent="0.25">
      <c r="A668" t="s">
        <v>1372</v>
      </c>
      <c r="B668" t="s">
        <v>341</v>
      </c>
    </row>
    <row r="669" spans="1:13" x14ac:dyDescent="0.25">
      <c r="A669" t="s">
        <v>1373</v>
      </c>
      <c r="B669" t="s">
        <v>173</v>
      </c>
      <c r="D669" t="s">
        <v>1373</v>
      </c>
    </row>
    <row r="670" spans="1:13" x14ac:dyDescent="0.25">
      <c r="A670" t="s">
        <v>1374</v>
      </c>
      <c r="B670" t="s">
        <v>87</v>
      </c>
    </row>
    <row r="671" spans="1:13" x14ac:dyDescent="0.25">
      <c r="A671" t="s">
        <v>1377</v>
      </c>
      <c r="B671" t="s">
        <v>95</v>
      </c>
    </row>
    <row r="672" spans="1:13" x14ac:dyDescent="0.25">
      <c r="A672" t="s">
        <v>1378</v>
      </c>
      <c r="B672" t="s">
        <v>341</v>
      </c>
    </row>
    <row r="673" spans="1:2" x14ac:dyDescent="0.25">
      <c r="A673" t="s">
        <v>1384</v>
      </c>
      <c r="B673" t="s">
        <v>341</v>
      </c>
    </row>
    <row r="674" spans="1:2" x14ac:dyDescent="0.25">
      <c r="A674" t="s">
        <v>1385</v>
      </c>
      <c r="B674" t="s">
        <v>87</v>
      </c>
    </row>
    <row r="675" spans="1:2" x14ac:dyDescent="0.25">
      <c r="A675" t="s">
        <v>1386</v>
      </c>
      <c r="B675" t="s">
        <v>341</v>
      </c>
    </row>
    <row r="676" spans="1:2" x14ac:dyDescent="0.25">
      <c r="A676" t="s">
        <v>1387</v>
      </c>
      <c r="B676" t="s">
        <v>173</v>
      </c>
    </row>
    <row r="677" spans="1:2" x14ac:dyDescent="0.25">
      <c r="A677" t="s">
        <v>1285</v>
      </c>
      <c r="B677" t="s">
        <v>173</v>
      </c>
    </row>
    <row r="678" spans="1:2" x14ac:dyDescent="0.25">
      <c r="A678" t="s">
        <v>1388</v>
      </c>
      <c r="B678" t="s">
        <v>87</v>
      </c>
    </row>
    <row r="679" spans="1:2" x14ac:dyDescent="0.25">
      <c r="A679" t="s">
        <v>1400</v>
      </c>
      <c r="B679" t="s">
        <v>173</v>
      </c>
    </row>
    <row r="680" spans="1:2" x14ac:dyDescent="0.25">
      <c r="A680" t="s">
        <v>1407</v>
      </c>
      <c r="B680" t="s">
        <v>214</v>
      </c>
    </row>
    <row r="681" spans="1:2" x14ac:dyDescent="0.25">
      <c r="A681" t="s">
        <v>1408</v>
      </c>
      <c r="B681" t="s">
        <v>87</v>
      </c>
    </row>
    <row r="682" spans="1:2" x14ac:dyDescent="0.25">
      <c r="A682" t="s">
        <v>1409</v>
      </c>
      <c r="B682" t="s">
        <v>87</v>
      </c>
    </row>
    <row r="683" spans="1:2" x14ac:dyDescent="0.25">
      <c r="A683" t="s">
        <v>1410</v>
      </c>
      <c r="B683" t="s">
        <v>87</v>
      </c>
    </row>
    <row r="684" spans="1:2" x14ac:dyDescent="0.25">
      <c r="A684" t="s">
        <v>1411</v>
      </c>
      <c r="B684" t="s">
        <v>95</v>
      </c>
    </row>
    <row r="685" spans="1:2" x14ac:dyDescent="0.25">
      <c r="A685" t="s">
        <v>1412</v>
      </c>
      <c r="B685" t="s">
        <v>87</v>
      </c>
    </row>
    <row r="686" spans="1:2" x14ac:dyDescent="0.25">
      <c r="A686" t="s">
        <v>1413</v>
      </c>
      <c r="B686" t="s">
        <v>46</v>
      </c>
    </row>
    <row r="687" spans="1:2" x14ac:dyDescent="0.25">
      <c r="A687" t="s">
        <v>943</v>
      </c>
      <c r="B687" t="s">
        <v>20</v>
      </c>
    </row>
    <row r="688" spans="1:2" x14ac:dyDescent="0.25">
      <c r="A688" t="s">
        <v>1414</v>
      </c>
      <c r="B688" t="s">
        <v>87</v>
      </c>
    </row>
    <row r="689" spans="1:8" x14ac:dyDescent="0.25">
      <c r="A689" t="s">
        <v>1415</v>
      </c>
      <c r="B689" t="s">
        <v>87</v>
      </c>
    </row>
    <row r="690" spans="1:8" x14ac:dyDescent="0.25">
      <c r="A690" t="s">
        <v>1423</v>
      </c>
      <c r="B690" t="s">
        <v>87</v>
      </c>
    </row>
    <row r="691" spans="1:8" x14ac:dyDescent="0.25">
      <c r="A691" t="s">
        <v>156</v>
      </c>
      <c r="B691" t="s">
        <v>95</v>
      </c>
      <c r="D691" t="s">
        <v>156</v>
      </c>
    </row>
    <row r="692" spans="1:8" x14ac:dyDescent="0.25">
      <c r="A692" t="s">
        <v>144</v>
      </c>
      <c r="B692" t="s">
        <v>46</v>
      </c>
      <c r="D692" t="s">
        <v>1630</v>
      </c>
      <c r="E692" t="s">
        <v>1136</v>
      </c>
    </row>
    <row r="693" spans="1:8" x14ac:dyDescent="0.25">
      <c r="A693" t="s">
        <v>1431</v>
      </c>
      <c r="B693" t="s">
        <v>173</v>
      </c>
    </row>
    <row r="694" spans="1:8" x14ac:dyDescent="0.25">
      <c r="A694" t="s">
        <v>1442</v>
      </c>
      <c r="B694" t="s">
        <v>341</v>
      </c>
    </row>
    <row r="695" spans="1:8" x14ac:dyDescent="0.25">
      <c r="A695" t="s">
        <v>1443</v>
      </c>
      <c r="B695" t="s">
        <v>95</v>
      </c>
      <c r="D695" t="s">
        <v>75</v>
      </c>
      <c r="F695" t="s">
        <v>2934</v>
      </c>
      <c r="G695" t="s">
        <v>77</v>
      </c>
      <c r="H695" t="s">
        <v>2933</v>
      </c>
    </row>
    <row r="696" spans="1:8" x14ac:dyDescent="0.25">
      <c r="A696" t="s">
        <v>1445</v>
      </c>
      <c r="B696" t="s">
        <v>95</v>
      </c>
      <c r="D696" t="s">
        <v>75</v>
      </c>
      <c r="F696" t="s">
        <v>2932</v>
      </c>
      <c r="G696" t="s">
        <v>77</v>
      </c>
      <c r="H696" t="s">
        <v>2931</v>
      </c>
    </row>
    <row r="697" spans="1:8" x14ac:dyDescent="0.25">
      <c r="A697" t="s">
        <v>1446</v>
      </c>
      <c r="B697" t="s">
        <v>341</v>
      </c>
    </row>
    <row r="698" spans="1:8" x14ac:dyDescent="0.25">
      <c r="A698" t="s">
        <v>1451</v>
      </c>
      <c r="B698" t="s">
        <v>95</v>
      </c>
      <c r="D698" t="s">
        <v>75</v>
      </c>
      <c r="F698" t="s">
        <v>2930</v>
      </c>
      <c r="G698" t="s">
        <v>77</v>
      </c>
      <c r="H698" t="s">
        <v>2929</v>
      </c>
    </row>
    <row r="699" spans="1:8" x14ac:dyDescent="0.25">
      <c r="A699" t="s">
        <v>1452</v>
      </c>
      <c r="B699" t="s">
        <v>87</v>
      </c>
    </row>
    <row r="700" spans="1:8" x14ac:dyDescent="0.25">
      <c r="A700" t="s">
        <v>1453</v>
      </c>
      <c r="B700" t="s">
        <v>87</v>
      </c>
    </row>
    <row r="701" spans="1:8" x14ac:dyDescent="0.25">
      <c r="A701" t="s">
        <v>1454</v>
      </c>
      <c r="B701" t="s">
        <v>87</v>
      </c>
    </row>
    <row r="702" spans="1:8" x14ac:dyDescent="0.25">
      <c r="A702" t="s">
        <v>1455</v>
      </c>
      <c r="B702" t="s">
        <v>341</v>
      </c>
    </row>
    <row r="703" spans="1:8" x14ac:dyDescent="0.25">
      <c r="A703" t="s">
        <v>1456</v>
      </c>
      <c r="B703" t="s">
        <v>341</v>
      </c>
    </row>
    <row r="704" spans="1:8" x14ac:dyDescent="0.25">
      <c r="A704" t="s">
        <v>1457</v>
      </c>
      <c r="B704" t="s">
        <v>341</v>
      </c>
    </row>
    <row r="705" spans="1:2" x14ac:dyDescent="0.25">
      <c r="A705" t="s">
        <v>1458</v>
      </c>
      <c r="B705" t="s">
        <v>87</v>
      </c>
    </row>
    <row r="706" spans="1:2" x14ac:dyDescent="0.25">
      <c r="A706" t="s">
        <v>1459</v>
      </c>
      <c r="B706" t="s">
        <v>87</v>
      </c>
    </row>
    <row r="707" spans="1:2" x14ac:dyDescent="0.25">
      <c r="A707" t="s">
        <v>1462</v>
      </c>
      <c r="B707" t="s">
        <v>87</v>
      </c>
    </row>
    <row r="708" spans="1:2" x14ac:dyDescent="0.25">
      <c r="A708" t="s">
        <v>1463</v>
      </c>
      <c r="B708" t="s">
        <v>467</v>
      </c>
    </row>
    <row r="709" spans="1:2" x14ac:dyDescent="0.25">
      <c r="A709" t="s">
        <v>1464</v>
      </c>
      <c r="B709" t="s">
        <v>467</v>
      </c>
    </row>
    <row r="710" spans="1:2" x14ac:dyDescent="0.25">
      <c r="A710" t="s">
        <v>1465</v>
      </c>
      <c r="B710" t="s">
        <v>87</v>
      </c>
    </row>
    <row r="711" spans="1:2" x14ac:dyDescent="0.25">
      <c r="A711" t="s">
        <v>1466</v>
      </c>
      <c r="B711" t="s">
        <v>87</v>
      </c>
    </row>
    <row r="712" spans="1:2" x14ac:dyDescent="0.25">
      <c r="A712" t="s">
        <v>1467</v>
      </c>
      <c r="B712" t="s">
        <v>87</v>
      </c>
    </row>
    <row r="713" spans="1:2" x14ac:dyDescent="0.25">
      <c r="A713" t="s">
        <v>1468</v>
      </c>
      <c r="B713" t="s">
        <v>87</v>
      </c>
    </row>
    <row r="714" spans="1:2" x14ac:dyDescent="0.25">
      <c r="A714" t="s">
        <v>1469</v>
      </c>
      <c r="B714" t="s">
        <v>341</v>
      </c>
    </row>
    <row r="715" spans="1:2" x14ac:dyDescent="0.25">
      <c r="A715" t="s">
        <v>1487</v>
      </c>
      <c r="B715" t="s">
        <v>341</v>
      </c>
    </row>
    <row r="716" spans="1:2" x14ac:dyDescent="0.25">
      <c r="A716" t="s">
        <v>1488</v>
      </c>
      <c r="B716" t="s">
        <v>87</v>
      </c>
    </row>
    <row r="717" spans="1:2" x14ac:dyDescent="0.25">
      <c r="A717" t="s">
        <v>1489</v>
      </c>
      <c r="B717" t="s">
        <v>341</v>
      </c>
    </row>
    <row r="718" spans="1:2" x14ac:dyDescent="0.25">
      <c r="A718" t="s">
        <v>1490</v>
      </c>
      <c r="B718" t="s">
        <v>87</v>
      </c>
    </row>
    <row r="719" spans="1:2" x14ac:dyDescent="0.25">
      <c r="A719" t="s">
        <v>1491</v>
      </c>
      <c r="B719" t="s">
        <v>87</v>
      </c>
    </row>
    <row r="720" spans="1:2" x14ac:dyDescent="0.25">
      <c r="A720" t="s">
        <v>1492</v>
      </c>
      <c r="B720" t="s">
        <v>341</v>
      </c>
    </row>
    <row r="721" spans="1:8" x14ac:dyDescent="0.25">
      <c r="A721" t="s">
        <v>1495</v>
      </c>
      <c r="B721" t="s">
        <v>173</v>
      </c>
    </row>
    <row r="722" spans="1:8" x14ac:dyDescent="0.25">
      <c r="A722" t="s">
        <v>1496</v>
      </c>
      <c r="B722" t="s">
        <v>87</v>
      </c>
    </row>
    <row r="723" spans="1:8" x14ac:dyDescent="0.25">
      <c r="A723" t="s">
        <v>1497</v>
      </c>
      <c r="B723" t="s">
        <v>87</v>
      </c>
    </row>
    <row r="724" spans="1:8" x14ac:dyDescent="0.25">
      <c r="A724" t="s">
        <v>1498</v>
      </c>
      <c r="B724" t="s">
        <v>87</v>
      </c>
    </row>
    <row r="725" spans="1:8" x14ac:dyDescent="0.25">
      <c r="A725" t="s">
        <v>1508</v>
      </c>
      <c r="B725" t="s">
        <v>341</v>
      </c>
    </row>
    <row r="726" spans="1:8" x14ac:dyDescent="0.25">
      <c r="A726" t="s">
        <v>902</v>
      </c>
      <c r="B726" t="s">
        <v>16</v>
      </c>
      <c r="D726" t="s">
        <v>2928</v>
      </c>
      <c r="E726" t="s">
        <v>106</v>
      </c>
    </row>
    <row r="727" spans="1:8" x14ac:dyDescent="0.25">
      <c r="A727" t="s">
        <v>1509</v>
      </c>
      <c r="B727" t="s">
        <v>87</v>
      </c>
    </row>
    <row r="728" spans="1:8" x14ac:dyDescent="0.25">
      <c r="A728" t="s">
        <v>1510</v>
      </c>
      <c r="B728" t="s">
        <v>87</v>
      </c>
    </row>
    <row r="729" spans="1:8" x14ac:dyDescent="0.25">
      <c r="A729" t="s">
        <v>1511</v>
      </c>
      <c r="B729" t="s">
        <v>87</v>
      </c>
    </row>
    <row r="730" spans="1:8" x14ac:dyDescent="0.25">
      <c r="A730" t="s">
        <v>1512</v>
      </c>
      <c r="B730" t="s">
        <v>87</v>
      </c>
    </row>
    <row r="731" spans="1:8" x14ac:dyDescent="0.25">
      <c r="A731" t="s">
        <v>1519</v>
      </c>
      <c r="B731" t="s">
        <v>16</v>
      </c>
    </row>
    <row r="732" spans="1:8" x14ac:dyDescent="0.25">
      <c r="A732" t="s">
        <v>1520</v>
      </c>
      <c r="B732" t="s">
        <v>48</v>
      </c>
    </row>
    <row r="733" spans="1:8" x14ac:dyDescent="0.25">
      <c r="A733" t="s">
        <v>1520</v>
      </c>
      <c r="B733" t="s">
        <v>173</v>
      </c>
    </row>
    <row r="734" spans="1:8" x14ac:dyDescent="0.25">
      <c r="A734" t="s">
        <v>1522</v>
      </c>
      <c r="B734" t="s">
        <v>95</v>
      </c>
      <c r="D734" t="s">
        <v>75</v>
      </c>
      <c r="F734" t="s">
        <v>2927</v>
      </c>
      <c r="G734" t="s">
        <v>77</v>
      </c>
      <c r="H734">
        <v>50.4</v>
      </c>
    </row>
    <row r="735" spans="1:8" x14ac:dyDescent="0.25">
      <c r="A735" t="s">
        <v>1523</v>
      </c>
      <c r="B735" t="s">
        <v>173</v>
      </c>
      <c r="C735" t="s">
        <v>85</v>
      </c>
      <c r="D735" t="s">
        <v>90</v>
      </c>
    </row>
    <row r="736" spans="1:8" x14ac:dyDescent="0.25">
      <c r="A736" t="s">
        <v>905</v>
      </c>
      <c r="B736" t="s">
        <v>173</v>
      </c>
      <c r="D736" t="s">
        <v>75</v>
      </c>
      <c r="F736" t="s">
        <v>2926</v>
      </c>
      <c r="G736" t="s">
        <v>77</v>
      </c>
      <c r="H736">
        <v>54</v>
      </c>
    </row>
    <row r="737" spans="1:4" x14ac:dyDescent="0.25">
      <c r="A737" t="s">
        <v>240</v>
      </c>
      <c r="B737" t="s">
        <v>173</v>
      </c>
      <c r="C737" t="s">
        <v>85</v>
      </c>
      <c r="D737" t="s">
        <v>89</v>
      </c>
    </row>
    <row r="738" spans="1:4" x14ac:dyDescent="0.25">
      <c r="A738" t="s">
        <v>1525</v>
      </c>
    </row>
    <row r="739" spans="1:4" x14ac:dyDescent="0.25">
      <c r="A739" t="s">
        <v>1526</v>
      </c>
    </row>
    <row r="740" spans="1:4" x14ac:dyDescent="0.25">
      <c r="A740" t="s">
        <v>1527</v>
      </c>
      <c r="B740" t="s">
        <v>16</v>
      </c>
      <c r="D740" t="s">
        <v>1527</v>
      </c>
    </row>
    <row r="741" spans="1:4" x14ac:dyDescent="0.25">
      <c r="A741" t="s">
        <v>1528</v>
      </c>
    </row>
    <row r="742" spans="1:4" x14ac:dyDescent="0.25">
      <c r="A742" t="s">
        <v>1530</v>
      </c>
    </row>
    <row r="743" spans="1:4" x14ac:dyDescent="0.25">
      <c r="A743" t="s">
        <v>1531</v>
      </c>
    </row>
    <row r="744" spans="1:4" x14ac:dyDescent="0.25">
      <c r="A744" t="s">
        <v>1532</v>
      </c>
      <c r="B744" t="s">
        <v>87</v>
      </c>
    </row>
    <row r="745" spans="1:4" x14ac:dyDescent="0.25">
      <c r="A745" t="s">
        <v>1547</v>
      </c>
      <c r="B745" t="s">
        <v>87</v>
      </c>
    </row>
    <row r="746" spans="1:4" x14ac:dyDescent="0.25">
      <c r="A746" t="s">
        <v>1548</v>
      </c>
      <c r="B746" t="s">
        <v>87</v>
      </c>
    </row>
    <row r="747" spans="1:4" x14ac:dyDescent="0.25">
      <c r="A747" t="s">
        <v>1549</v>
      </c>
      <c r="B747" t="s">
        <v>87</v>
      </c>
    </row>
    <row r="748" spans="1:4" x14ac:dyDescent="0.25">
      <c r="A748" t="s">
        <v>1550</v>
      </c>
      <c r="B748" t="s">
        <v>87</v>
      </c>
    </row>
    <row r="749" spans="1:4" x14ac:dyDescent="0.25">
      <c r="A749" t="s">
        <v>1551</v>
      </c>
      <c r="B749" t="s">
        <v>87</v>
      </c>
    </row>
    <row r="750" spans="1:4" x14ac:dyDescent="0.25">
      <c r="A750" t="s">
        <v>1552</v>
      </c>
      <c r="B750" t="s">
        <v>87</v>
      </c>
    </row>
    <row r="751" spans="1:4" x14ac:dyDescent="0.25">
      <c r="A751" t="s">
        <v>1553</v>
      </c>
      <c r="B751" t="s">
        <v>87</v>
      </c>
    </row>
    <row r="752" spans="1:4" x14ac:dyDescent="0.25">
      <c r="A752" t="s">
        <v>1554</v>
      </c>
      <c r="B752" t="s">
        <v>87</v>
      </c>
    </row>
    <row r="753" spans="1:5" x14ac:dyDescent="0.25">
      <c r="A753" t="s">
        <v>1556</v>
      </c>
      <c r="B753" t="s">
        <v>87</v>
      </c>
    </row>
    <row r="754" spans="1:5" x14ac:dyDescent="0.25">
      <c r="A754" t="s">
        <v>1557</v>
      </c>
      <c r="B754" t="s">
        <v>87</v>
      </c>
    </row>
    <row r="755" spans="1:5" x14ac:dyDescent="0.25">
      <c r="A755" t="s">
        <v>1558</v>
      </c>
      <c r="B755" t="s">
        <v>87</v>
      </c>
    </row>
    <row r="756" spans="1:5" x14ac:dyDescent="0.25">
      <c r="A756" t="s">
        <v>1559</v>
      </c>
      <c r="B756" t="s">
        <v>173</v>
      </c>
      <c r="D756" t="s">
        <v>1559</v>
      </c>
    </row>
    <row r="757" spans="1:5" x14ac:dyDescent="0.25">
      <c r="A757" t="s">
        <v>1562</v>
      </c>
      <c r="B757" t="s">
        <v>173</v>
      </c>
      <c r="D757" t="s">
        <v>1562</v>
      </c>
    </row>
    <row r="758" spans="1:5" x14ac:dyDescent="0.25">
      <c r="A758" t="s">
        <v>1563</v>
      </c>
      <c r="B758" t="s">
        <v>173</v>
      </c>
      <c r="D758" t="s">
        <v>2925</v>
      </c>
      <c r="E758" t="s">
        <v>108</v>
      </c>
    </row>
    <row r="759" spans="1:5" x14ac:dyDescent="0.25">
      <c r="A759" t="s">
        <v>1564</v>
      </c>
      <c r="B759" t="s">
        <v>341</v>
      </c>
    </row>
    <row r="760" spans="1:5" x14ac:dyDescent="0.25">
      <c r="A760" t="s">
        <v>1565</v>
      </c>
      <c r="B760" t="s">
        <v>341</v>
      </c>
    </row>
    <row r="761" spans="1:5" x14ac:dyDescent="0.25">
      <c r="A761" t="s">
        <v>1566</v>
      </c>
      <c r="B761" t="s">
        <v>77</v>
      </c>
    </row>
    <row r="762" spans="1:5" x14ac:dyDescent="0.25">
      <c r="A762" t="s">
        <v>516</v>
      </c>
      <c r="B762" t="s">
        <v>341</v>
      </c>
    </row>
    <row r="763" spans="1:5" x14ac:dyDescent="0.25">
      <c r="A763" t="s">
        <v>1569</v>
      </c>
      <c r="B763" t="s">
        <v>87</v>
      </c>
    </row>
    <row r="764" spans="1:5" x14ac:dyDescent="0.25">
      <c r="A764" t="s">
        <v>1570</v>
      </c>
      <c r="B764" t="s">
        <v>87</v>
      </c>
    </row>
    <row r="765" spans="1:5" x14ac:dyDescent="0.25">
      <c r="A765" t="s">
        <v>1588</v>
      </c>
      <c r="B765" t="s">
        <v>87</v>
      </c>
    </row>
    <row r="766" spans="1:5" x14ac:dyDescent="0.25">
      <c r="A766" t="s">
        <v>1589</v>
      </c>
      <c r="B766" t="s">
        <v>46</v>
      </c>
    </row>
    <row r="767" spans="1:5" x14ac:dyDescent="0.25">
      <c r="A767" t="s">
        <v>1590</v>
      </c>
      <c r="B767" t="s">
        <v>16</v>
      </c>
      <c r="D767" t="s">
        <v>1590</v>
      </c>
    </row>
    <row r="768" spans="1:5" x14ac:dyDescent="0.25">
      <c r="A768" t="s">
        <v>1591</v>
      </c>
      <c r="B768" t="s">
        <v>87</v>
      </c>
    </row>
    <row r="769" spans="1:8" x14ac:dyDescent="0.25">
      <c r="A769" t="s">
        <v>1303</v>
      </c>
      <c r="B769" t="s">
        <v>87</v>
      </c>
    </row>
    <row r="770" spans="1:8" x14ac:dyDescent="0.25">
      <c r="A770" t="s">
        <v>1593</v>
      </c>
      <c r="B770" t="s">
        <v>341</v>
      </c>
    </row>
    <row r="771" spans="1:8" x14ac:dyDescent="0.25">
      <c r="A771" t="s">
        <v>1595</v>
      </c>
      <c r="B771" t="s">
        <v>16</v>
      </c>
    </row>
    <row r="772" spans="1:8" x14ac:dyDescent="0.25">
      <c r="A772" t="s">
        <v>1597</v>
      </c>
      <c r="B772" t="s">
        <v>95</v>
      </c>
      <c r="D772" t="s">
        <v>75</v>
      </c>
      <c r="F772" t="s">
        <v>2924</v>
      </c>
      <c r="G772" t="s">
        <v>77</v>
      </c>
      <c r="H772" t="s">
        <v>2923</v>
      </c>
    </row>
    <row r="773" spans="1:8" x14ac:dyDescent="0.25">
      <c r="A773" t="s">
        <v>1598</v>
      </c>
      <c r="B773" t="s">
        <v>341</v>
      </c>
    </row>
    <row r="774" spans="1:8" x14ac:dyDescent="0.25">
      <c r="A774" t="s">
        <v>1603</v>
      </c>
      <c r="B774" t="s">
        <v>95</v>
      </c>
      <c r="D774" t="s">
        <v>75</v>
      </c>
      <c r="F774" t="s">
        <v>2922</v>
      </c>
      <c r="G774" t="s">
        <v>77</v>
      </c>
      <c r="H774" t="s">
        <v>2921</v>
      </c>
    </row>
    <row r="775" spans="1:8" x14ac:dyDescent="0.25">
      <c r="A775" t="s">
        <v>1604</v>
      </c>
      <c r="B775" t="s">
        <v>341</v>
      </c>
    </row>
    <row r="776" spans="1:8" x14ac:dyDescent="0.25">
      <c r="A776" t="s">
        <v>1606</v>
      </c>
      <c r="B776" t="s">
        <v>16</v>
      </c>
    </row>
    <row r="777" spans="1:8" x14ac:dyDescent="0.25">
      <c r="A777" t="s">
        <v>1607</v>
      </c>
      <c r="B777" t="s">
        <v>87</v>
      </c>
    </row>
    <row r="778" spans="1:8" x14ac:dyDescent="0.25">
      <c r="A778" t="s">
        <v>1608</v>
      </c>
      <c r="B778" t="s">
        <v>87</v>
      </c>
    </row>
    <row r="779" spans="1:8" x14ac:dyDescent="0.25">
      <c r="A779" t="s">
        <v>1609</v>
      </c>
      <c r="B779" t="s">
        <v>87</v>
      </c>
    </row>
    <row r="780" spans="1:8" x14ac:dyDescent="0.25">
      <c r="A780" t="s">
        <v>1610</v>
      </c>
      <c r="B780" t="s">
        <v>87</v>
      </c>
    </row>
    <row r="781" spans="1:8" x14ac:dyDescent="0.25">
      <c r="A781" t="s">
        <v>1611</v>
      </c>
      <c r="B781" t="s">
        <v>87</v>
      </c>
    </row>
    <row r="782" spans="1:8" x14ac:dyDescent="0.25">
      <c r="A782" t="s">
        <v>1612</v>
      </c>
      <c r="B782" t="s">
        <v>87</v>
      </c>
    </row>
    <row r="783" spans="1:8" x14ac:dyDescent="0.25">
      <c r="A783" t="s">
        <v>1613</v>
      </c>
      <c r="B783" t="s">
        <v>87</v>
      </c>
    </row>
    <row r="784" spans="1:8" x14ac:dyDescent="0.25">
      <c r="A784" t="s">
        <v>1614</v>
      </c>
      <c r="B784" t="s">
        <v>16</v>
      </c>
    </row>
    <row r="785" spans="1:4" x14ac:dyDescent="0.25">
      <c r="A785" t="s">
        <v>1615</v>
      </c>
    </row>
    <row r="786" spans="1:4" x14ac:dyDescent="0.25">
      <c r="A786" t="s">
        <v>1618</v>
      </c>
      <c r="B786" t="s">
        <v>87</v>
      </c>
    </row>
    <row r="787" spans="1:4" x14ac:dyDescent="0.25">
      <c r="A787" t="s">
        <v>1619</v>
      </c>
    </row>
    <row r="788" spans="1:4" x14ac:dyDescent="0.25">
      <c r="A788" t="s">
        <v>1622</v>
      </c>
      <c r="B788" t="s">
        <v>16</v>
      </c>
    </row>
    <row r="789" spans="1:4" x14ac:dyDescent="0.25">
      <c r="A789" t="s">
        <v>1623</v>
      </c>
      <c r="B789" t="s">
        <v>87</v>
      </c>
    </row>
    <row r="790" spans="1:4" x14ac:dyDescent="0.25">
      <c r="A790" t="s">
        <v>1624</v>
      </c>
      <c r="B790" t="s">
        <v>87</v>
      </c>
    </row>
    <row r="791" spans="1:4" x14ac:dyDescent="0.25">
      <c r="A791" t="s">
        <v>120</v>
      </c>
      <c r="B791" t="s">
        <v>173</v>
      </c>
      <c r="D791" t="s">
        <v>120</v>
      </c>
    </row>
    <row r="792" spans="1:4" x14ac:dyDescent="0.25">
      <c r="A792" t="s">
        <v>1633</v>
      </c>
      <c r="B792" t="s">
        <v>173</v>
      </c>
    </row>
    <row r="793" spans="1:4" x14ac:dyDescent="0.25">
      <c r="A793" t="s">
        <v>1634</v>
      </c>
      <c r="B793" t="s">
        <v>173</v>
      </c>
    </row>
    <row r="794" spans="1:4" x14ac:dyDescent="0.25">
      <c r="A794" t="s">
        <v>1644</v>
      </c>
      <c r="B794" t="s">
        <v>467</v>
      </c>
    </row>
    <row r="795" spans="1:4" x14ac:dyDescent="0.25">
      <c r="A795" t="s">
        <v>1645</v>
      </c>
      <c r="B795" t="s">
        <v>467</v>
      </c>
    </row>
    <row r="796" spans="1:4" x14ac:dyDescent="0.25">
      <c r="A796" t="s">
        <v>1646</v>
      </c>
      <c r="B796" t="s">
        <v>173</v>
      </c>
    </row>
    <row r="797" spans="1:4" x14ac:dyDescent="0.25">
      <c r="A797" t="s">
        <v>396</v>
      </c>
      <c r="B797" t="s">
        <v>16</v>
      </c>
      <c r="D797" t="s">
        <v>396</v>
      </c>
    </row>
    <row r="798" spans="1:4" x14ac:dyDescent="0.25">
      <c r="A798" t="s">
        <v>1649</v>
      </c>
      <c r="B798" t="s">
        <v>16</v>
      </c>
    </row>
    <row r="799" spans="1:4" x14ac:dyDescent="0.25">
      <c r="A799" t="s">
        <v>1651</v>
      </c>
      <c r="B799" t="s">
        <v>87</v>
      </c>
    </row>
    <row r="800" spans="1:4" x14ac:dyDescent="0.25">
      <c r="A800" t="s">
        <v>1652</v>
      </c>
      <c r="B800" t="s">
        <v>214</v>
      </c>
    </row>
    <row r="801" spans="1:4" x14ac:dyDescent="0.25">
      <c r="A801" t="s">
        <v>1653</v>
      </c>
      <c r="B801" t="s">
        <v>341</v>
      </c>
    </row>
    <row r="802" spans="1:4" x14ac:dyDescent="0.25">
      <c r="A802" t="s">
        <v>1654</v>
      </c>
      <c r="B802" t="s">
        <v>341</v>
      </c>
    </row>
    <row r="803" spans="1:4" x14ac:dyDescent="0.25">
      <c r="A803" t="s">
        <v>1655</v>
      </c>
      <c r="B803" t="s">
        <v>341</v>
      </c>
    </row>
    <row r="804" spans="1:4" x14ac:dyDescent="0.25">
      <c r="A804" t="s">
        <v>1659</v>
      </c>
      <c r="B804" t="s">
        <v>87</v>
      </c>
    </row>
    <row r="805" spans="1:4" x14ac:dyDescent="0.25">
      <c r="A805" t="s">
        <v>1660</v>
      </c>
      <c r="B805" t="s">
        <v>87</v>
      </c>
    </row>
    <row r="806" spans="1:4" x14ac:dyDescent="0.25">
      <c r="A806" t="s">
        <v>1661</v>
      </c>
      <c r="B806" t="s">
        <v>87</v>
      </c>
    </row>
    <row r="807" spans="1:4" x14ac:dyDescent="0.25">
      <c r="A807" t="s">
        <v>1662</v>
      </c>
      <c r="B807" t="s">
        <v>46</v>
      </c>
    </row>
    <row r="808" spans="1:4" x14ac:dyDescent="0.25">
      <c r="A808" t="s">
        <v>1663</v>
      </c>
      <c r="B808" t="s">
        <v>173</v>
      </c>
    </row>
    <row r="809" spans="1:4" x14ac:dyDescent="0.25">
      <c r="A809" t="s">
        <v>1664</v>
      </c>
      <c r="B809" t="s">
        <v>173</v>
      </c>
    </row>
    <row r="810" spans="1:4" x14ac:dyDescent="0.25">
      <c r="A810" t="s">
        <v>1665</v>
      </c>
      <c r="B810" t="s">
        <v>341</v>
      </c>
    </row>
    <row r="811" spans="1:4" x14ac:dyDescent="0.25">
      <c r="A811" t="s">
        <v>1666</v>
      </c>
      <c r="B811" t="s">
        <v>87</v>
      </c>
    </row>
    <row r="812" spans="1:4" x14ac:dyDescent="0.25">
      <c r="A812" t="s">
        <v>1670</v>
      </c>
      <c r="B812" t="s">
        <v>173</v>
      </c>
      <c r="D812" t="s">
        <v>1670</v>
      </c>
    </row>
    <row r="813" spans="1:4" x14ac:dyDescent="0.25">
      <c r="A813" t="s">
        <v>1671</v>
      </c>
      <c r="B813" t="s">
        <v>16</v>
      </c>
    </row>
    <row r="814" spans="1:4" x14ac:dyDescent="0.25">
      <c r="A814" t="s">
        <v>1672</v>
      </c>
      <c r="B814" t="s">
        <v>16</v>
      </c>
    </row>
    <row r="815" spans="1:4" x14ac:dyDescent="0.25">
      <c r="A815" t="s">
        <v>1687</v>
      </c>
      <c r="B815" t="s">
        <v>87</v>
      </c>
    </row>
    <row r="816" spans="1:4" x14ac:dyDescent="0.25">
      <c r="A816" t="s">
        <v>1688</v>
      </c>
      <c r="B816" t="s">
        <v>87</v>
      </c>
    </row>
    <row r="817" spans="1:5" x14ac:dyDescent="0.25">
      <c r="A817" t="s">
        <v>1692</v>
      </c>
      <c r="B817" t="s">
        <v>87</v>
      </c>
    </row>
    <row r="818" spans="1:5" x14ac:dyDescent="0.25">
      <c r="A818" t="s">
        <v>1695</v>
      </c>
      <c r="B818" t="s">
        <v>77</v>
      </c>
    </row>
    <row r="819" spans="1:5" x14ac:dyDescent="0.25">
      <c r="A819" t="s">
        <v>1696</v>
      </c>
      <c r="B819" t="s">
        <v>77</v>
      </c>
    </row>
    <row r="820" spans="1:5" x14ac:dyDescent="0.25">
      <c r="A820" t="s">
        <v>1697</v>
      </c>
      <c r="B820" t="s">
        <v>173</v>
      </c>
    </row>
    <row r="821" spans="1:5" x14ac:dyDescent="0.25">
      <c r="A821" t="s">
        <v>1698</v>
      </c>
      <c r="B821" t="s">
        <v>341</v>
      </c>
    </row>
    <row r="822" spans="1:5" x14ac:dyDescent="0.25">
      <c r="A822" t="s">
        <v>1699</v>
      </c>
      <c r="B822" t="s">
        <v>341</v>
      </c>
    </row>
    <row r="823" spans="1:5" x14ac:dyDescent="0.25">
      <c r="A823" t="s">
        <v>1700</v>
      </c>
      <c r="B823" t="s">
        <v>87</v>
      </c>
    </row>
    <row r="824" spans="1:5" x14ac:dyDescent="0.25">
      <c r="A824" t="s">
        <v>1701</v>
      </c>
      <c r="B824" t="s">
        <v>87</v>
      </c>
    </row>
    <row r="825" spans="1:5" x14ac:dyDescent="0.25">
      <c r="A825" t="s">
        <v>1702</v>
      </c>
      <c r="B825" t="s">
        <v>87</v>
      </c>
    </row>
    <row r="826" spans="1:5" x14ac:dyDescent="0.25">
      <c r="A826" t="s">
        <v>1703</v>
      </c>
      <c r="B826" t="s">
        <v>87</v>
      </c>
    </row>
    <row r="827" spans="1:5" x14ac:dyDescent="0.25">
      <c r="A827" t="s">
        <v>1704</v>
      </c>
      <c r="B827" t="s">
        <v>87</v>
      </c>
    </row>
    <row r="828" spans="1:5" x14ac:dyDescent="0.25">
      <c r="A828" t="s">
        <v>1705</v>
      </c>
      <c r="B828" t="s">
        <v>87</v>
      </c>
    </row>
    <row r="829" spans="1:5" x14ac:dyDescent="0.25">
      <c r="A829" t="s">
        <v>1719</v>
      </c>
      <c r="B829" t="s">
        <v>95</v>
      </c>
    </row>
    <row r="830" spans="1:5" x14ac:dyDescent="0.25">
      <c r="A830" t="s">
        <v>1720</v>
      </c>
      <c r="B830" t="s">
        <v>95</v>
      </c>
    </row>
    <row r="831" spans="1:5" x14ac:dyDescent="0.25">
      <c r="A831" t="s">
        <v>1725</v>
      </c>
      <c r="B831" t="s">
        <v>87</v>
      </c>
    </row>
    <row r="832" spans="1:5" x14ac:dyDescent="0.25">
      <c r="A832" t="s">
        <v>1733</v>
      </c>
      <c r="B832" t="s">
        <v>173</v>
      </c>
      <c r="D832" t="s">
        <v>2920</v>
      </c>
      <c r="E832" t="s">
        <v>106</v>
      </c>
    </row>
    <row r="833" spans="1:8" x14ac:dyDescent="0.25">
      <c r="A833" t="s">
        <v>1734</v>
      </c>
      <c r="B833" t="s">
        <v>173</v>
      </c>
      <c r="D833" t="s">
        <v>2920</v>
      </c>
      <c r="E833" t="s">
        <v>108</v>
      </c>
    </row>
    <row r="834" spans="1:8" x14ac:dyDescent="0.25">
      <c r="A834" t="s">
        <v>1746</v>
      </c>
      <c r="B834" t="s">
        <v>95</v>
      </c>
      <c r="D834" t="s">
        <v>75</v>
      </c>
      <c r="F834" t="s">
        <v>2919</v>
      </c>
      <c r="G834" t="s">
        <v>77</v>
      </c>
      <c r="H834">
        <v>54</v>
      </c>
    </row>
    <row r="835" spans="1:8" x14ac:dyDescent="0.25">
      <c r="A835" t="s">
        <v>1747</v>
      </c>
    </row>
    <row r="836" spans="1:8" x14ac:dyDescent="0.25">
      <c r="A836" t="s">
        <v>1748</v>
      </c>
    </row>
    <row r="837" spans="1:8" x14ac:dyDescent="0.25">
      <c r="A837" t="s">
        <v>660</v>
      </c>
      <c r="B837" t="s">
        <v>16</v>
      </c>
    </row>
    <row r="838" spans="1:8" x14ac:dyDescent="0.25">
      <c r="A838" t="s">
        <v>1751</v>
      </c>
      <c r="B838" t="s">
        <v>46</v>
      </c>
    </row>
    <row r="839" spans="1:8" x14ac:dyDescent="0.25">
      <c r="A839" t="s">
        <v>1752</v>
      </c>
      <c r="B839" t="s">
        <v>95</v>
      </c>
      <c r="C839" t="s">
        <v>85</v>
      </c>
      <c r="D839" t="s">
        <v>1818</v>
      </c>
    </row>
    <row r="840" spans="1:8" x14ac:dyDescent="0.25">
      <c r="A840" t="s">
        <v>1753</v>
      </c>
      <c r="B840" t="s">
        <v>95</v>
      </c>
      <c r="C840" t="s">
        <v>85</v>
      </c>
      <c r="D840" t="s">
        <v>2918</v>
      </c>
    </row>
    <row r="841" spans="1:8" x14ac:dyDescent="0.25">
      <c r="A841" t="s">
        <v>1148</v>
      </c>
      <c r="B841" t="s">
        <v>87</v>
      </c>
    </row>
    <row r="842" spans="1:8" x14ac:dyDescent="0.25">
      <c r="A842" t="s">
        <v>1756</v>
      </c>
      <c r="B842" t="s">
        <v>341</v>
      </c>
    </row>
    <row r="843" spans="1:8" x14ac:dyDescent="0.25">
      <c r="A843" t="s">
        <v>915</v>
      </c>
      <c r="B843" t="s">
        <v>87</v>
      </c>
    </row>
    <row r="844" spans="1:8" x14ac:dyDescent="0.25">
      <c r="A844" t="s">
        <v>1757</v>
      </c>
      <c r="B844" t="s">
        <v>95</v>
      </c>
    </row>
    <row r="845" spans="1:8" x14ac:dyDescent="0.25">
      <c r="A845" t="s">
        <v>1758</v>
      </c>
      <c r="B845" t="s">
        <v>87</v>
      </c>
    </row>
    <row r="846" spans="1:8" x14ac:dyDescent="0.25">
      <c r="A846" t="s">
        <v>1759</v>
      </c>
      <c r="B846" t="s">
        <v>173</v>
      </c>
    </row>
    <row r="847" spans="1:8" x14ac:dyDescent="0.25">
      <c r="A847" t="s">
        <v>1760</v>
      </c>
      <c r="B847" t="s">
        <v>173</v>
      </c>
    </row>
    <row r="848" spans="1:8" x14ac:dyDescent="0.25">
      <c r="A848" t="s">
        <v>1761</v>
      </c>
      <c r="B848" t="s">
        <v>341</v>
      </c>
    </row>
    <row r="849" spans="1:4" x14ac:dyDescent="0.25">
      <c r="A849" t="s">
        <v>1762</v>
      </c>
      <c r="B849" t="s">
        <v>341</v>
      </c>
    </row>
    <row r="850" spans="1:4" x14ac:dyDescent="0.25">
      <c r="A850" t="s">
        <v>1763</v>
      </c>
      <c r="B850" t="s">
        <v>87</v>
      </c>
    </row>
    <row r="851" spans="1:4" x14ac:dyDescent="0.25">
      <c r="A851" t="s">
        <v>1766</v>
      </c>
      <c r="B851" t="s">
        <v>341</v>
      </c>
    </row>
    <row r="852" spans="1:4" x14ac:dyDescent="0.25">
      <c r="A852" t="s">
        <v>1767</v>
      </c>
      <c r="B852" t="s">
        <v>341</v>
      </c>
    </row>
    <row r="853" spans="1:4" x14ac:dyDescent="0.25">
      <c r="A853" t="s">
        <v>216</v>
      </c>
      <c r="B853" t="s">
        <v>95</v>
      </c>
      <c r="D853" t="s">
        <v>216</v>
      </c>
    </row>
    <row r="854" spans="1:4" x14ac:dyDescent="0.25">
      <c r="A854" t="s">
        <v>1768</v>
      </c>
      <c r="B854" t="s">
        <v>87</v>
      </c>
    </row>
    <row r="855" spans="1:4" x14ac:dyDescent="0.25">
      <c r="A855" t="s">
        <v>335</v>
      </c>
      <c r="B855" t="s">
        <v>95</v>
      </c>
      <c r="D855" t="s">
        <v>335</v>
      </c>
    </row>
    <row r="856" spans="1:4" x14ac:dyDescent="0.25">
      <c r="A856" t="s">
        <v>1770</v>
      </c>
      <c r="B856" t="s">
        <v>341</v>
      </c>
    </row>
    <row r="857" spans="1:4" x14ac:dyDescent="0.25">
      <c r="A857" t="s">
        <v>1772</v>
      </c>
      <c r="B857" t="s">
        <v>48</v>
      </c>
      <c r="D857" t="s">
        <v>1772</v>
      </c>
    </row>
    <row r="858" spans="1:4" x14ac:dyDescent="0.25">
      <c r="A858" t="s">
        <v>335</v>
      </c>
      <c r="B858" t="s">
        <v>48</v>
      </c>
      <c r="D858" t="s">
        <v>335</v>
      </c>
    </row>
    <row r="859" spans="1:4" x14ac:dyDescent="0.25">
      <c r="A859" t="s">
        <v>1773</v>
      </c>
      <c r="B859" t="s">
        <v>48</v>
      </c>
    </row>
    <row r="860" spans="1:4" x14ac:dyDescent="0.25">
      <c r="A860" t="s">
        <v>1774</v>
      </c>
      <c r="B860" t="s">
        <v>48</v>
      </c>
    </row>
    <row r="861" spans="1:4" x14ac:dyDescent="0.25">
      <c r="A861" t="s">
        <v>1775</v>
      </c>
      <c r="B861" t="s">
        <v>16</v>
      </c>
      <c r="D861" t="s">
        <v>1775</v>
      </c>
    </row>
    <row r="862" spans="1:4" x14ac:dyDescent="0.25">
      <c r="A862" t="s">
        <v>1777</v>
      </c>
      <c r="B862" t="s">
        <v>341</v>
      </c>
    </row>
    <row r="863" spans="1:4" x14ac:dyDescent="0.25">
      <c r="A863" t="s">
        <v>1778</v>
      </c>
      <c r="B863" t="s">
        <v>173</v>
      </c>
    </row>
    <row r="864" spans="1:4" x14ac:dyDescent="0.25">
      <c r="A864" t="s">
        <v>1779</v>
      </c>
      <c r="B864" t="s">
        <v>173</v>
      </c>
    </row>
    <row r="865" spans="1:4" x14ac:dyDescent="0.25">
      <c r="A865" t="s">
        <v>1780</v>
      </c>
      <c r="B865" t="s">
        <v>173</v>
      </c>
    </row>
    <row r="866" spans="1:4" x14ac:dyDescent="0.25">
      <c r="A866" t="s">
        <v>1781</v>
      </c>
      <c r="B866" t="s">
        <v>173</v>
      </c>
      <c r="D866" t="s">
        <v>1781</v>
      </c>
    </row>
    <row r="867" spans="1:4" x14ac:dyDescent="0.25">
      <c r="A867" t="s">
        <v>1782</v>
      </c>
      <c r="B867" t="s">
        <v>16</v>
      </c>
    </row>
    <row r="868" spans="1:4" x14ac:dyDescent="0.25">
      <c r="A868" t="s">
        <v>1783</v>
      </c>
      <c r="B868" t="s">
        <v>173</v>
      </c>
    </row>
    <row r="869" spans="1:4" x14ac:dyDescent="0.25">
      <c r="A869" t="s">
        <v>807</v>
      </c>
      <c r="B869" t="s">
        <v>341</v>
      </c>
    </row>
    <row r="870" spans="1:4" x14ac:dyDescent="0.25">
      <c r="A870" t="s">
        <v>1786</v>
      </c>
      <c r="B870" t="s">
        <v>341</v>
      </c>
    </row>
    <row r="871" spans="1:4" x14ac:dyDescent="0.25">
      <c r="A871" t="s">
        <v>1788</v>
      </c>
      <c r="B871" t="s">
        <v>16</v>
      </c>
    </row>
    <row r="872" spans="1:4" x14ac:dyDescent="0.25">
      <c r="A872" t="s">
        <v>1789</v>
      </c>
      <c r="B872" t="s">
        <v>173</v>
      </c>
    </row>
    <row r="873" spans="1:4" x14ac:dyDescent="0.25">
      <c r="A873" t="s">
        <v>1790</v>
      </c>
      <c r="B873" t="s">
        <v>173</v>
      </c>
    </row>
    <row r="874" spans="1:4" x14ac:dyDescent="0.25">
      <c r="A874" t="s">
        <v>1791</v>
      </c>
      <c r="B874" t="s">
        <v>173</v>
      </c>
    </row>
    <row r="875" spans="1:4" x14ac:dyDescent="0.25">
      <c r="A875" t="s">
        <v>1792</v>
      </c>
      <c r="B875" t="s">
        <v>173</v>
      </c>
    </row>
    <row r="876" spans="1:4" x14ac:dyDescent="0.25">
      <c r="A876" t="s">
        <v>1798</v>
      </c>
      <c r="B876" t="s">
        <v>16</v>
      </c>
    </row>
    <row r="877" spans="1:4" x14ac:dyDescent="0.25">
      <c r="A877" t="s">
        <v>1800</v>
      </c>
      <c r="B877" t="s">
        <v>173</v>
      </c>
    </row>
    <row r="878" spans="1:4" x14ac:dyDescent="0.25">
      <c r="A878" t="s">
        <v>1801</v>
      </c>
      <c r="B878" t="s">
        <v>87</v>
      </c>
    </row>
    <row r="879" spans="1:4" x14ac:dyDescent="0.25">
      <c r="A879" t="s">
        <v>1805</v>
      </c>
      <c r="B879" t="s">
        <v>341</v>
      </c>
    </row>
    <row r="880" spans="1:4" x14ac:dyDescent="0.25">
      <c r="A880" t="s">
        <v>1806</v>
      </c>
      <c r="B880" t="s">
        <v>341</v>
      </c>
    </row>
    <row r="881" spans="1:5" x14ac:dyDescent="0.25">
      <c r="A881" t="s">
        <v>1808</v>
      </c>
      <c r="B881" t="s">
        <v>173</v>
      </c>
    </row>
    <row r="882" spans="1:5" x14ac:dyDescent="0.25">
      <c r="A882" t="s">
        <v>1818</v>
      </c>
      <c r="B882" t="s">
        <v>16</v>
      </c>
      <c r="D882" t="s">
        <v>1818</v>
      </c>
    </row>
    <row r="883" spans="1:5" x14ac:dyDescent="0.25">
      <c r="A883" t="s">
        <v>1819</v>
      </c>
      <c r="B883" t="s">
        <v>87</v>
      </c>
    </row>
    <row r="884" spans="1:5" x14ac:dyDescent="0.25">
      <c r="A884" t="s">
        <v>595</v>
      </c>
      <c r="B884" t="s">
        <v>87</v>
      </c>
    </row>
    <row r="885" spans="1:5" x14ac:dyDescent="0.25">
      <c r="A885" t="s">
        <v>1820</v>
      </c>
      <c r="B885" t="s">
        <v>87</v>
      </c>
    </row>
    <row r="886" spans="1:5" x14ac:dyDescent="0.25">
      <c r="A886" t="s">
        <v>1821</v>
      </c>
      <c r="B886" t="s">
        <v>173</v>
      </c>
    </row>
    <row r="887" spans="1:5" x14ac:dyDescent="0.25">
      <c r="A887" t="s">
        <v>1822</v>
      </c>
      <c r="B887" t="s">
        <v>173</v>
      </c>
      <c r="D887" t="s">
        <v>2917</v>
      </c>
      <c r="E887" t="s">
        <v>106</v>
      </c>
    </row>
    <row r="888" spans="1:5" x14ac:dyDescent="0.25">
      <c r="A888" t="s">
        <v>1823</v>
      </c>
      <c r="B888" t="s">
        <v>173</v>
      </c>
      <c r="D888" t="s">
        <v>2917</v>
      </c>
      <c r="E888" t="s">
        <v>108</v>
      </c>
    </row>
    <row r="889" spans="1:5" x14ac:dyDescent="0.25">
      <c r="A889" t="s">
        <v>1824</v>
      </c>
      <c r="B889" t="s">
        <v>16</v>
      </c>
      <c r="D889" t="s">
        <v>1824</v>
      </c>
    </row>
    <row r="890" spans="1:5" x14ac:dyDescent="0.25">
      <c r="A890" t="s">
        <v>1826</v>
      </c>
      <c r="B890" t="s">
        <v>87</v>
      </c>
    </row>
    <row r="891" spans="1:5" x14ac:dyDescent="0.25">
      <c r="A891" t="s">
        <v>1107</v>
      </c>
      <c r="B891" t="s">
        <v>87</v>
      </c>
    </row>
    <row r="892" spans="1:5" x14ac:dyDescent="0.25">
      <c r="A892" t="s">
        <v>1827</v>
      </c>
      <c r="B892" t="s">
        <v>87</v>
      </c>
    </row>
    <row r="893" spans="1:5" x14ac:dyDescent="0.25">
      <c r="A893" t="s">
        <v>1828</v>
      </c>
      <c r="B893" t="s">
        <v>87</v>
      </c>
    </row>
    <row r="894" spans="1:5" x14ac:dyDescent="0.25">
      <c r="A894" t="s">
        <v>1829</v>
      </c>
      <c r="B894" t="s">
        <v>87</v>
      </c>
    </row>
    <row r="895" spans="1:5" x14ac:dyDescent="0.25">
      <c r="A895" t="s">
        <v>1830</v>
      </c>
      <c r="B895" t="s">
        <v>87</v>
      </c>
    </row>
    <row r="896" spans="1:5" x14ac:dyDescent="0.25">
      <c r="A896" t="s">
        <v>1831</v>
      </c>
      <c r="B896" t="s">
        <v>87</v>
      </c>
    </row>
    <row r="897" spans="1:4" x14ac:dyDescent="0.25">
      <c r="A897" t="s">
        <v>1832</v>
      </c>
      <c r="B897" t="s">
        <v>341</v>
      </c>
    </row>
    <row r="898" spans="1:4" x14ac:dyDescent="0.25">
      <c r="A898" t="s">
        <v>1833</v>
      </c>
      <c r="B898" t="s">
        <v>173</v>
      </c>
    </row>
    <row r="899" spans="1:4" x14ac:dyDescent="0.25">
      <c r="A899" t="s">
        <v>1834</v>
      </c>
      <c r="B899" t="s">
        <v>173</v>
      </c>
    </row>
    <row r="900" spans="1:4" x14ac:dyDescent="0.25">
      <c r="A900" t="s">
        <v>1835</v>
      </c>
      <c r="B900" t="s">
        <v>87</v>
      </c>
    </row>
    <row r="901" spans="1:4" x14ac:dyDescent="0.25">
      <c r="A901" t="s">
        <v>1836</v>
      </c>
      <c r="B901" t="s">
        <v>87</v>
      </c>
    </row>
    <row r="902" spans="1:4" x14ac:dyDescent="0.25">
      <c r="A902" t="s">
        <v>1837</v>
      </c>
      <c r="B902" t="s">
        <v>87</v>
      </c>
    </row>
    <row r="903" spans="1:4" x14ac:dyDescent="0.25">
      <c r="A903" t="s">
        <v>1846</v>
      </c>
      <c r="B903" t="s">
        <v>341</v>
      </c>
    </row>
    <row r="904" spans="1:4" x14ac:dyDescent="0.25">
      <c r="A904" t="s">
        <v>89</v>
      </c>
      <c r="B904" t="s">
        <v>77</v>
      </c>
      <c r="D904" t="s">
        <v>89</v>
      </c>
    </row>
    <row r="905" spans="1:4" x14ac:dyDescent="0.25">
      <c r="A905" t="s">
        <v>1847</v>
      </c>
      <c r="B905" t="s">
        <v>95</v>
      </c>
    </row>
    <row r="906" spans="1:4" x14ac:dyDescent="0.25">
      <c r="A906" t="s">
        <v>1849</v>
      </c>
      <c r="B906" t="s">
        <v>341</v>
      </c>
    </row>
    <row r="907" spans="1:4" x14ac:dyDescent="0.25">
      <c r="A907" t="s">
        <v>1850</v>
      </c>
      <c r="B907" t="s">
        <v>341</v>
      </c>
    </row>
    <row r="908" spans="1:4" x14ac:dyDescent="0.25">
      <c r="A908" t="s">
        <v>1824</v>
      </c>
      <c r="B908" t="s">
        <v>173</v>
      </c>
      <c r="D908" t="s">
        <v>1824</v>
      </c>
    </row>
    <row r="909" spans="1:4" x14ac:dyDescent="0.25">
      <c r="A909" t="s">
        <v>1852</v>
      </c>
    </row>
    <row r="910" spans="1:4" x14ac:dyDescent="0.25">
      <c r="A910" t="s">
        <v>1853</v>
      </c>
      <c r="B910" t="s">
        <v>87</v>
      </c>
    </row>
    <row r="911" spans="1:4" x14ac:dyDescent="0.25">
      <c r="A911" t="s">
        <v>1854</v>
      </c>
      <c r="B911" t="s">
        <v>173</v>
      </c>
    </row>
    <row r="912" spans="1:4" x14ac:dyDescent="0.25">
      <c r="A912" t="s">
        <v>1855</v>
      </c>
      <c r="B912" t="s">
        <v>173</v>
      </c>
    </row>
    <row r="913" spans="1:2" x14ac:dyDescent="0.25">
      <c r="A913" t="s">
        <v>1865</v>
      </c>
      <c r="B913" t="s">
        <v>341</v>
      </c>
    </row>
    <row r="914" spans="1:2" x14ac:dyDescent="0.25">
      <c r="A914" t="s">
        <v>1057</v>
      </c>
      <c r="B914" t="s">
        <v>87</v>
      </c>
    </row>
    <row r="915" spans="1:2" x14ac:dyDescent="0.25">
      <c r="A915" t="s">
        <v>1867</v>
      </c>
      <c r="B915" t="s">
        <v>341</v>
      </c>
    </row>
    <row r="916" spans="1:2" x14ac:dyDescent="0.25">
      <c r="A916" t="s">
        <v>1868</v>
      </c>
      <c r="B916" t="s">
        <v>87</v>
      </c>
    </row>
    <row r="917" spans="1:2" x14ac:dyDescent="0.25">
      <c r="A917" t="s">
        <v>1869</v>
      </c>
      <c r="B917" t="s">
        <v>87</v>
      </c>
    </row>
    <row r="918" spans="1:2" x14ac:dyDescent="0.25">
      <c r="A918" t="s">
        <v>1870</v>
      </c>
      <c r="B918" t="s">
        <v>87</v>
      </c>
    </row>
    <row r="919" spans="1:2" x14ac:dyDescent="0.25">
      <c r="A919" t="s">
        <v>1871</v>
      </c>
      <c r="B919" t="s">
        <v>341</v>
      </c>
    </row>
    <row r="920" spans="1:2" x14ac:dyDescent="0.25">
      <c r="A920" t="s">
        <v>1872</v>
      </c>
      <c r="B920" t="s">
        <v>341</v>
      </c>
    </row>
    <row r="921" spans="1:2" x14ac:dyDescent="0.25">
      <c r="A921" t="s">
        <v>1873</v>
      </c>
      <c r="B921" t="s">
        <v>341</v>
      </c>
    </row>
    <row r="922" spans="1:2" x14ac:dyDescent="0.25">
      <c r="A922" t="s">
        <v>1874</v>
      </c>
      <c r="B922" t="s">
        <v>341</v>
      </c>
    </row>
    <row r="923" spans="1:2" x14ac:dyDescent="0.25">
      <c r="A923" t="s">
        <v>1875</v>
      </c>
      <c r="B923" t="s">
        <v>341</v>
      </c>
    </row>
    <row r="924" spans="1:2" x14ac:dyDescent="0.25">
      <c r="A924" t="s">
        <v>1876</v>
      </c>
      <c r="B924" t="s">
        <v>341</v>
      </c>
    </row>
    <row r="925" spans="1:2" x14ac:dyDescent="0.25">
      <c r="A925" t="s">
        <v>1893</v>
      </c>
      <c r="B925" t="s">
        <v>87</v>
      </c>
    </row>
    <row r="926" spans="1:2" x14ac:dyDescent="0.25">
      <c r="A926" t="s">
        <v>1894</v>
      </c>
      <c r="B926" t="s">
        <v>87</v>
      </c>
    </row>
    <row r="927" spans="1:2" x14ac:dyDescent="0.25">
      <c r="A927" t="s">
        <v>1895</v>
      </c>
      <c r="B927" t="s">
        <v>87</v>
      </c>
    </row>
    <row r="928" spans="1:2" x14ac:dyDescent="0.25">
      <c r="A928" t="s">
        <v>1896</v>
      </c>
      <c r="B928" t="s">
        <v>173</v>
      </c>
    </row>
    <row r="929" spans="1:8" x14ac:dyDescent="0.25">
      <c r="A929" t="s">
        <v>1897</v>
      </c>
      <c r="B929" t="s">
        <v>173</v>
      </c>
      <c r="D929" t="s">
        <v>75</v>
      </c>
      <c r="F929" t="s">
        <v>2916</v>
      </c>
      <c r="G929" t="s">
        <v>77</v>
      </c>
      <c r="H929" t="s">
        <v>2915</v>
      </c>
    </row>
    <row r="930" spans="1:8" x14ac:dyDescent="0.25">
      <c r="A930" t="s">
        <v>1898</v>
      </c>
      <c r="B930" t="s">
        <v>87</v>
      </c>
    </row>
    <row r="931" spans="1:8" x14ac:dyDescent="0.25">
      <c r="A931" t="s">
        <v>1899</v>
      </c>
      <c r="B931" t="s">
        <v>87</v>
      </c>
    </row>
    <row r="932" spans="1:8" x14ac:dyDescent="0.25">
      <c r="A932" t="s">
        <v>1904</v>
      </c>
      <c r="B932" t="s">
        <v>173</v>
      </c>
    </row>
    <row r="933" spans="1:8" x14ac:dyDescent="0.25">
      <c r="A933" t="s">
        <v>1905</v>
      </c>
    </row>
    <row r="934" spans="1:8" x14ac:dyDescent="0.25">
      <c r="A934" t="s">
        <v>1906</v>
      </c>
      <c r="B934" t="s">
        <v>341</v>
      </c>
    </row>
    <row r="935" spans="1:8" x14ac:dyDescent="0.25">
      <c r="A935" t="s">
        <v>1826</v>
      </c>
      <c r="B935" t="s">
        <v>173</v>
      </c>
    </row>
    <row r="936" spans="1:8" x14ac:dyDescent="0.25">
      <c r="A936" t="s">
        <v>1907</v>
      </c>
      <c r="B936" t="s">
        <v>16</v>
      </c>
      <c r="D936" t="s">
        <v>1907</v>
      </c>
    </row>
    <row r="937" spans="1:8" x14ac:dyDescent="0.25">
      <c r="A937" t="s">
        <v>1908</v>
      </c>
      <c r="B937" t="s">
        <v>173</v>
      </c>
    </row>
    <row r="938" spans="1:8" x14ac:dyDescent="0.25">
      <c r="A938" t="s">
        <v>1911</v>
      </c>
      <c r="B938" t="s">
        <v>173</v>
      </c>
    </row>
    <row r="939" spans="1:8" x14ac:dyDescent="0.25">
      <c r="A939" t="s">
        <v>1915</v>
      </c>
      <c r="B939" t="s">
        <v>173</v>
      </c>
    </row>
    <row r="940" spans="1:8" x14ac:dyDescent="0.25">
      <c r="A940" t="s">
        <v>1916</v>
      </c>
    </row>
    <row r="941" spans="1:8" x14ac:dyDescent="0.25">
      <c r="A941" t="s">
        <v>1917</v>
      </c>
    </row>
    <row r="942" spans="1:8" x14ac:dyDescent="0.25">
      <c r="A942" t="s">
        <v>1918</v>
      </c>
      <c r="B942" t="s">
        <v>173</v>
      </c>
    </row>
    <row r="943" spans="1:8" x14ac:dyDescent="0.25">
      <c r="A943" t="s">
        <v>1920</v>
      </c>
      <c r="B943" t="s">
        <v>16</v>
      </c>
    </row>
    <row r="944" spans="1:8" x14ac:dyDescent="0.25">
      <c r="A944" t="s">
        <v>1921</v>
      </c>
      <c r="B944" t="s">
        <v>87</v>
      </c>
    </row>
    <row r="945" spans="1:4" x14ac:dyDescent="0.25">
      <c r="A945" t="s">
        <v>1922</v>
      </c>
      <c r="B945" t="s">
        <v>87</v>
      </c>
    </row>
    <row r="946" spans="1:4" x14ac:dyDescent="0.25">
      <c r="A946" t="s">
        <v>1923</v>
      </c>
      <c r="B946" t="s">
        <v>87</v>
      </c>
    </row>
    <row r="947" spans="1:4" x14ac:dyDescent="0.25">
      <c r="A947" t="s">
        <v>1924</v>
      </c>
      <c r="B947" t="s">
        <v>173</v>
      </c>
    </row>
    <row r="948" spans="1:4" x14ac:dyDescent="0.25">
      <c r="A948" t="s">
        <v>1925</v>
      </c>
      <c r="B948" t="s">
        <v>173</v>
      </c>
    </row>
    <row r="949" spans="1:4" x14ac:dyDescent="0.25">
      <c r="A949" t="s">
        <v>1926</v>
      </c>
      <c r="B949" t="s">
        <v>95</v>
      </c>
      <c r="C949" t="s">
        <v>2902</v>
      </c>
      <c r="D949" t="s">
        <v>2914</v>
      </c>
    </row>
    <row r="950" spans="1:4" x14ac:dyDescent="0.25">
      <c r="A950" t="s">
        <v>396</v>
      </c>
      <c r="B950" t="s">
        <v>77</v>
      </c>
      <c r="D950" t="s">
        <v>396</v>
      </c>
    </row>
    <row r="951" spans="1:4" x14ac:dyDescent="0.25">
      <c r="A951" t="s">
        <v>93</v>
      </c>
      <c r="B951" t="s">
        <v>95</v>
      </c>
      <c r="D951" t="s">
        <v>93</v>
      </c>
    </row>
    <row r="952" spans="1:4" x14ac:dyDescent="0.25">
      <c r="A952" t="s">
        <v>89</v>
      </c>
      <c r="B952" t="s">
        <v>95</v>
      </c>
      <c r="D952" t="s">
        <v>89</v>
      </c>
    </row>
    <row r="953" spans="1:4" x14ac:dyDescent="0.25">
      <c r="A953" t="s">
        <v>1939</v>
      </c>
      <c r="B953" t="s">
        <v>341</v>
      </c>
    </row>
    <row r="954" spans="1:4" x14ac:dyDescent="0.25">
      <c r="A954" t="s">
        <v>1940</v>
      </c>
      <c r="B954" t="s">
        <v>87</v>
      </c>
    </row>
    <row r="955" spans="1:4" x14ac:dyDescent="0.25">
      <c r="A955" t="s">
        <v>1941</v>
      </c>
      <c r="B955" t="s">
        <v>467</v>
      </c>
    </row>
    <row r="956" spans="1:4" x14ac:dyDescent="0.25">
      <c r="A956" t="s">
        <v>1942</v>
      </c>
      <c r="B956" t="s">
        <v>467</v>
      </c>
    </row>
    <row r="957" spans="1:4" x14ac:dyDescent="0.25">
      <c r="A957" t="s">
        <v>1943</v>
      </c>
      <c r="B957" t="s">
        <v>87</v>
      </c>
    </row>
    <row r="958" spans="1:4" x14ac:dyDescent="0.25">
      <c r="A958" t="s">
        <v>1947</v>
      </c>
      <c r="B958" t="s">
        <v>95</v>
      </c>
    </row>
    <row r="959" spans="1:4" x14ac:dyDescent="0.25">
      <c r="A959" t="s">
        <v>1955</v>
      </c>
      <c r="B959" t="s">
        <v>173</v>
      </c>
    </row>
    <row r="960" spans="1:4" x14ac:dyDescent="0.25">
      <c r="A960" t="s">
        <v>1956</v>
      </c>
    </row>
    <row r="961" spans="1:2" x14ac:dyDescent="0.25">
      <c r="A961" t="s">
        <v>1957</v>
      </c>
    </row>
    <row r="962" spans="1:2" x14ac:dyDescent="0.25">
      <c r="A962" t="s">
        <v>1958</v>
      </c>
    </row>
    <row r="963" spans="1:2" x14ac:dyDescent="0.25">
      <c r="A963" t="s">
        <v>1959</v>
      </c>
    </row>
    <row r="964" spans="1:2" x14ac:dyDescent="0.25">
      <c r="A964" t="s">
        <v>1960</v>
      </c>
      <c r="B964" t="s">
        <v>87</v>
      </c>
    </row>
    <row r="965" spans="1:2" x14ac:dyDescent="0.25">
      <c r="A965" t="s">
        <v>1965</v>
      </c>
      <c r="B965" t="s">
        <v>341</v>
      </c>
    </row>
    <row r="966" spans="1:2" x14ac:dyDescent="0.25">
      <c r="A966" t="s">
        <v>1966</v>
      </c>
      <c r="B966" t="s">
        <v>341</v>
      </c>
    </row>
    <row r="967" spans="1:2" x14ac:dyDescent="0.25">
      <c r="A967" t="s">
        <v>1969</v>
      </c>
      <c r="B967" t="s">
        <v>341</v>
      </c>
    </row>
    <row r="968" spans="1:2" x14ac:dyDescent="0.25">
      <c r="A968" t="s">
        <v>1205</v>
      </c>
      <c r="B968" t="s">
        <v>341</v>
      </c>
    </row>
    <row r="969" spans="1:2" x14ac:dyDescent="0.25">
      <c r="A969" t="s">
        <v>1970</v>
      </c>
      <c r="B969" t="s">
        <v>87</v>
      </c>
    </row>
    <row r="970" spans="1:2" x14ac:dyDescent="0.25">
      <c r="A970" t="s">
        <v>1977</v>
      </c>
      <c r="B970" t="s">
        <v>87</v>
      </c>
    </row>
    <row r="971" spans="1:2" x14ac:dyDescent="0.25">
      <c r="A971" t="s">
        <v>1978</v>
      </c>
      <c r="B971" t="s">
        <v>87</v>
      </c>
    </row>
    <row r="972" spans="1:2" x14ac:dyDescent="0.25">
      <c r="A972" t="s">
        <v>882</v>
      </c>
      <c r="B972" t="s">
        <v>341</v>
      </c>
    </row>
    <row r="973" spans="1:2" x14ac:dyDescent="0.25">
      <c r="A973" t="s">
        <v>1986</v>
      </c>
      <c r="B973" t="s">
        <v>173</v>
      </c>
    </row>
    <row r="974" spans="1:2" x14ac:dyDescent="0.25">
      <c r="A974" t="s">
        <v>1987</v>
      </c>
    </row>
    <row r="975" spans="1:2" x14ac:dyDescent="0.25">
      <c r="A975" t="s">
        <v>1988</v>
      </c>
      <c r="B975" t="s">
        <v>341</v>
      </c>
    </row>
    <row r="976" spans="1:2" x14ac:dyDescent="0.25">
      <c r="A976" t="s">
        <v>1989</v>
      </c>
      <c r="B976" t="s">
        <v>341</v>
      </c>
    </row>
    <row r="977" spans="1:13" x14ac:dyDescent="0.25">
      <c r="A977" t="s">
        <v>1990</v>
      </c>
      <c r="B977" t="s">
        <v>341</v>
      </c>
    </row>
    <row r="978" spans="1:13" x14ac:dyDescent="0.25">
      <c r="A978" t="s">
        <v>1139</v>
      </c>
      <c r="B978" t="s">
        <v>173</v>
      </c>
    </row>
    <row r="979" spans="1:13" x14ac:dyDescent="0.25">
      <c r="A979" t="s">
        <v>1497</v>
      </c>
      <c r="B979" t="s">
        <v>173</v>
      </c>
    </row>
    <row r="980" spans="1:13" x14ac:dyDescent="0.25">
      <c r="A980" t="s">
        <v>2008</v>
      </c>
    </row>
    <row r="981" spans="1:13" x14ac:dyDescent="0.25">
      <c r="A981" t="s">
        <v>2009</v>
      </c>
    </row>
    <row r="982" spans="1:13" x14ac:dyDescent="0.25">
      <c r="A982" t="s">
        <v>2010</v>
      </c>
      <c r="B982" t="s">
        <v>341</v>
      </c>
    </row>
    <row r="983" spans="1:13" x14ac:dyDescent="0.25">
      <c r="A983" t="s">
        <v>2011</v>
      </c>
      <c r="B983" t="s">
        <v>87</v>
      </c>
    </row>
    <row r="984" spans="1:13" x14ac:dyDescent="0.25">
      <c r="A984" t="s">
        <v>2012</v>
      </c>
      <c r="B984" t="s">
        <v>173</v>
      </c>
    </row>
    <row r="985" spans="1:13" x14ac:dyDescent="0.25">
      <c r="A985" t="s">
        <v>2019</v>
      </c>
      <c r="B985" t="s">
        <v>16</v>
      </c>
      <c r="D985" t="s">
        <v>2900</v>
      </c>
      <c r="E985" t="s">
        <v>106</v>
      </c>
      <c r="M985">
        <v>2</v>
      </c>
    </row>
    <row r="986" spans="1:13" x14ac:dyDescent="0.25">
      <c r="A986" t="s">
        <v>2020</v>
      </c>
      <c r="B986" t="s">
        <v>16</v>
      </c>
      <c r="D986" t="s">
        <v>2900</v>
      </c>
      <c r="E986" t="s">
        <v>108</v>
      </c>
      <c r="M986">
        <v>2</v>
      </c>
    </row>
    <row r="987" spans="1:13" x14ac:dyDescent="0.25">
      <c r="A987" t="s">
        <v>2021</v>
      </c>
      <c r="B987" t="s">
        <v>173</v>
      </c>
    </row>
    <row r="988" spans="1:13" x14ac:dyDescent="0.25">
      <c r="A988" t="s">
        <v>2028</v>
      </c>
      <c r="B988" t="s">
        <v>341</v>
      </c>
    </row>
    <row r="989" spans="1:13" x14ac:dyDescent="0.25">
      <c r="A989" t="s">
        <v>1054</v>
      </c>
      <c r="B989" t="s">
        <v>46</v>
      </c>
    </row>
    <row r="990" spans="1:13" x14ac:dyDescent="0.25">
      <c r="A990" t="s">
        <v>1055</v>
      </c>
      <c r="B990" t="s">
        <v>46</v>
      </c>
    </row>
    <row r="991" spans="1:13" x14ac:dyDescent="0.25">
      <c r="A991" t="s">
        <v>2030</v>
      </c>
      <c r="B991" t="s">
        <v>16</v>
      </c>
    </row>
    <row r="992" spans="1:13" x14ac:dyDescent="0.25">
      <c r="A992" t="s">
        <v>2032</v>
      </c>
      <c r="B992" t="s">
        <v>87</v>
      </c>
    </row>
    <row r="993" spans="1:13" x14ac:dyDescent="0.25">
      <c r="A993" t="s">
        <v>2033</v>
      </c>
      <c r="B993" t="s">
        <v>173</v>
      </c>
    </row>
    <row r="994" spans="1:13" x14ac:dyDescent="0.25">
      <c r="A994" t="s">
        <v>2037</v>
      </c>
      <c r="B994" t="s">
        <v>341</v>
      </c>
    </row>
    <row r="995" spans="1:13" x14ac:dyDescent="0.25">
      <c r="A995" t="s">
        <v>2039</v>
      </c>
      <c r="B995" t="s">
        <v>173</v>
      </c>
    </row>
    <row r="996" spans="1:13" x14ac:dyDescent="0.25">
      <c r="A996" t="s">
        <v>1412</v>
      </c>
      <c r="B996" t="s">
        <v>341</v>
      </c>
    </row>
    <row r="997" spans="1:13" x14ac:dyDescent="0.25">
      <c r="A997" t="s">
        <v>2044</v>
      </c>
      <c r="B997" t="s">
        <v>87</v>
      </c>
    </row>
    <row r="998" spans="1:13" x14ac:dyDescent="0.25">
      <c r="A998" t="s">
        <v>2045</v>
      </c>
      <c r="B998" t="s">
        <v>87</v>
      </c>
    </row>
    <row r="999" spans="1:13" x14ac:dyDescent="0.25">
      <c r="A999" t="s">
        <v>2046</v>
      </c>
      <c r="B999" t="s">
        <v>87</v>
      </c>
    </row>
    <row r="1000" spans="1:13" x14ac:dyDescent="0.25">
      <c r="A1000" t="s">
        <v>2047</v>
      </c>
      <c r="B1000" t="s">
        <v>173</v>
      </c>
    </row>
    <row r="1001" spans="1:13" x14ac:dyDescent="0.25">
      <c r="A1001" t="s">
        <v>2048</v>
      </c>
      <c r="B1001" t="s">
        <v>173</v>
      </c>
    </row>
    <row r="1002" spans="1:13" x14ac:dyDescent="0.25">
      <c r="A1002" t="s">
        <v>2049</v>
      </c>
    </row>
    <row r="1003" spans="1:13" x14ac:dyDescent="0.25">
      <c r="A1003" t="s">
        <v>2065</v>
      </c>
      <c r="B1003" t="s">
        <v>341</v>
      </c>
    </row>
    <row r="1004" spans="1:13" x14ac:dyDescent="0.25">
      <c r="A1004" t="s">
        <v>2066</v>
      </c>
      <c r="B1004" t="s">
        <v>341</v>
      </c>
    </row>
    <row r="1005" spans="1:13" x14ac:dyDescent="0.25">
      <c r="A1005" t="s">
        <v>2067</v>
      </c>
      <c r="B1005" t="s">
        <v>87</v>
      </c>
    </row>
    <row r="1006" spans="1:13" x14ac:dyDescent="0.25">
      <c r="A1006" t="s">
        <v>2070</v>
      </c>
      <c r="B1006" t="s">
        <v>16</v>
      </c>
      <c r="D1006" t="s">
        <v>761</v>
      </c>
      <c r="E1006" t="s">
        <v>106</v>
      </c>
      <c r="M1006">
        <v>1</v>
      </c>
    </row>
    <row r="1007" spans="1:13" x14ac:dyDescent="0.25">
      <c r="A1007" t="s">
        <v>2074</v>
      </c>
      <c r="B1007" t="s">
        <v>77</v>
      </c>
    </row>
    <row r="1008" spans="1:13" x14ac:dyDescent="0.25">
      <c r="A1008" t="s">
        <v>2075</v>
      </c>
      <c r="B1008" t="s">
        <v>77</v>
      </c>
    </row>
    <row r="1009" spans="1:5" x14ac:dyDescent="0.25">
      <c r="A1009" t="s">
        <v>2077</v>
      </c>
      <c r="B1009" t="s">
        <v>87</v>
      </c>
    </row>
    <row r="1010" spans="1:5" x14ac:dyDescent="0.25">
      <c r="A1010" t="s">
        <v>2078</v>
      </c>
      <c r="B1010" t="s">
        <v>87</v>
      </c>
    </row>
    <row r="1011" spans="1:5" x14ac:dyDescent="0.25">
      <c r="A1011" t="s">
        <v>2079</v>
      </c>
      <c r="B1011" t="s">
        <v>173</v>
      </c>
    </row>
    <row r="1012" spans="1:5" x14ac:dyDescent="0.25">
      <c r="A1012" t="s">
        <v>2083</v>
      </c>
      <c r="B1012" t="s">
        <v>16</v>
      </c>
    </row>
    <row r="1013" spans="1:5" x14ac:dyDescent="0.25">
      <c r="A1013" t="s">
        <v>2084</v>
      </c>
      <c r="B1013" t="s">
        <v>16</v>
      </c>
    </row>
    <row r="1014" spans="1:5" x14ac:dyDescent="0.25">
      <c r="A1014" t="s">
        <v>2085</v>
      </c>
      <c r="B1014" t="s">
        <v>173</v>
      </c>
    </row>
    <row r="1015" spans="1:5" x14ac:dyDescent="0.25">
      <c r="A1015" t="s">
        <v>92</v>
      </c>
      <c r="B1015" t="s">
        <v>173</v>
      </c>
      <c r="D1015" t="s">
        <v>92</v>
      </c>
    </row>
    <row r="1016" spans="1:5" x14ac:dyDescent="0.25">
      <c r="A1016" t="s">
        <v>2086</v>
      </c>
      <c r="B1016" t="s">
        <v>87</v>
      </c>
    </row>
    <row r="1017" spans="1:5" x14ac:dyDescent="0.25">
      <c r="A1017" t="s">
        <v>2087</v>
      </c>
      <c r="B1017" t="s">
        <v>87</v>
      </c>
    </row>
    <row r="1018" spans="1:5" x14ac:dyDescent="0.25">
      <c r="A1018" t="s">
        <v>2088</v>
      </c>
      <c r="B1018" t="s">
        <v>16</v>
      </c>
    </row>
    <row r="1019" spans="1:5" x14ac:dyDescent="0.25">
      <c r="A1019" t="s">
        <v>2089</v>
      </c>
      <c r="B1019" t="s">
        <v>16</v>
      </c>
      <c r="D1019" t="s">
        <v>2913</v>
      </c>
      <c r="E1019" t="s">
        <v>106</v>
      </c>
    </row>
    <row r="1020" spans="1:5" x14ac:dyDescent="0.25">
      <c r="A1020" t="s">
        <v>2090</v>
      </c>
      <c r="B1020" t="s">
        <v>87</v>
      </c>
    </row>
    <row r="1021" spans="1:5" x14ac:dyDescent="0.25">
      <c r="A1021" t="s">
        <v>2091</v>
      </c>
      <c r="B1021" t="s">
        <v>87</v>
      </c>
    </row>
    <row r="1022" spans="1:5" x14ac:dyDescent="0.25">
      <c r="A1022" t="s">
        <v>2092</v>
      </c>
      <c r="B1022" t="s">
        <v>87</v>
      </c>
    </row>
    <row r="1023" spans="1:5" x14ac:dyDescent="0.25">
      <c r="A1023" t="s">
        <v>2093</v>
      </c>
      <c r="B1023" t="s">
        <v>16</v>
      </c>
      <c r="D1023" t="s">
        <v>2093</v>
      </c>
    </row>
    <row r="1024" spans="1:5" x14ac:dyDescent="0.25">
      <c r="A1024" t="s">
        <v>2094</v>
      </c>
      <c r="B1024" t="s">
        <v>16</v>
      </c>
    </row>
    <row r="1025" spans="1:4" x14ac:dyDescent="0.25">
      <c r="A1025" t="s">
        <v>2095</v>
      </c>
      <c r="B1025" t="s">
        <v>16</v>
      </c>
    </row>
    <row r="1026" spans="1:4" x14ac:dyDescent="0.25">
      <c r="A1026" t="s">
        <v>2097</v>
      </c>
      <c r="B1026" t="s">
        <v>173</v>
      </c>
    </row>
    <row r="1027" spans="1:4" x14ac:dyDescent="0.25">
      <c r="A1027" t="s">
        <v>2098</v>
      </c>
      <c r="B1027" t="s">
        <v>95</v>
      </c>
    </row>
    <row r="1028" spans="1:4" x14ac:dyDescent="0.25">
      <c r="A1028" t="s">
        <v>2099</v>
      </c>
      <c r="B1028" t="s">
        <v>341</v>
      </c>
    </row>
    <row r="1029" spans="1:4" x14ac:dyDescent="0.25">
      <c r="A1029" t="s">
        <v>2100</v>
      </c>
      <c r="B1029" t="s">
        <v>341</v>
      </c>
    </row>
    <row r="1030" spans="1:4" x14ac:dyDescent="0.25">
      <c r="A1030" t="s">
        <v>2101</v>
      </c>
      <c r="B1030" t="s">
        <v>95</v>
      </c>
    </row>
    <row r="1031" spans="1:4" x14ac:dyDescent="0.25">
      <c r="A1031" t="s">
        <v>2102</v>
      </c>
      <c r="B1031" t="s">
        <v>341</v>
      </c>
    </row>
    <row r="1032" spans="1:4" x14ac:dyDescent="0.25">
      <c r="A1032" t="s">
        <v>2103</v>
      </c>
      <c r="B1032" t="s">
        <v>341</v>
      </c>
    </row>
    <row r="1033" spans="1:4" x14ac:dyDescent="0.25">
      <c r="A1033" t="s">
        <v>2104</v>
      </c>
      <c r="B1033" t="s">
        <v>341</v>
      </c>
    </row>
    <row r="1034" spans="1:4" x14ac:dyDescent="0.25">
      <c r="A1034" t="s">
        <v>445</v>
      </c>
      <c r="B1034" t="s">
        <v>173</v>
      </c>
      <c r="D1034" t="s">
        <v>445</v>
      </c>
    </row>
    <row r="1035" spans="1:4" x14ac:dyDescent="0.25">
      <c r="A1035" t="s">
        <v>2107</v>
      </c>
    </row>
    <row r="1036" spans="1:4" x14ac:dyDescent="0.25">
      <c r="A1036" t="s">
        <v>2108</v>
      </c>
    </row>
    <row r="1037" spans="1:4" x14ac:dyDescent="0.25">
      <c r="A1037" t="s">
        <v>2109</v>
      </c>
    </row>
    <row r="1038" spans="1:4" x14ac:dyDescent="0.25">
      <c r="A1038" t="s">
        <v>119</v>
      </c>
      <c r="B1038" t="s">
        <v>46</v>
      </c>
      <c r="D1038" t="s">
        <v>119</v>
      </c>
    </row>
    <row r="1039" spans="1:4" x14ac:dyDescent="0.25">
      <c r="A1039" t="s">
        <v>2116</v>
      </c>
      <c r="B1039" t="s">
        <v>87</v>
      </c>
    </row>
    <row r="1040" spans="1:4" x14ac:dyDescent="0.25">
      <c r="A1040" t="s">
        <v>2121</v>
      </c>
      <c r="B1040" t="s">
        <v>341</v>
      </c>
    </row>
    <row r="1041" spans="1:13" x14ac:dyDescent="0.25">
      <c r="A1041" t="s">
        <v>2122</v>
      </c>
      <c r="B1041" t="s">
        <v>87</v>
      </c>
    </row>
    <row r="1042" spans="1:13" x14ac:dyDescent="0.25">
      <c r="A1042" t="s">
        <v>2123</v>
      </c>
      <c r="B1042" t="s">
        <v>341</v>
      </c>
    </row>
    <row r="1043" spans="1:13" x14ac:dyDescent="0.25">
      <c r="A1043" t="s">
        <v>2124</v>
      </c>
      <c r="B1043" t="s">
        <v>341</v>
      </c>
    </row>
    <row r="1044" spans="1:13" x14ac:dyDescent="0.25">
      <c r="A1044" t="s">
        <v>2125</v>
      </c>
      <c r="B1044" t="s">
        <v>341</v>
      </c>
    </row>
    <row r="1045" spans="1:13" x14ac:dyDescent="0.25">
      <c r="A1045" t="s">
        <v>2129</v>
      </c>
      <c r="B1045" t="s">
        <v>173</v>
      </c>
    </row>
    <row r="1046" spans="1:13" x14ac:dyDescent="0.25">
      <c r="A1046" t="s">
        <v>2130</v>
      </c>
      <c r="B1046" t="s">
        <v>341</v>
      </c>
    </row>
    <row r="1047" spans="1:13" x14ac:dyDescent="0.25">
      <c r="A1047" t="s">
        <v>2131</v>
      </c>
      <c r="B1047" t="s">
        <v>87</v>
      </c>
    </row>
    <row r="1048" spans="1:13" x14ac:dyDescent="0.25">
      <c r="A1048" t="s">
        <v>2132</v>
      </c>
      <c r="B1048" t="s">
        <v>341</v>
      </c>
    </row>
    <row r="1049" spans="1:13" x14ac:dyDescent="0.25">
      <c r="A1049" t="s">
        <v>2133</v>
      </c>
      <c r="B1049" t="s">
        <v>87</v>
      </c>
    </row>
    <row r="1050" spans="1:13" x14ac:dyDescent="0.25">
      <c r="A1050" t="s">
        <v>2134</v>
      </c>
      <c r="B1050" t="s">
        <v>16</v>
      </c>
      <c r="D1050" t="s">
        <v>445</v>
      </c>
      <c r="M1050">
        <v>1</v>
      </c>
    </row>
    <row r="1051" spans="1:13" x14ac:dyDescent="0.25">
      <c r="A1051" t="s">
        <v>2138</v>
      </c>
      <c r="B1051" t="s">
        <v>173</v>
      </c>
    </row>
    <row r="1052" spans="1:13" x14ac:dyDescent="0.25">
      <c r="A1052" t="s">
        <v>665</v>
      </c>
      <c r="B1052" t="s">
        <v>20</v>
      </c>
      <c r="D1052" t="s">
        <v>665</v>
      </c>
    </row>
    <row r="1053" spans="1:13" x14ac:dyDescent="0.25">
      <c r="A1053" t="s">
        <v>2139</v>
      </c>
      <c r="B1053" t="s">
        <v>341</v>
      </c>
    </row>
    <row r="1054" spans="1:13" x14ac:dyDescent="0.25">
      <c r="A1054" t="s">
        <v>2156</v>
      </c>
      <c r="B1054" t="s">
        <v>77</v>
      </c>
    </row>
    <row r="1055" spans="1:13" x14ac:dyDescent="0.25">
      <c r="A1055" t="s">
        <v>2157</v>
      </c>
      <c r="B1055" t="s">
        <v>77</v>
      </c>
    </row>
    <row r="1056" spans="1:13" x14ac:dyDescent="0.25">
      <c r="A1056" t="s">
        <v>2158</v>
      </c>
      <c r="B1056" t="s">
        <v>173</v>
      </c>
    </row>
    <row r="1057" spans="1:2" x14ac:dyDescent="0.25">
      <c r="A1057" t="s">
        <v>2159</v>
      </c>
      <c r="B1057" t="s">
        <v>87</v>
      </c>
    </row>
    <row r="1058" spans="1:2" x14ac:dyDescent="0.25">
      <c r="A1058" t="s">
        <v>2160</v>
      </c>
      <c r="B1058" t="s">
        <v>341</v>
      </c>
    </row>
    <row r="1059" spans="1:2" x14ac:dyDescent="0.25">
      <c r="A1059" t="s">
        <v>2161</v>
      </c>
      <c r="B1059" t="s">
        <v>87</v>
      </c>
    </row>
    <row r="1060" spans="1:2" x14ac:dyDescent="0.25">
      <c r="A1060" t="s">
        <v>2162</v>
      </c>
      <c r="B1060" t="s">
        <v>87</v>
      </c>
    </row>
    <row r="1061" spans="1:2" x14ac:dyDescent="0.25">
      <c r="A1061" t="s">
        <v>2163</v>
      </c>
      <c r="B1061" t="s">
        <v>87</v>
      </c>
    </row>
    <row r="1062" spans="1:2" x14ac:dyDescent="0.25">
      <c r="A1062" t="s">
        <v>2164</v>
      </c>
      <c r="B1062" t="s">
        <v>87</v>
      </c>
    </row>
    <row r="1063" spans="1:2" x14ac:dyDescent="0.25">
      <c r="A1063" t="s">
        <v>2165</v>
      </c>
      <c r="B1063" t="s">
        <v>87</v>
      </c>
    </row>
    <row r="1064" spans="1:2" x14ac:dyDescent="0.25">
      <c r="A1064" t="s">
        <v>2166</v>
      </c>
      <c r="B1064" t="s">
        <v>341</v>
      </c>
    </row>
    <row r="1065" spans="1:2" x14ac:dyDescent="0.25">
      <c r="A1065" t="s">
        <v>2167</v>
      </c>
      <c r="B1065" t="s">
        <v>341</v>
      </c>
    </row>
    <row r="1066" spans="1:2" x14ac:dyDescent="0.25">
      <c r="A1066" t="s">
        <v>2168</v>
      </c>
      <c r="B1066" t="s">
        <v>87</v>
      </c>
    </row>
    <row r="1067" spans="1:2" x14ac:dyDescent="0.25">
      <c r="A1067" t="s">
        <v>2169</v>
      </c>
      <c r="B1067" t="s">
        <v>87</v>
      </c>
    </row>
    <row r="1068" spans="1:2" x14ac:dyDescent="0.25">
      <c r="A1068" t="s">
        <v>2170</v>
      </c>
      <c r="B1068" t="s">
        <v>87</v>
      </c>
    </row>
    <row r="1069" spans="1:2" x14ac:dyDescent="0.25">
      <c r="A1069" t="s">
        <v>2171</v>
      </c>
      <c r="B1069" t="s">
        <v>87</v>
      </c>
    </row>
    <row r="1070" spans="1:2" x14ac:dyDescent="0.25">
      <c r="A1070" t="s">
        <v>2172</v>
      </c>
      <c r="B1070" t="s">
        <v>173</v>
      </c>
    </row>
    <row r="1071" spans="1:2" x14ac:dyDescent="0.25">
      <c r="A1071" t="s">
        <v>2173</v>
      </c>
      <c r="B1071" t="s">
        <v>341</v>
      </c>
    </row>
    <row r="1072" spans="1:2" x14ac:dyDescent="0.25">
      <c r="A1072" t="s">
        <v>2174</v>
      </c>
      <c r="B1072" t="s">
        <v>87</v>
      </c>
    </row>
    <row r="1073" spans="1:4" x14ac:dyDescent="0.25">
      <c r="A1073" t="s">
        <v>2175</v>
      </c>
      <c r="B1073" t="s">
        <v>173</v>
      </c>
    </row>
    <row r="1074" spans="1:4" x14ac:dyDescent="0.25">
      <c r="A1074" t="s">
        <v>2176</v>
      </c>
      <c r="B1074" t="s">
        <v>87</v>
      </c>
    </row>
    <row r="1075" spans="1:4" x14ac:dyDescent="0.25">
      <c r="A1075" t="s">
        <v>2177</v>
      </c>
      <c r="B1075" t="s">
        <v>87</v>
      </c>
    </row>
    <row r="1076" spans="1:4" x14ac:dyDescent="0.25">
      <c r="A1076" t="s">
        <v>2188</v>
      </c>
      <c r="B1076" t="s">
        <v>87</v>
      </c>
    </row>
    <row r="1077" spans="1:4" x14ac:dyDescent="0.25">
      <c r="A1077" t="s">
        <v>2189</v>
      </c>
      <c r="B1077" t="s">
        <v>173</v>
      </c>
      <c r="D1077" t="s">
        <v>2189</v>
      </c>
    </row>
    <row r="1078" spans="1:4" x14ac:dyDescent="0.25">
      <c r="A1078" t="s">
        <v>2190</v>
      </c>
      <c r="B1078" t="s">
        <v>87</v>
      </c>
    </row>
    <row r="1079" spans="1:4" x14ac:dyDescent="0.25">
      <c r="A1079" t="s">
        <v>2191</v>
      </c>
      <c r="B1079" t="s">
        <v>87</v>
      </c>
    </row>
    <row r="1080" spans="1:4" x14ac:dyDescent="0.25">
      <c r="A1080" t="s">
        <v>2192</v>
      </c>
      <c r="B1080" t="s">
        <v>87</v>
      </c>
    </row>
    <row r="1081" spans="1:4" x14ac:dyDescent="0.25">
      <c r="A1081" t="s">
        <v>2193</v>
      </c>
      <c r="B1081" t="s">
        <v>341</v>
      </c>
    </row>
    <row r="1082" spans="1:4" x14ac:dyDescent="0.25">
      <c r="A1082" t="s">
        <v>2194</v>
      </c>
      <c r="B1082" t="s">
        <v>87</v>
      </c>
    </row>
    <row r="1083" spans="1:4" x14ac:dyDescent="0.25">
      <c r="A1083" t="s">
        <v>2195</v>
      </c>
      <c r="B1083" t="s">
        <v>341</v>
      </c>
    </row>
    <row r="1084" spans="1:4" x14ac:dyDescent="0.25">
      <c r="A1084" t="s">
        <v>2196</v>
      </c>
      <c r="B1084" t="s">
        <v>87</v>
      </c>
    </row>
    <row r="1085" spans="1:4" x14ac:dyDescent="0.25">
      <c r="A1085" t="s">
        <v>833</v>
      </c>
      <c r="B1085" t="s">
        <v>77</v>
      </c>
    </row>
    <row r="1086" spans="1:4" x14ac:dyDescent="0.25">
      <c r="A1086" t="s">
        <v>1166</v>
      </c>
      <c r="B1086" t="s">
        <v>341</v>
      </c>
    </row>
    <row r="1087" spans="1:4" x14ac:dyDescent="0.25">
      <c r="A1087" t="s">
        <v>667</v>
      </c>
      <c r="B1087" t="s">
        <v>341</v>
      </c>
    </row>
    <row r="1088" spans="1:4" x14ac:dyDescent="0.25">
      <c r="A1088" t="s">
        <v>2204</v>
      </c>
      <c r="B1088" t="s">
        <v>16</v>
      </c>
    </row>
    <row r="1089" spans="1:2" x14ac:dyDescent="0.25">
      <c r="A1089" t="s">
        <v>2205</v>
      </c>
      <c r="B1089" t="s">
        <v>87</v>
      </c>
    </row>
    <row r="1090" spans="1:2" x14ac:dyDescent="0.25">
      <c r="A1090" t="s">
        <v>2217</v>
      </c>
      <c r="B1090" t="s">
        <v>173</v>
      </c>
    </row>
    <row r="1091" spans="1:2" x14ac:dyDescent="0.25">
      <c r="A1091" t="s">
        <v>2220</v>
      </c>
      <c r="B1091" t="s">
        <v>87</v>
      </c>
    </row>
    <row r="1092" spans="1:2" x14ac:dyDescent="0.25">
      <c r="A1092" t="s">
        <v>2225</v>
      </c>
    </row>
    <row r="1093" spans="1:2" x14ac:dyDescent="0.25">
      <c r="A1093" t="s">
        <v>2230</v>
      </c>
      <c r="B1093" t="s">
        <v>341</v>
      </c>
    </row>
    <row r="1094" spans="1:2" x14ac:dyDescent="0.25">
      <c r="A1094" t="s">
        <v>667</v>
      </c>
      <c r="B1094" t="s">
        <v>173</v>
      </c>
    </row>
    <row r="1095" spans="1:2" x14ac:dyDescent="0.25">
      <c r="A1095" t="s">
        <v>2232</v>
      </c>
      <c r="B1095" t="s">
        <v>173</v>
      </c>
    </row>
    <row r="1096" spans="1:2" x14ac:dyDescent="0.25">
      <c r="A1096" t="s">
        <v>2237</v>
      </c>
      <c r="B1096" t="s">
        <v>341</v>
      </c>
    </row>
    <row r="1097" spans="1:2" x14ac:dyDescent="0.25">
      <c r="A1097" t="s">
        <v>2238</v>
      </c>
    </row>
    <row r="1098" spans="1:2" x14ac:dyDescent="0.25">
      <c r="A1098" t="s">
        <v>2239</v>
      </c>
    </row>
    <row r="1099" spans="1:2" x14ac:dyDescent="0.25">
      <c r="A1099" t="s">
        <v>2240</v>
      </c>
    </row>
    <row r="1100" spans="1:2" x14ac:dyDescent="0.25">
      <c r="A1100" t="s">
        <v>2241</v>
      </c>
      <c r="B1100" t="s">
        <v>173</v>
      </c>
    </row>
    <row r="1101" spans="1:2" x14ac:dyDescent="0.25">
      <c r="A1101" t="s">
        <v>2242</v>
      </c>
      <c r="B1101" t="s">
        <v>87</v>
      </c>
    </row>
    <row r="1102" spans="1:2" x14ac:dyDescent="0.25">
      <c r="A1102" t="s">
        <v>2250</v>
      </c>
      <c r="B1102" t="s">
        <v>341</v>
      </c>
    </row>
    <row r="1103" spans="1:2" x14ac:dyDescent="0.25">
      <c r="A1103" t="s">
        <v>2251</v>
      </c>
      <c r="B1103" t="s">
        <v>341</v>
      </c>
    </row>
    <row r="1104" spans="1:2" x14ac:dyDescent="0.25">
      <c r="A1104" t="s">
        <v>2252</v>
      </c>
      <c r="B1104" t="s">
        <v>341</v>
      </c>
    </row>
    <row r="1105" spans="1:4" x14ac:dyDescent="0.25">
      <c r="A1105" t="s">
        <v>2257</v>
      </c>
      <c r="B1105" t="s">
        <v>341</v>
      </c>
    </row>
    <row r="1106" spans="1:4" x14ac:dyDescent="0.25">
      <c r="A1106" t="s">
        <v>2258</v>
      </c>
      <c r="B1106" t="s">
        <v>341</v>
      </c>
    </row>
    <row r="1107" spans="1:4" x14ac:dyDescent="0.25">
      <c r="A1107" t="s">
        <v>2259</v>
      </c>
      <c r="B1107" t="s">
        <v>341</v>
      </c>
    </row>
    <row r="1108" spans="1:4" x14ac:dyDescent="0.25">
      <c r="A1108" t="s">
        <v>2266</v>
      </c>
      <c r="B1108" t="s">
        <v>16</v>
      </c>
    </row>
    <row r="1109" spans="1:4" x14ac:dyDescent="0.25">
      <c r="A1109" t="s">
        <v>1187</v>
      </c>
      <c r="B1109" t="s">
        <v>341</v>
      </c>
    </row>
    <row r="1110" spans="1:4" x14ac:dyDescent="0.25">
      <c r="A1110" t="s">
        <v>2267</v>
      </c>
      <c r="B1110" t="s">
        <v>341</v>
      </c>
    </row>
    <row r="1111" spans="1:4" x14ac:dyDescent="0.25">
      <c r="A1111" t="s">
        <v>2268</v>
      </c>
      <c r="B1111" t="s">
        <v>16</v>
      </c>
    </row>
    <row r="1112" spans="1:4" x14ac:dyDescent="0.25">
      <c r="A1112" t="s">
        <v>2269</v>
      </c>
      <c r="B1112" t="s">
        <v>16</v>
      </c>
    </row>
    <row r="1113" spans="1:4" x14ac:dyDescent="0.25">
      <c r="A1113" t="s">
        <v>1835</v>
      </c>
      <c r="B1113" t="s">
        <v>341</v>
      </c>
    </row>
    <row r="1114" spans="1:4" x14ac:dyDescent="0.25">
      <c r="A1114" t="s">
        <v>1837</v>
      </c>
      <c r="B1114" t="s">
        <v>341</v>
      </c>
    </row>
    <row r="1115" spans="1:4" x14ac:dyDescent="0.25">
      <c r="A1115" t="s">
        <v>1836</v>
      </c>
      <c r="B1115" t="s">
        <v>341</v>
      </c>
    </row>
    <row r="1116" spans="1:4" x14ac:dyDescent="0.25">
      <c r="A1116" t="s">
        <v>2278</v>
      </c>
      <c r="B1116" t="s">
        <v>48</v>
      </c>
    </row>
    <row r="1117" spans="1:4" x14ac:dyDescent="0.25">
      <c r="A1117" t="s">
        <v>2279</v>
      </c>
      <c r="B1117" t="s">
        <v>48</v>
      </c>
    </row>
    <row r="1118" spans="1:4" x14ac:dyDescent="0.25">
      <c r="A1118" t="s">
        <v>2280</v>
      </c>
      <c r="B1118" t="s">
        <v>16</v>
      </c>
      <c r="D1118" t="s">
        <v>2280</v>
      </c>
    </row>
    <row r="1119" spans="1:4" x14ac:dyDescent="0.25">
      <c r="A1119" t="s">
        <v>1819</v>
      </c>
      <c r="B1119" t="s">
        <v>173</v>
      </c>
    </row>
    <row r="1120" spans="1:4" x14ac:dyDescent="0.25">
      <c r="A1120" t="s">
        <v>361</v>
      </c>
      <c r="B1120" t="s">
        <v>173</v>
      </c>
      <c r="D1120" t="s">
        <v>361</v>
      </c>
    </row>
    <row r="1121" spans="1:10" x14ac:dyDescent="0.25">
      <c r="A1121" t="s">
        <v>2281</v>
      </c>
      <c r="B1121" t="s">
        <v>173</v>
      </c>
    </row>
    <row r="1122" spans="1:10" x14ac:dyDescent="0.25">
      <c r="A1122" t="s">
        <v>2285</v>
      </c>
      <c r="B1122" t="s">
        <v>173</v>
      </c>
    </row>
    <row r="1123" spans="1:10" x14ac:dyDescent="0.25">
      <c r="A1123" t="s">
        <v>2286</v>
      </c>
      <c r="B1123" t="s">
        <v>95</v>
      </c>
      <c r="D1123" t="s">
        <v>75</v>
      </c>
      <c r="F1123" t="s">
        <v>2912</v>
      </c>
      <c r="G1123" t="s">
        <v>77</v>
      </c>
      <c r="H1123">
        <v>45</v>
      </c>
    </row>
    <row r="1124" spans="1:10" x14ac:dyDescent="0.25">
      <c r="A1124" t="s">
        <v>2287</v>
      </c>
      <c r="B1124" t="s">
        <v>95</v>
      </c>
      <c r="D1124" t="s">
        <v>75</v>
      </c>
      <c r="I1124" t="s">
        <v>2897</v>
      </c>
      <c r="J1124" t="s">
        <v>2217</v>
      </c>
    </row>
    <row r="1125" spans="1:10" x14ac:dyDescent="0.25">
      <c r="A1125" t="s">
        <v>2291</v>
      </c>
      <c r="B1125" t="s">
        <v>95</v>
      </c>
      <c r="D1125" t="s">
        <v>75</v>
      </c>
      <c r="F1125" t="s">
        <v>2911</v>
      </c>
      <c r="G1125" t="s">
        <v>77</v>
      </c>
      <c r="H1125">
        <v>59.4</v>
      </c>
    </row>
    <row r="1126" spans="1:10" x14ac:dyDescent="0.25">
      <c r="A1126" t="s">
        <v>2292</v>
      </c>
      <c r="B1126" t="s">
        <v>87</v>
      </c>
    </row>
    <row r="1127" spans="1:10" x14ac:dyDescent="0.25">
      <c r="A1127" t="s">
        <v>1498</v>
      </c>
      <c r="B1127" t="s">
        <v>341</v>
      </c>
    </row>
    <row r="1128" spans="1:10" x14ac:dyDescent="0.25">
      <c r="A1128" t="s">
        <v>2293</v>
      </c>
      <c r="B1128" t="s">
        <v>341</v>
      </c>
    </row>
    <row r="1129" spans="1:10" x14ac:dyDescent="0.25">
      <c r="A1129" t="s">
        <v>1469</v>
      </c>
      <c r="B1129" t="s">
        <v>173</v>
      </c>
    </row>
    <row r="1130" spans="1:10" x14ac:dyDescent="0.25">
      <c r="A1130" t="s">
        <v>2294</v>
      </c>
      <c r="B1130" t="s">
        <v>48</v>
      </c>
    </row>
    <row r="1131" spans="1:10" x14ac:dyDescent="0.25">
      <c r="A1131" t="s">
        <v>2295</v>
      </c>
      <c r="B1131" t="s">
        <v>48</v>
      </c>
    </row>
    <row r="1132" spans="1:10" x14ac:dyDescent="0.25">
      <c r="A1132" t="s">
        <v>1278</v>
      </c>
      <c r="B1132" t="s">
        <v>173</v>
      </c>
      <c r="D1132" t="s">
        <v>1278</v>
      </c>
    </row>
    <row r="1133" spans="1:10" x14ac:dyDescent="0.25">
      <c r="A1133" t="s">
        <v>2296</v>
      </c>
      <c r="B1133" t="s">
        <v>95</v>
      </c>
    </row>
    <row r="1134" spans="1:10" x14ac:dyDescent="0.25">
      <c r="A1134" t="s">
        <v>2298</v>
      </c>
      <c r="B1134" t="s">
        <v>87</v>
      </c>
    </row>
    <row r="1135" spans="1:10" x14ac:dyDescent="0.25">
      <c r="A1135" t="s">
        <v>2299</v>
      </c>
      <c r="B1135" t="s">
        <v>341</v>
      </c>
    </row>
    <row r="1136" spans="1:10" x14ac:dyDescent="0.25">
      <c r="A1136" t="s">
        <v>2300</v>
      </c>
      <c r="B1136" t="s">
        <v>87</v>
      </c>
    </row>
    <row r="1137" spans="1:4" x14ac:dyDescent="0.25">
      <c r="A1137" t="s">
        <v>2305</v>
      </c>
      <c r="B1137" t="s">
        <v>87</v>
      </c>
    </row>
    <row r="1138" spans="1:4" x14ac:dyDescent="0.25">
      <c r="A1138" t="s">
        <v>396</v>
      </c>
      <c r="B1138" t="s">
        <v>87</v>
      </c>
      <c r="D1138" t="s">
        <v>396</v>
      </c>
    </row>
    <row r="1139" spans="1:4" x14ac:dyDescent="0.25">
      <c r="A1139" t="s">
        <v>2310</v>
      </c>
      <c r="B1139" t="s">
        <v>95</v>
      </c>
    </row>
    <row r="1140" spans="1:4" x14ac:dyDescent="0.25">
      <c r="A1140" t="s">
        <v>2311</v>
      </c>
      <c r="B1140" t="s">
        <v>87</v>
      </c>
    </row>
    <row r="1141" spans="1:4" x14ac:dyDescent="0.25">
      <c r="A1141" t="s">
        <v>2312</v>
      </c>
      <c r="B1141" t="s">
        <v>87</v>
      </c>
    </row>
    <row r="1142" spans="1:4" x14ac:dyDescent="0.25">
      <c r="A1142" t="s">
        <v>2313</v>
      </c>
      <c r="B1142" t="s">
        <v>341</v>
      </c>
    </row>
    <row r="1143" spans="1:4" x14ac:dyDescent="0.25">
      <c r="A1143" t="s">
        <v>2314</v>
      </c>
      <c r="B1143" t="s">
        <v>87</v>
      </c>
    </row>
    <row r="1144" spans="1:4" x14ac:dyDescent="0.25">
      <c r="A1144" t="s">
        <v>2315</v>
      </c>
      <c r="B1144" t="s">
        <v>87</v>
      </c>
    </row>
    <row r="1145" spans="1:4" x14ac:dyDescent="0.25">
      <c r="A1145" t="s">
        <v>2316</v>
      </c>
      <c r="B1145" t="s">
        <v>341</v>
      </c>
    </row>
    <row r="1146" spans="1:4" x14ac:dyDescent="0.25">
      <c r="A1146" t="s">
        <v>2317</v>
      </c>
      <c r="B1146" t="s">
        <v>341</v>
      </c>
    </row>
    <row r="1147" spans="1:4" x14ac:dyDescent="0.25">
      <c r="A1147" t="s">
        <v>2318</v>
      </c>
      <c r="B1147" t="s">
        <v>341</v>
      </c>
    </row>
    <row r="1148" spans="1:4" x14ac:dyDescent="0.25">
      <c r="A1148" t="s">
        <v>2319</v>
      </c>
      <c r="B1148" t="s">
        <v>87</v>
      </c>
    </row>
    <row r="1149" spans="1:4" x14ac:dyDescent="0.25">
      <c r="A1149" t="s">
        <v>2320</v>
      </c>
      <c r="B1149" t="s">
        <v>87</v>
      </c>
    </row>
    <row r="1150" spans="1:4" x14ac:dyDescent="0.25">
      <c r="A1150" t="s">
        <v>2321</v>
      </c>
      <c r="B1150" t="s">
        <v>341</v>
      </c>
    </row>
    <row r="1151" spans="1:4" x14ac:dyDescent="0.25">
      <c r="A1151" t="s">
        <v>2322</v>
      </c>
      <c r="B1151" t="s">
        <v>341</v>
      </c>
    </row>
    <row r="1152" spans="1:4" x14ac:dyDescent="0.25">
      <c r="A1152" t="s">
        <v>2323</v>
      </c>
      <c r="B1152" t="s">
        <v>87</v>
      </c>
    </row>
    <row r="1153" spans="1:10" x14ac:dyDescent="0.25">
      <c r="A1153" t="s">
        <v>2324</v>
      </c>
      <c r="B1153" t="s">
        <v>87</v>
      </c>
    </row>
    <row r="1154" spans="1:10" x14ac:dyDescent="0.25">
      <c r="A1154" t="s">
        <v>1152</v>
      </c>
      <c r="B1154" t="s">
        <v>173</v>
      </c>
      <c r="D1154" t="s">
        <v>1152</v>
      </c>
    </row>
    <row r="1155" spans="1:10" x14ac:dyDescent="0.25">
      <c r="A1155" t="s">
        <v>2328</v>
      </c>
      <c r="B1155" t="s">
        <v>341</v>
      </c>
    </row>
    <row r="1156" spans="1:10" x14ac:dyDescent="0.25">
      <c r="A1156" t="s">
        <v>2329</v>
      </c>
      <c r="B1156" t="s">
        <v>87</v>
      </c>
    </row>
    <row r="1157" spans="1:10" x14ac:dyDescent="0.25">
      <c r="A1157" t="s">
        <v>2287</v>
      </c>
      <c r="B1157" t="s">
        <v>173</v>
      </c>
      <c r="D1157" t="s">
        <v>75</v>
      </c>
      <c r="I1157" t="s">
        <v>2897</v>
      </c>
      <c r="J1157" t="s">
        <v>2217</v>
      </c>
    </row>
    <row r="1158" spans="1:10" x14ac:dyDescent="0.25">
      <c r="A1158" t="s">
        <v>2079</v>
      </c>
      <c r="B1158" t="s">
        <v>87</v>
      </c>
    </row>
    <row r="1159" spans="1:10" x14ac:dyDescent="0.25">
      <c r="A1159" t="s">
        <v>2331</v>
      </c>
      <c r="B1159" t="s">
        <v>173</v>
      </c>
    </row>
    <row r="1160" spans="1:10" x14ac:dyDescent="0.25">
      <c r="A1160" t="s">
        <v>2334</v>
      </c>
      <c r="B1160" t="s">
        <v>173</v>
      </c>
      <c r="D1160" t="s">
        <v>2334</v>
      </c>
    </row>
    <row r="1161" spans="1:10" x14ac:dyDescent="0.25">
      <c r="A1161" t="s">
        <v>2337</v>
      </c>
      <c r="B1161" t="s">
        <v>173</v>
      </c>
    </row>
    <row r="1162" spans="1:10" x14ac:dyDescent="0.25">
      <c r="A1162" t="s">
        <v>2338</v>
      </c>
      <c r="B1162" t="s">
        <v>173</v>
      </c>
    </row>
    <row r="1163" spans="1:10" x14ac:dyDescent="0.25">
      <c r="A1163" t="s">
        <v>2343</v>
      </c>
      <c r="B1163" t="s">
        <v>87</v>
      </c>
    </row>
    <row r="1164" spans="1:10" x14ac:dyDescent="0.25">
      <c r="A1164" t="s">
        <v>2344</v>
      </c>
      <c r="B1164" t="s">
        <v>173</v>
      </c>
    </row>
    <row r="1165" spans="1:10" x14ac:dyDescent="0.25">
      <c r="A1165" t="s">
        <v>2345</v>
      </c>
      <c r="B1165" t="s">
        <v>87</v>
      </c>
    </row>
    <row r="1166" spans="1:10" x14ac:dyDescent="0.25">
      <c r="A1166" t="s">
        <v>2346</v>
      </c>
      <c r="B1166" t="s">
        <v>214</v>
      </c>
    </row>
    <row r="1167" spans="1:10" x14ac:dyDescent="0.25">
      <c r="A1167" t="s">
        <v>2348</v>
      </c>
      <c r="B1167" t="s">
        <v>87</v>
      </c>
    </row>
    <row r="1168" spans="1:10" x14ac:dyDescent="0.25">
      <c r="A1168" t="s">
        <v>2349</v>
      </c>
      <c r="B1168" t="s">
        <v>87</v>
      </c>
    </row>
    <row r="1169" spans="1:4" x14ac:dyDescent="0.25">
      <c r="A1169" t="s">
        <v>2350</v>
      </c>
      <c r="B1169" t="s">
        <v>173</v>
      </c>
    </row>
    <row r="1170" spans="1:4" x14ac:dyDescent="0.25">
      <c r="A1170" t="s">
        <v>1014</v>
      </c>
      <c r="B1170" t="s">
        <v>173</v>
      </c>
    </row>
    <row r="1171" spans="1:4" x14ac:dyDescent="0.25">
      <c r="A1171" t="s">
        <v>2351</v>
      </c>
      <c r="B1171" t="s">
        <v>173</v>
      </c>
    </row>
    <row r="1172" spans="1:4" x14ac:dyDescent="0.25">
      <c r="A1172" t="s">
        <v>2352</v>
      </c>
      <c r="B1172" t="s">
        <v>16</v>
      </c>
      <c r="D1172" t="s">
        <v>2352</v>
      </c>
    </row>
    <row r="1173" spans="1:4" x14ac:dyDescent="0.25">
      <c r="A1173" t="s">
        <v>2354</v>
      </c>
      <c r="B1173" t="s">
        <v>87</v>
      </c>
    </row>
    <row r="1174" spans="1:4" x14ac:dyDescent="0.25">
      <c r="A1174" t="s">
        <v>2357</v>
      </c>
      <c r="B1174" t="s">
        <v>87</v>
      </c>
    </row>
    <row r="1175" spans="1:4" x14ac:dyDescent="0.25">
      <c r="A1175" t="s">
        <v>2358</v>
      </c>
      <c r="B1175" t="s">
        <v>16</v>
      </c>
    </row>
    <row r="1176" spans="1:4" x14ac:dyDescent="0.25">
      <c r="A1176" t="s">
        <v>2359</v>
      </c>
      <c r="B1176" t="s">
        <v>16</v>
      </c>
      <c r="D1176" t="s">
        <v>2359</v>
      </c>
    </row>
    <row r="1177" spans="1:4" x14ac:dyDescent="0.25">
      <c r="A1177" t="s">
        <v>2360</v>
      </c>
      <c r="B1177" t="s">
        <v>87</v>
      </c>
    </row>
    <row r="1178" spans="1:4" x14ac:dyDescent="0.25">
      <c r="A1178" t="s">
        <v>2361</v>
      </c>
      <c r="B1178" t="s">
        <v>87</v>
      </c>
    </row>
    <row r="1179" spans="1:4" x14ac:dyDescent="0.25">
      <c r="A1179" t="s">
        <v>2362</v>
      </c>
      <c r="B1179" t="s">
        <v>87</v>
      </c>
    </row>
    <row r="1180" spans="1:4" x14ac:dyDescent="0.25">
      <c r="A1180" t="s">
        <v>2363</v>
      </c>
      <c r="B1180" t="s">
        <v>16</v>
      </c>
      <c r="D1180" t="s">
        <v>2363</v>
      </c>
    </row>
    <row r="1181" spans="1:4" x14ac:dyDescent="0.25">
      <c r="A1181" t="s">
        <v>2364</v>
      </c>
    </row>
    <row r="1182" spans="1:4" x14ac:dyDescent="0.25">
      <c r="A1182" t="s">
        <v>2369</v>
      </c>
      <c r="B1182" t="s">
        <v>16</v>
      </c>
    </row>
    <row r="1183" spans="1:4" x14ac:dyDescent="0.25">
      <c r="A1183" t="s">
        <v>2370</v>
      </c>
      <c r="B1183" t="s">
        <v>16</v>
      </c>
    </row>
    <row r="1184" spans="1:4" x14ac:dyDescent="0.25">
      <c r="A1184" t="s">
        <v>2371</v>
      </c>
      <c r="B1184" t="s">
        <v>16</v>
      </c>
      <c r="D1184" t="s">
        <v>2371</v>
      </c>
    </row>
    <row r="1185" spans="1:8" x14ac:dyDescent="0.25">
      <c r="A1185" t="s">
        <v>1097</v>
      </c>
      <c r="B1185" t="s">
        <v>341</v>
      </c>
    </row>
    <row r="1186" spans="1:8" x14ac:dyDescent="0.25">
      <c r="A1186" t="s">
        <v>2379</v>
      </c>
      <c r="B1186" t="s">
        <v>87</v>
      </c>
    </row>
    <row r="1187" spans="1:8" x14ac:dyDescent="0.25">
      <c r="A1187" t="s">
        <v>2380</v>
      </c>
      <c r="B1187" t="s">
        <v>173</v>
      </c>
    </row>
    <row r="1188" spans="1:8" x14ac:dyDescent="0.25">
      <c r="A1188" t="s">
        <v>2381</v>
      </c>
      <c r="B1188" t="s">
        <v>341</v>
      </c>
    </row>
    <row r="1189" spans="1:8" x14ac:dyDescent="0.25">
      <c r="A1189" t="s">
        <v>2382</v>
      </c>
      <c r="B1189" t="s">
        <v>87</v>
      </c>
    </row>
    <row r="1190" spans="1:8" x14ac:dyDescent="0.25">
      <c r="A1190" t="s">
        <v>2383</v>
      </c>
      <c r="B1190" t="s">
        <v>87</v>
      </c>
    </row>
    <row r="1191" spans="1:8" x14ac:dyDescent="0.25">
      <c r="A1191" t="s">
        <v>2386</v>
      </c>
      <c r="B1191" t="s">
        <v>173</v>
      </c>
    </row>
    <row r="1192" spans="1:8" x14ac:dyDescent="0.25">
      <c r="A1192" t="s">
        <v>2389</v>
      </c>
      <c r="B1192" t="s">
        <v>341</v>
      </c>
    </row>
    <row r="1193" spans="1:8" x14ac:dyDescent="0.25">
      <c r="A1193" t="s">
        <v>2390</v>
      </c>
      <c r="B1193" t="s">
        <v>87</v>
      </c>
    </row>
    <row r="1194" spans="1:8" x14ac:dyDescent="0.25">
      <c r="A1194" t="s">
        <v>2391</v>
      </c>
      <c r="B1194" t="s">
        <v>87</v>
      </c>
    </row>
    <row r="1195" spans="1:8" x14ac:dyDescent="0.25">
      <c r="A1195" t="s">
        <v>2392</v>
      </c>
      <c r="B1195" t="s">
        <v>87</v>
      </c>
    </row>
    <row r="1196" spans="1:8" x14ac:dyDescent="0.25">
      <c r="A1196" t="s">
        <v>364</v>
      </c>
      <c r="B1196" t="s">
        <v>48</v>
      </c>
      <c r="D1196" t="s">
        <v>364</v>
      </c>
    </row>
    <row r="1197" spans="1:8" x14ac:dyDescent="0.25">
      <c r="A1197" t="s">
        <v>2395</v>
      </c>
      <c r="B1197" t="s">
        <v>95</v>
      </c>
      <c r="D1197" t="s">
        <v>75</v>
      </c>
      <c r="F1197" t="s">
        <v>2910</v>
      </c>
      <c r="G1197" t="s">
        <v>77</v>
      </c>
      <c r="H1197" t="s">
        <v>2909</v>
      </c>
    </row>
    <row r="1198" spans="1:8" x14ac:dyDescent="0.25">
      <c r="A1198" t="s">
        <v>2414</v>
      </c>
      <c r="B1198" t="s">
        <v>87</v>
      </c>
    </row>
    <row r="1199" spans="1:8" x14ac:dyDescent="0.25">
      <c r="A1199" t="s">
        <v>2426</v>
      </c>
      <c r="B1199" t="s">
        <v>341</v>
      </c>
    </row>
    <row r="1200" spans="1:8" x14ac:dyDescent="0.25">
      <c r="A1200" t="s">
        <v>2427</v>
      </c>
      <c r="B1200" t="s">
        <v>87</v>
      </c>
    </row>
    <row r="1201" spans="1:4" x14ac:dyDescent="0.25">
      <c r="A1201" t="s">
        <v>2428</v>
      </c>
      <c r="B1201" t="s">
        <v>173</v>
      </c>
      <c r="C1201" t="s">
        <v>2902</v>
      </c>
      <c r="D1201" t="s">
        <v>665</v>
      </c>
    </row>
    <row r="1202" spans="1:4" x14ac:dyDescent="0.25">
      <c r="A1202" t="s">
        <v>1830</v>
      </c>
      <c r="B1202" t="s">
        <v>341</v>
      </c>
    </row>
    <row r="1203" spans="1:4" x14ac:dyDescent="0.25">
      <c r="A1203" t="s">
        <v>2429</v>
      </c>
      <c r="B1203" t="s">
        <v>87</v>
      </c>
    </row>
    <row r="1204" spans="1:4" x14ac:dyDescent="0.25">
      <c r="A1204" t="s">
        <v>2430</v>
      </c>
      <c r="B1204" t="s">
        <v>87</v>
      </c>
    </row>
    <row r="1205" spans="1:4" x14ac:dyDescent="0.25">
      <c r="A1205" t="s">
        <v>2431</v>
      </c>
      <c r="B1205" t="s">
        <v>46</v>
      </c>
    </row>
    <row r="1206" spans="1:4" x14ac:dyDescent="0.25">
      <c r="A1206" t="s">
        <v>2432</v>
      </c>
      <c r="B1206" t="s">
        <v>46</v>
      </c>
    </row>
    <row r="1207" spans="1:4" x14ac:dyDescent="0.25">
      <c r="A1207" t="s">
        <v>2433</v>
      </c>
      <c r="B1207" t="s">
        <v>77</v>
      </c>
    </row>
    <row r="1208" spans="1:4" x14ac:dyDescent="0.25">
      <c r="A1208" t="s">
        <v>2434</v>
      </c>
      <c r="B1208" t="s">
        <v>77</v>
      </c>
    </row>
    <row r="1209" spans="1:4" x14ac:dyDescent="0.25">
      <c r="A1209" t="s">
        <v>2435</v>
      </c>
      <c r="B1209" t="s">
        <v>173</v>
      </c>
    </row>
    <row r="1210" spans="1:4" x14ac:dyDescent="0.25">
      <c r="A1210" t="s">
        <v>2436</v>
      </c>
      <c r="B1210" t="s">
        <v>46</v>
      </c>
    </row>
    <row r="1211" spans="1:4" x14ac:dyDescent="0.25">
      <c r="A1211" t="s">
        <v>2437</v>
      </c>
      <c r="B1211" t="s">
        <v>46</v>
      </c>
    </row>
    <row r="1212" spans="1:4" x14ac:dyDescent="0.25">
      <c r="A1212" t="s">
        <v>2438</v>
      </c>
      <c r="B1212" t="s">
        <v>77</v>
      </c>
    </row>
    <row r="1213" spans="1:4" x14ac:dyDescent="0.25">
      <c r="A1213" t="s">
        <v>2439</v>
      </c>
      <c r="B1213" t="s">
        <v>77</v>
      </c>
    </row>
    <row r="1214" spans="1:4" x14ac:dyDescent="0.25">
      <c r="A1214" t="s">
        <v>2440</v>
      </c>
      <c r="B1214" t="s">
        <v>173</v>
      </c>
    </row>
    <row r="1215" spans="1:4" x14ac:dyDescent="0.25">
      <c r="A1215" t="s">
        <v>2441</v>
      </c>
    </row>
    <row r="1216" spans="1:4" x14ac:dyDescent="0.25">
      <c r="A1216" t="s">
        <v>2442</v>
      </c>
      <c r="B1216" t="s">
        <v>46</v>
      </c>
    </row>
    <row r="1217" spans="1:4" x14ac:dyDescent="0.25">
      <c r="A1217" t="s">
        <v>2443</v>
      </c>
      <c r="B1217" t="s">
        <v>46</v>
      </c>
    </row>
    <row r="1218" spans="1:4" x14ac:dyDescent="0.25">
      <c r="A1218" t="s">
        <v>2444</v>
      </c>
      <c r="B1218" t="s">
        <v>77</v>
      </c>
    </row>
    <row r="1219" spans="1:4" x14ac:dyDescent="0.25">
      <c r="A1219" t="s">
        <v>2445</v>
      </c>
      <c r="B1219" t="s">
        <v>77</v>
      </c>
    </row>
    <row r="1220" spans="1:4" x14ac:dyDescent="0.25">
      <c r="A1220" t="s">
        <v>2446</v>
      </c>
      <c r="B1220" t="s">
        <v>173</v>
      </c>
    </row>
    <row r="1221" spans="1:4" x14ac:dyDescent="0.25">
      <c r="A1221" t="s">
        <v>2447</v>
      </c>
      <c r="B1221" t="s">
        <v>46</v>
      </c>
    </row>
    <row r="1222" spans="1:4" x14ac:dyDescent="0.25">
      <c r="A1222" t="s">
        <v>2448</v>
      </c>
      <c r="B1222" t="s">
        <v>46</v>
      </c>
    </row>
    <row r="1223" spans="1:4" x14ac:dyDescent="0.25">
      <c r="A1223" t="s">
        <v>2449</v>
      </c>
      <c r="B1223" t="s">
        <v>77</v>
      </c>
    </row>
    <row r="1224" spans="1:4" x14ac:dyDescent="0.25">
      <c r="A1224" t="s">
        <v>2450</v>
      </c>
      <c r="B1224" t="s">
        <v>77</v>
      </c>
    </row>
    <row r="1225" spans="1:4" x14ac:dyDescent="0.25">
      <c r="A1225" t="s">
        <v>2451</v>
      </c>
      <c r="B1225" t="s">
        <v>173</v>
      </c>
    </row>
    <row r="1226" spans="1:4" x14ac:dyDescent="0.25">
      <c r="A1226" t="s">
        <v>2453</v>
      </c>
      <c r="B1226" t="s">
        <v>341</v>
      </c>
    </row>
    <row r="1227" spans="1:4" x14ac:dyDescent="0.25">
      <c r="A1227" t="s">
        <v>2454</v>
      </c>
      <c r="B1227" t="s">
        <v>341</v>
      </c>
    </row>
    <row r="1228" spans="1:4" x14ac:dyDescent="0.25">
      <c r="A1228" t="s">
        <v>2455</v>
      </c>
      <c r="B1228" t="s">
        <v>87</v>
      </c>
    </row>
    <row r="1229" spans="1:4" x14ac:dyDescent="0.25">
      <c r="A1229" t="s">
        <v>2456</v>
      </c>
      <c r="B1229" t="s">
        <v>173</v>
      </c>
    </row>
    <row r="1230" spans="1:4" x14ac:dyDescent="0.25">
      <c r="A1230" t="s">
        <v>2457</v>
      </c>
      <c r="B1230" t="s">
        <v>173</v>
      </c>
    </row>
    <row r="1231" spans="1:4" x14ac:dyDescent="0.25">
      <c r="A1231" t="s">
        <v>119</v>
      </c>
      <c r="B1231" t="s">
        <v>95</v>
      </c>
      <c r="D1231" t="s">
        <v>119</v>
      </c>
    </row>
    <row r="1232" spans="1:4" x14ac:dyDescent="0.25">
      <c r="A1232" t="s">
        <v>2460</v>
      </c>
      <c r="B1232" t="s">
        <v>87</v>
      </c>
    </row>
    <row r="1233" spans="1:2" x14ac:dyDescent="0.25">
      <c r="A1233" t="s">
        <v>2461</v>
      </c>
      <c r="B1233" t="s">
        <v>87</v>
      </c>
    </row>
    <row r="1234" spans="1:2" x14ac:dyDescent="0.25">
      <c r="A1234" t="s">
        <v>595</v>
      </c>
      <c r="B1234" t="s">
        <v>77</v>
      </c>
    </row>
    <row r="1235" spans="1:2" x14ac:dyDescent="0.25">
      <c r="A1235" t="s">
        <v>2462</v>
      </c>
      <c r="B1235" t="s">
        <v>87</v>
      </c>
    </row>
    <row r="1236" spans="1:2" x14ac:dyDescent="0.25">
      <c r="A1236" t="s">
        <v>2379</v>
      </c>
      <c r="B1236" t="s">
        <v>341</v>
      </c>
    </row>
    <row r="1237" spans="1:2" x14ac:dyDescent="0.25">
      <c r="A1237" t="s">
        <v>2463</v>
      </c>
    </row>
    <row r="1238" spans="1:2" x14ac:dyDescent="0.25">
      <c r="A1238" t="s">
        <v>2464</v>
      </c>
      <c r="B1238" t="s">
        <v>95</v>
      </c>
    </row>
    <row r="1239" spans="1:2" x14ac:dyDescent="0.25">
      <c r="A1239" t="s">
        <v>2465</v>
      </c>
      <c r="B1239" t="s">
        <v>16</v>
      </c>
    </row>
    <row r="1240" spans="1:2" x14ac:dyDescent="0.25">
      <c r="A1240" t="s">
        <v>2466</v>
      </c>
      <c r="B1240" t="s">
        <v>16</v>
      </c>
    </row>
    <row r="1241" spans="1:2" x14ac:dyDescent="0.25">
      <c r="A1241" t="s">
        <v>2467</v>
      </c>
      <c r="B1241" t="s">
        <v>173</v>
      </c>
    </row>
    <row r="1242" spans="1:2" x14ac:dyDescent="0.25">
      <c r="A1242" t="s">
        <v>2470</v>
      </c>
      <c r="B1242" t="s">
        <v>173</v>
      </c>
    </row>
    <row r="1243" spans="1:2" x14ac:dyDescent="0.25">
      <c r="A1243" t="s">
        <v>2471</v>
      </c>
      <c r="B1243" t="s">
        <v>341</v>
      </c>
    </row>
    <row r="1244" spans="1:2" x14ac:dyDescent="0.25">
      <c r="A1244" t="s">
        <v>2474</v>
      </c>
      <c r="B1244" t="s">
        <v>87</v>
      </c>
    </row>
    <row r="1245" spans="1:2" x14ac:dyDescent="0.25">
      <c r="A1245" t="s">
        <v>2475</v>
      </c>
      <c r="B1245" t="s">
        <v>87</v>
      </c>
    </row>
    <row r="1246" spans="1:2" x14ac:dyDescent="0.25">
      <c r="A1246" t="s">
        <v>2476</v>
      </c>
      <c r="B1246" t="s">
        <v>87</v>
      </c>
    </row>
    <row r="1247" spans="1:2" x14ac:dyDescent="0.25">
      <c r="A1247" t="s">
        <v>2477</v>
      </c>
      <c r="B1247" t="s">
        <v>95</v>
      </c>
    </row>
    <row r="1248" spans="1:2" x14ac:dyDescent="0.25">
      <c r="A1248" t="s">
        <v>2028</v>
      </c>
      <c r="B1248" t="s">
        <v>87</v>
      </c>
    </row>
    <row r="1249" spans="1:5" x14ac:dyDescent="0.25">
      <c r="A1249" t="s">
        <v>2478</v>
      </c>
      <c r="B1249" t="s">
        <v>87</v>
      </c>
    </row>
    <row r="1250" spans="1:5" x14ac:dyDescent="0.25">
      <c r="A1250" t="s">
        <v>2479</v>
      </c>
      <c r="B1250" t="s">
        <v>87</v>
      </c>
    </row>
    <row r="1251" spans="1:5" x14ac:dyDescent="0.25">
      <c r="A1251" t="s">
        <v>2480</v>
      </c>
      <c r="B1251" t="s">
        <v>95</v>
      </c>
      <c r="D1251" t="s">
        <v>2480</v>
      </c>
    </row>
    <row r="1252" spans="1:5" x14ac:dyDescent="0.25">
      <c r="A1252" t="s">
        <v>2481</v>
      </c>
      <c r="B1252" t="s">
        <v>95</v>
      </c>
      <c r="D1252" t="s">
        <v>2481</v>
      </c>
    </row>
    <row r="1253" spans="1:5" x14ac:dyDescent="0.25">
      <c r="A1253" t="s">
        <v>2482</v>
      </c>
      <c r="B1253" t="s">
        <v>16</v>
      </c>
      <c r="D1253" t="s">
        <v>2482</v>
      </c>
    </row>
    <row r="1254" spans="1:5" x14ac:dyDescent="0.25">
      <c r="A1254" t="s">
        <v>2483</v>
      </c>
      <c r="B1254" t="s">
        <v>87</v>
      </c>
    </row>
    <row r="1255" spans="1:5" x14ac:dyDescent="0.25">
      <c r="A1255" t="s">
        <v>2484</v>
      </c>
      <c r="B1255" t="s">
        <v>341</v>
      </c>
    </row>
    <row r="1256" spans="1:5" x14ac:dyDescent="0.25">
      <c r="A1256" t="s">
        <v>2487</v>
      </c>
      <c r="B1256" t="s">
        <v>87</v>
      </c>
    </row>
    <row r="1257" spans="1:5" x14ac:dyDescent="0.25">
      <c r="A1257" t="s">
        <v>2488</v>
      </c>
      <c r="B1257" t="s">
        <v>87</v>
      </c>
    </row>
    <row r="1258" spans="1:5" x14ac:dyDescent="0.25">
      <c r="A1258" t="s">
        <v>2489</v>
      </c>
      <c r="B1258" t="s">
        <v>87</v>
      </c>
    </row>
    <row r="1259" spans="1:5" x14ac:dyDescent="0.25">
      <c r="A1259" t="s">
        <v>2491</v>
      </c>
      <c r="B1259" t="s">
        <v>87</v>
      </c>
    </row>
    <row r="1260" spans="1:5" x14ac:dyDescent="0.25">
      <c r="A1260" t="s">
        <v>2493</v>
      </c>
      <c r="B1260" t="s">
        <v>87</v>
      </c>
    </row>
    <row r="1261" spans="1:5" x14ac:dyDescent="0.25">
      <c r="A1261" t="s">
        <v>2494</v>
      </c>
      <c r="B1261" t="s">
        <v>341</v>
      </c>
    </row>
    <row r="1262" spans="1:5" x14ac:dyDescent="0.25">
      <c r="A1262" t="s">
        <v>2502</v>
      </c>
      <c r="B1262" t="s">
        <v>173</v>
      </c>
    </row>
    <row r="1263" spans="1:5" x14ac:dyDescent="0.25">
      <c r="A1263" t="s">
        <v>401</v>
      </c>
      <c r="B1263" t="s">
        <v>173</v>
      </c>
      <c r="C1263" t="s">
        <v>2908</v>
      </c>
      <c r="D1263" t="s">
        <v>93</v>
      </c>
    </row>
    <row r="1264" spans="1:5" x14ac:dyDescent="0.25">
      <c r="A1264" t="s">
        <v>2503</v>
      </c>
      <c r="B1264" t="s">
        <v>16</v>
      </c>
      <c r="D1264" t="s">
        <v>2907</v>
      </c>
      <c r="E1264" t="s">
        <v>106</v>
      </c>
    </row>
    <row r="1265" spans="1:13" x14ac:dyDescent="0.25">
      <c r="A1265" t="s">
        <v>2159</v>
      </c>
      <c r="B1265" t="s">
        <v>341</v>
      </c>
    </row>
    <row r="1266" spans="1:13" x14ac:dyDescent="0.25">
      <c r="A1266" t="s">
        <v>2504</v>
      </c>
      <c r="B1266" t="s">
        <v>173</v>
      </c>
      <c r="D1266" t="s">
        <v>2504</v>
      </c>
    </row>
    <row r="1267" spans="1:13" x14ac:dyDescent="0.25">
      <c r="A1267" t="s">
        <v>2505</v>
      </c>
      <c r="B1267" t="s">
        <v>173</v>
      </c>
    </row>
    <row r="1268" spans="1:13" x14ac:dyDescent="0.25">
      <c r="A1268" t="s">
        <v>2506</v>
      </c>
      <c r="B1268" t="s">
        <v>87</v>
      </c>
    </row>
    <row r="1269" spans="1:13" x14ac:dyDescent="0.25">
      <c r="A1269" t="s">
        <v>2507</v>
      </c>
      <c r="B1269" t="s">
        <v>87</v>
      </c>
    </row>
    <row r="1270" spans="1:13" x14ac:dyDescent="0.25">
      <c r="A1270" t="s">
        <v>2519</v>
      </c>
      <c r="B1270" t="s">
        <v>48</v>
      </c>
    </row>
    <row r="1271" spans="1:13" x14ac:dyDescent="0.25">
      <c r="A1271" t="s">
        <v>2520</v>
      </c>
      <c r="B1271" t="s">
        <v>48</v>
      </c>
    </row>
    <row r="1272" spans="1:13" x14ac:dyDescent="0.25">
      <c r="A1272" t="s">
        <v>2521</v>
      </c>
      <c r="B1272" t="s">
        <v>16</v>
      </c>
      <c r="D1272" t="s">
        <v>445</v>
      </c>
      <c r="M1272">
        <v>2</v>
      </c>
    </row>
    <row r="1273" spans="1:13" x14ac:dyDescent="0.25">
      <c r="A1273" t="s">
        <v>2522</v>
      </c>
      <c r="B1273" t="s">
        <v>16</v>
      </c>
    </row>
    <row r="1274" spans="1:13" x14ac:dyDescent="0.25">
      <c r="A1274" t="s">
        <v>2217</v>
      </c>
      <c r="B1274" t="s">
        <v>77</v>
      </c>
    </row>
    <row r="1275" spans="1:13" x14ac:dyDescent="0.25">
      <c r="A1275" t="s">
        <v>2523</v>
      </c>
    </row>
    <row r="1276" spans="1:13" x14ac:dyDescent="0.25">
      <c r="A1276" t="s">
        <v>2528</v>
      </c>
      <c r="B1276" t="s">
        <v>341</v>
      </c>
    </row>
    <row r="1277" spans="1:13" x14ac:dyDescent="0.25">
      <c r="A1277" t="s">
        <v>2534</v>
      </c>
      <c r="B1277" t="s">
        <v>173</v>
      </c>
    </row>
    <row r="1278" spans="1:13" x14ac:dyDescent="0.25">
      <c r="A1278" t="s">
        <v>2538</v>
      </c>
      <c r="B1278" t="s">
        <v>173</v>
      </c>
      <c r="D1278" t="s">
        <v>2538</v>
      </c>
    </row>
    <row r="1279" spans="1:13" x14ac:dyDescent="0.25">
      <c r="A1279" t="s">
        <v>2540</v>
      </c>
      <c r="B1279" t="s">
        <v>16</v>
      </c>
      <c r="D1279" t="s">
        <v>145</v>
      </c>
      <c r="M1279">
        <v>1</v>
      </c>
    </row>
    <row r="1280" spans="1:13" x14ac:dyDescent="0.25">
      <c r="A1280" t="s">
        <v>352</v>
      </c>
      <c r="B1280" t="s">
        <v>20</v>
      </c>
      <c r="D1280" t="s">
        <v>352</v>
      </c>
    </row>
    <row r="1281" spans="1:12" x14ac:dyDescent="0.25">
      <c r="A1281" t="s">
        <v>2541</v>
      </c>
      <c r="B1281" t="s">
        <v>46</v>
      </c>
    </row>
    <row r="1282" spans="1:12" x14ac:dyDescent="0.25">
      <c r="A1282" t="s">
        <v>2542</v>
      </c>
      <c r="B1282" t="s">
        <v>16</v>
      </c>
      <c r="D1282" t="s">
        <v>352</v>
      </c>
      <c r="K1282" t="s">
        <v>2906</v>
      </c>
      <c r="L1282" t="s">
        <v>2905</v>
      </c>
    </row>
    <row r="1283" spans="1:12" x14ac:dyDescent="0.25">
      <c r="A1283" t="s">
        <v>2543</v>
      </c>
      <c r="B1283" t="s">
        <v>173</v>
      </c>
    </row>
    <row r="1284" spans="1:12" x14ac:dyDescent="0.25">
      <c r="A1284" t="s">
        <v>2552</v>
      </c>
      <c r="B1284" t="s">
        <v>173</v>
      </c>
    </row>
    <row r="1285" spans="1:12" x14ac:dyDescent="0.25">
      <c r="A1285" t="s">
        <v>2554</v>
      </c>
      <c r="B1285" t="s">
        <v>95</v>
      </c>
      <c r="D1285" t="s">
        <v>75</v>
      </c>
      <c r="F1285" t="s">
        <v>2904</v>
      </c>
      <c r="G1285" t="s">
        <v>77</v>
      </c>
      <c r="H1285">
        <v>30</v>
      </c>
    </row>
    <row r="1286" spans="1:12" x14ac:dyDescent="0.25">
      <c r="A1286" t="s">
        <v>2555</v>
      </c>
    </row>
    <row r="1287" spans="1:12" x14ac:dyDescent="0.25">
      <c r="A1287" t="s">
        <v>2556</v>
      </c>
    </row>
    <row r="1288" spans="1:12" x14ac:dyDescent="0.25">
      <c r="A1288" t="s">
        <v>2557</v>
      </c>
      <c r="B1288" t="s">
        <v>87</v>
      </c>
    </row>
    <row r="1289" spans="1:12" x14ac:dyDescent="0.25">
      <c r="A1289" t="s">
        <v>2558</v>
      </c>
      <c r="B1289" t="s">
        <v>173</v>
      </c>
    </row>
    <row r="1290" spans="1:12" x14ac:dyDescent="0.25">
      <c r="A1290" t="s">
        <v>2563</v>
      </c>
      <c r="B1290" t="s">
        <v>173</v>
      </c>
    </row>
    <row r="1291" spans="1:12" x14ac:dyDescent="0.25">
      <c r="A1291" t="s">
        <v>2573</v>
      </c>
      <c r="B1291" t="s">
        <v>16</v>
      </c>
    </row>
    <row r="1292" spans="1:12" x14ac:dyDescent="0.25">
      <c r="A1292" t="s">
        <v>2574</v>
      </c>
      <c r="B1292" t="s">
        <v>341</v>
      </c>
    </row>
    <row r="1293" spans="1:12" x14ac:dyDescent="0.25">
      <c r="A1293" t="s">
        <v>2575</v>
      </c>
      <c r="B1293" t="s">
        <v>341</v>
      </c>
    </row>
    <row r="1294" spans="1:12" x14ac:dyDescent="0.25">
      <c r="A1294" t="s">
        <v>2576</v>
      </c>
      <c r="B1294" t="s">
        <v>214</v>
      </c>
    </row>
    <row r="1295" spans="1:12" x14ac:dyDescent="0.25">
      <c r="A1295" t="s">
        <v>2577</v>
      </c>
      <c r="B1295" t="s">
        <v>95</v>
      </c>
    </row>
    <row r="1296" spans="1:12" x14ac:dyDescent="0.25">
      <c r="A1296" t="s">
        <v>2578</v>
      </c>
      <c r="B1296" t="s">
        <v>87</v>
      </c>
    </row>
    <row r="1297" spans="1:4" x14ac:dyDescent="0.25">
      <c r="A1297" t="s">
        <v>2579</v>
      </c>
      <c r="B1297" t="s">
        <v>87</v>
      </c>
    </row>
    <row r="1298" spans="1:4" x14ac:dyDescent="0.25">
      <c r="A1298" t="s">
        <v>2580</v>
      </c>
      <c r="B1298" t="s">
        <v>173</v>
      </c>
    </row>
    <row r="1299" spans="1:4" x14ac:dyDescent="0.25">
      <c r="A1299" t="s">
        <v>2581</v>
      </c>
      <c r="B1299" t="s">
        <v>87</v>
      </c>
    </row>
    <row r="1300" spans="1:4" x14ac:dyDescent="0.25">
      <c r="A1300" t="s">
        <v>2582</v>
      </c>
      <c r="B1300" t="s">
        <v>16</v>
      </c>
      <c r="C1300" t="s">
        <v>85</v>
      </c>
      <c r="D1300" t="s">
        <v>91</v>
      </c>
    </row>
    <row r="1301" spans="1:4" x14ac:dyDescent="0.25">
      <c r="A1301" t="s">
        <v>2588</v>
      </c>
      <c r="B1301" t="s">
        <v>2217</v>
      </c>
    </row>
    <row r="1302" spans="1:4" x14ac:dyDescent="0.25">
      <c r="A1302" t="s">
        <v>1377</v>
      </c>
      <c r="B1302" t="s">
        <v>173</v>
      </c>
    </row>
    <row r="1303" spans="1:4" x14ac:dyDescent="0.25">
      <c r="A1303" t="s">
        <v>2601</v>
      </c>
      <c r="B1303" t="s">
        <v>173</v>
      </c>
    </row>
    <row r="1304" spans="1:4" x14ac:dyDescent="0.25">
      <c r="A1304" t="s">
        <v>2603</v>
      </c>
      <c r="B1304" t="s">
        <v>16</v>
      </c>
    </row>
    <row r="1305" spans="1:4" x14ac:dyDescent="0.25">
      <c r="A1305" t="s">
        <v>2604</v>
      </c>
      <c r="B1305" t="s">
        <v>48</v>
      </c>
    </row>
    <row r="1306" spans="1:4" x14ac:dyDescent="0.25">
      <c r="A1306" t="s">
        <v>2605</v>
      </c>
      <c r="B1306" t="s">
        <v>48</v>
      </c>
    </row>
    <row r="1307" spans="1:4" x14ac:dyDescent="0.25">
      <c r="A1307" t="s">
        <v>2606</v>
      </c>
      <c r="B1307" t="s">
        <v>173</v>
      </c>
      <c r="D1307" t="s">
        <v>2606</v>
      </c>
    </row>
    <row r="1308" spans="1:4" x14ac:dyDescent="0.25">
      <c r="A1308" t="s">
        <v>2609</v>
      </c>
      <c r="B1308" t="s">
        <v>341</v>
      </c>
    </row>
    <row r="1309" spans="1:4" x14ac:dyDescent="0.25">
      <c r="A1309" t="s">
        <v>2612</v>
      </c>
      <c r="B1309" t="s">
        <v>87</v>
      </c>
    </row>
    <row r="1310" spans="1:4" x14ac:dyDescent="0.25">
      <c r="A1310" t="s">
        <v>2195</v>
      </c>
      <c r="B1310" t="s">
        <v>87</v>
      </c>
    </row>
    <row r="1311" spans="1:4" x14ac:dyDescent="0.25">
      <c r="A1311" t="s">
        <v>2625</v>
      </c>
      <c r="B1311" t="s">
        <v>20</v>
      </c>
    </row>
    <row r="1312" spans="1:4" x14ac:dyDescent="0.25">
      <c r="A1312" t="s">
        <v>2323</v>
      </c>
      <c r="B1312" t="s">
        <v>173</v>
      </c>
    </row>
    <row r="1313" spans="1:4" x14ac:dyDescent="0.25">
      <c r="A1313" t="s">
        <v>2629</v>
      </c>
      <c r="B1313" t="s">
        <v>87</v>
      </c>
    </row>
    <row r="1314" spans="1:4" x14ac:dyDescent="0.25">
      <c r="A1314" t="s">
        <v>2632</v>
      </c>
      <c r="B1314" t="s">
        <v>173</v>
      </c>
    </row>
    <row r="1315" spans="1:4" x14ac:dyDescent="0.25">
      <c r="A1315" t="s">
        <v>2633</v>
      </c>
      <c r="B1315" t="s">
        <v>173</v>
      </c>
    </row>
    <row r="1316" spans="1:4" x14ac:dyDescent="0.25">
      <c r="A1316" t="s">
        <v>2634</v>
      </c>
      <c r="B1316" t="s">
        <v>173</v>
      </c>
    </row>
    <row r="1317" spans="1:4" x14ac:dyDescent="0.25">
      <c r="A1317" t="s">
        <v>2641</v>
      </c>
      <c r="B1317" t="s">
        <v>173</v>
      </c>
    </row>
    <row r="1318" spans="1:4" x14ac:dyDescent="0.25">
      <c r="A1318" t="s">
        <v>2528</v>
      </c>
      <c r="B1318" t="s">
        <v>87</v>
      </c>
    </row>
    <row r="1319" spans="1:4" x14ac:dyDescent="0.25">
      <c r="A1319" t="s">
        <v>2649</v>
      </c>
      <c r="B1319" t="s">
        <v>87</v>
      </c>
    </row>
    <row r="1320" spans="1:4" x14ac:dyDescent="0.25">
      <c r="A1320" t="s">
        <v>2650</v>
      </c>
      <c r="B1320" t="s">
        <v>341</v>
      </c>
    </row>
    <row r="1321" spans="1:4" x14ac:dyDescent="0.25">
      <c r="A1321" t="s">
        <v>60</v>
      </c>
      <c r="B1321" t="s">
        <v>16</v>
      </c>
      <c r="D1321" t="s">
        <v>60</v>
      </c>
    </row>
    <row r="1322" spans="1:4" x14ac:dyDescent="0.25">
      <c r="A1322" t="s">
        <v>2651</v>
      </c>
    </row>
    <row r="1323" spans="1:4" x14ac:dyDescent="0.25">
      <c r="A1323" t="s">
        <v>2652</v>
      </c>
      <c r="B1323" t="s">
        <v>87</v>
      </c>
    </row>
    <row r="1324" spans="1:4" x14ac:dyDescent="0.25">
      <c r="A1324" t="s">
        <v>2653</v>
      </c>
      <c r="B1324" t="s">
        <v>87</v>
      </c>
    </row>
    <row r="1325" spans="1:4" x14ac:dyDescent="0.25">
      <c r="A1325" t="s">
        <v>2659</v>
      </c>
      <c r="B1325" t="s">
        <v>87</v>
      </c>
    </row>
    <row r="1326" spans="1:4" x14ac:dyDescent="0.25">
      <c r="A1326" t="s">
        <v>2660</v>
      </c>
      <c r="B1326" t="s">
        <v>87</v>
      </c>
    </row>
    <row r="1327" spans="1:4" x14ac:dyDescent="0.25">
      <c r="A1327" t="s">
        <v>1287</v>
      </c>
      <c r="B1327" t="s">
        <v>341</v>
      </c>
    </row>
    <row r="1328" spans="1:4" x14ac:dyDescent="0.25">
      <c r="A1328" t="s">
        <v>2662</v>
      </c>
      <c r="B1328" t="s">
        <v>87</v>
      </c>
    </row>
    <row r="1329" spans="1:13" x14ac:dyDescent="0.25">
      <c r="A1329" t="s">
        <v>2217</v>
      </c>
    </row>
    <row r="1330" spans="1:13" x14ac:dyDescent="0.25">
      <c r="A1330" t="s">
        <v>2667</v>
      </c>
      <c r="B1330" t="s">
        <v>173</v>
      </c>
      <c r="D1330" t="s">
        <v>1630</v>
      </c>
      <c r="E1330" t="s">
        <v>1136</v>
      </c>
      <c r="M1330">
        <v>1</v>
      </c>
    </row>
    <row r="1331" spans="1:13" x14ac:dyDescent="0.25">
      <c r="A1331" t="s">
        <v>2390</v>
      </c>
      <c r="B1331" t="s">
        <v>341</v>
      </c>
    </row>
    <row r="1332" spans="1:13" x14ac:dyDescent="0.25">
      <c r="A1332" t="s">
        <v>2671</v>
      </c>
      <c r="B1332" t="s">
        <v>87</v>
      </c>
    </row>
    <row r="1333" spans="1:13" x14ac:dyDescent="0.25">
      <c r="A1333" t="s">
        <v>2676</v>
      </c>
      <c r="B1333" t="s">
        <v>341</v>
      </c>
    </row>
    <row r="1334" spans="1:13" x14ac:dyDescent="0.25">
      <c r="A1334" t="s">
        <v>2677</v>
      </c>
      <c r="B1334" t="s">
        <v>341</v>
      </c>
    </row>
    <row r="1335" spans="1:13" x14ac:dyDescent="0.25">
      <c r="A1335" t="s">
        <v>2678</v>
      </c>
      <c r="B1335" t="s">
        <v>341</v>
      </c>
    </row>
    <row r="1336" spans="1:13" x14ac:dyDescent="0.25">
      <c r="A1336" t="s">
        <v>2679</v>
      </c>
      <c r="B1336" t="s">
        <v>341</v>
      </c>
    </row>
    <row r="1337" spans="1:13" x14ac:dyDescent="0.25">
      <c r="A1337" t="s">
        <v>2680</v>
      </c>
      <c r="B1337" t="s">
        <v>87</v>
      </c>
    </row>
    <row r="1338" spans="1:13" x14ac:dyDescent="0.25">
      <c r="A1338" t="s">
        <v>2681</v>
      </c>
      <c r="B1338" t="s">
        <v>87</v>
      </c>
    </row>
    <row r="1339" spans="1:13" x14ac:dyDescent="0.25">
      <c r="A1339" t="s">
        <v>2682</v>
      </c>
      <c r="B1339" t="s">
        <v>341</v>
      </c>
    </row>
    <row r="1340" spans="1:13" x14ac:dyDescent="0.25">
      <c r="A1340" t="s">
        <v>2686</v>
      </c>
      <c r="B1340" t="s">
        <v>95</v>
      </c>
      <c r="C1340" t="s">
        <v>85</v>
      </c>
      <c r="D1340" t="s">
        <v>1630</v>
      </c>
      <c r="E1340" t="s">
        <v>106</v>
      </c>
    </row>
    <row r="1341" spans="1:13" x14ac:dyDescent="0.25">
      <c r="A1341" t="s">
        <v>2687</v>
      </c>
      <c r="B1341" t="s">
        <v>87</v>
      </c>
      <c r="C1341" t="s">
        <v>85</v>
      </c>
      <c r="D1341" t="s">
        <v>1630</v>
      </c>
      <c r="E1341" t="s">
        <v>108</v>
      </c>
    </row>
    <row r="1342" spans="1:13" x14ac:dyDescent="0.25">
      <c r="A1342" t="s">
        <v>2688</v>
      </c>
      <c r="B1342" t="s">
        <v>77</v>
      </c>
    </row>
    <row r="1343" spans="1:13" x14ac:dyDescent="0.25">
      <c r="A1343" t="s">
        <v>2689</v>
      </c>
      <c r="B1343" t="s">
        <v>16</v>
      </c>
      <c r="D1343" t="s">
        <v>2689</v>
      </c>
    </row>
    <row r="1344" spans="1:13" x14ac:dyDescent="0.25">
      <c r="A1344" t="s">
        <v>2690</v>
      </c>
      <c r="B1344" t="s">
        <v>173</v>
      </c>
    </row>
    <row r="1345" spans="1:5" x14ac:dyDescent="0.25">
      <c r="A1345" t="s">
        <v>2693</v>
      </c>
      <c r="B1345" t="s">
        <v>341</v>
      </c>
    </row>
    <row r="1346" spans="1:5" x14ac:dyDescent="0.25">
      <c r="A1346" t="s">
        <v>2694</v>
      </c>
      <c r="B1346" t="s">
        <v>173</v>
      </c>
      <c r="D1346" t="s">
        <v>2903</v>
      </c>
      <c r="E1346" t="s">
        <v>108</v>
      </c>
    </row>
    <row r="1347" spans="1:5" x14ac:dyDescent="0.25">
      <c r="A1347" t="s">
        <v>2695</v>
      </c>
      <c r="B1347" t="s">
        <v>173</v>
      </c>
      <c r="D1347" t="s">
        <v>2903</v>
      </c>
      <c r="E1347" t="s">
        <v>106</v>
      </c>
    </row>
    <row r="1348" spans="1:5" x14ac:dyDescent="0.25">
      <c r="A1348" t="s">
        <v>2701</v>
      </c>
      <c r="B1348" t="s">
        <v>87</v>
      </c>
    </row>
    <row r="1349" spans="1:5" x14ac:dyDescent="0.25">
      <c r="A1349" t="s">
        <v>2702</v>
      </c>
      <c r="B1349" t="s">
        <v>341</v>
      </c>
    </row>
    <row r="1350" spans="1:5" x14ac:dyDescent="0.25">
      <c r="A1350" t="s">
        <v>2705</v>
      </c>
      <c r="B1350" t="s">
        <v>16</v>
      </c>
      <c r="D1350" t="s">
        <v>2705</v>
      </c>
    </row>
    <row r="1351" spans="1:5" x14ac:dyDescent="0.25">
      <c r="A1351" t="s">
        <v>2706</v>
      </c>
    </row>
    <row r="1352" spans="1:5" x14ac:dyDescent="0.25">
      <c r="A1352" t="s">
        <v>2707</v>
      </c>
      <c r="B1352" t="s">
        <v>341</v>
      </c>
    </row>
    <row r="1353" spans="1:5" x14ac:dyDescent="0.25">
      <c r="A1353" t="s">
        <v>364</v>
      </c>
      <c r="B1353" t="s">
        <v>46</v>
      </c>
      <c r="D1353" t="s">
        <v>364</v>
      </c>
    </row>
    <row r="1354" spans="1:5" x14ac:dyDescent="0.25">
      <c r="A1354" t="s">
        <v>2711</v>
      </c>
      <c r="B1354" t="s">
        <v>341</v>
      </c>
    </row>
    <row r="1355" spans="1:5" x14ac:dyDescent="0.25">
      <c r="A1355" t="s">
        <v>2712</v>
      </c>
      <c r="B1355" t="s">
        <v>173</v>
      </c>
    </row>
    <row r="1356" spans="1:5" x14ac:dyDescent="0.25">
      <c r="A1356" t="s">
        <v>2722</v>
      </c>
      <c r="B1356" t="s">
        <v>173</v>
      </c>
    </row>
    <row r="1357" spans="1:5" x14ac:dyDescent="0.25">
      <c r="A1357" t="s">
        <v>2723</v>
      </c>
      <c r="B1357" t="s">
        <v>173</v>
      </c>
    </row>
    <row r="1358" spans="1:5" x14ac:dyDescent="0.25">
      <c r="A1358" t="s">
        <v>2724</v>
      </c>
      <c r="B1358" t="s">
        <v>173</v>
      </c>
    </row>
    <row r="1359" spans="1:5" x14ac:dyDescent="0.25">
      <c r="A1359" t="s">
        <v>2725</v>
      </c>
      <c r="B1359" t="s">
        <v>173</v>
      </c>
    </row>
    <row r="1360" spans="1:5" x14ac:dyDescent="0.25">
      <c r="A1360" t="s">
        <v>1462</v>
      </c>
      <c r="B1360" t="s">
        <v>341</v>
      </c>
    </row>
    <row r="1361" spans="1:4" x14ac:dyDescent="0.25">
      <c r="A1361" t="s">
        <v>2731</v>
      </c>
      <c r="B1361" t="s">
        <v>173</v>
      </c>
    </row>
    <row r="1362" spans="1:4" x14ac:dyDescent="0.25">
      <c r="A1362" t="s">
        <v>2734</v>
      </c>
      <c r="B1362" t="s">
        <v>87</v>
      </c>
    </row>
    <row r="1363" spans="1:4" x14ac:dyDescent="0.25">
      <c r="A1363" t="s">
        <v>2735</v>
      </c>
      <c r="B1363" t="s">
        <v>87</v>
      </c>
    </row>
    <row r="1364" spans="1:4" x14ac:dyDescent="0.25">
      <c r="A1364" t="s">
        <v>2736</v>
      </c>
      <c r="B1364" t="s">
        <v>95</v>
      </c>
    </row>
    <row r="1365" spans="1:4" x14ac:dyDescent="0.25">
      <c r="A1365" t="s">
        <v>2737</v>
      </c>
      <c r="B1365" t="s">
        <v>46</v>
      </c>
    </row>
    <row r="1366" spans="1:4" x14ac:dyDescent="0.25">
      <c r="A1366" t="s">
        <v>2738</v>
      </c>
      <c r="B1366" t="s">
        <v>341</v>
      </c>
    </row>
    <row r="1367" spans="1:4" x14ac:dyDescent="0.25">
      <c r="A1367" t="s">
        <v>2745</v>
      </c>
      <c r="B1367" t="s">
        <v>173</v>
      </c>
    </row>
    <row r="1368" spans="1:4" x14ac:dyDescent="0.25">
      <c r="A1368" t="s">
        <v>2746</v>
      </c>
      <c r="B1368" t="s">
        <v>173</v>
      </c>
    </row>
    <row r="1369" spans="1:4" x14ac:dyDescent="0.25">
      <c r="A1369" t="s">
        <v>2748</v>
      </c>
      <c r="B1369" t="s">
        <v>173</v>
      </c>
    </row>
    <row r="1370" spans="1:4" x14ac:dyDescent="0.25">
      <c r="A1370" t="s">
        <v>2752</v>
      </c>
      <c r="B1370" t="s">
        <v>173</v>
      </c>
      <c r="D1370" t="s">
        <v>2752</v>
      </c>
    </row>
    <row r="1371" spans="1:4" x14ac:dyDescent="0.25">
      <c r="A1371" t="s">
        <v>2753</v>
      </c>
      <c r="B1371" t="s">
        <v>95</v>
      </c>
      <c r="C1371" t="s">
        <v>2902</v>
      </c>
      <c r="D1371" t="s">
        <v>2894</v>
      </c>
    </row>
    <row r="1372" spans="1:4" x14ac:dyDescent="0.25">
      <c r="A1372" t="s">
        <v>2754</v>
      </c>
      <c r="B1372" t="s">
        <v>87</v>
      </c>
    </row>
    <row r="1373" spans="1:4" x14ac:dyDescent="0.25">
      <c r="A1373" t="s">
        <v>2755</v>
      </c>
    </row>
    <row r="1374" spans="1:4" x14ac:dyDescent="0.25">
      <c r="A1374" t="s">
        <v>2756</v>
      </c>
      <c r="B1374" t="s">
        <v>173</v>
      </c>
    </row>
    <row r="1375" spans="1:4" x14ac:dyDescent="0.25">
      <c r="A1375" t="s">
        <v>2757</v>
      </c>
      <c r="B1375" t="s">
        <v>173</v>
      </c>
    </row>
    <row r="1376" spans="1:4" x14ac:dyDescent="0.25">
      <c r="A1376" t="s">
        <v>2758</v>
      </c>
      <c r="B1376" t="s">
        <v>173</v>
      </c>
    </row>
    <row r="1377" spans="1:5" x14ac:dyDescent="0.25">
      <c r="A1377" t="s">
        <v>2606</v>
      </c>
      <c r="B1377" t="s">
        <v>16</v>
      </c>
      <c r="D1377" t="s">
        <v>2606</v>
      </c>
    </row>
    <row r="1378" spans="1:5" x14ac:dyDescent="0.25">
      <c r="A1378" t="s">
        <v>2761</v>
      </c>
      <c r="B1378" t="s">
        <v>173</v>
      </c>
    </row>
    <row r="1379" spans="1:5" x14ac:dyDescent="0.25">
      <c r="A1379" t="s">
        <v>2762</v>
      </c>
      <c r="B1379" t="s">
        <v>87</v>
      </c>
    </row>
    <row r="1380" spans="1:5" x14ac:dyDescent="0.25">
      <c r="A1380" t="s">
        <v>2763</v>
      </c>
      <c r="B1380" t="s">
        <v>87</v>
      </c>
    </row>
    <row r="1381" spans="1:5" x14ac:dyDescent="0.25">
      <c r="A1381" t="s">
        <v>2764</v>
      </c>
      <c r="B1381" t="s">
        <v>87</v>
      </c>
    </row>
    <row r="1382" spans="1:5" x14ac:dyDescent="0.25">
      <c r="A1382" t="s">
        <v>2765</v>
      </c>
      <c r="B1382" t="s">
        <v>341</v>
      </c>
    </row>
    <row r="1383" spans="1:5" x14ac:dyDescent="0.25">
      <c r="A1383" t="s">
        <v>2766</v>
      </c>
      <c r="B1383" t="s">
        <v>173</v>
      </c>
    </row>
    <row r="1384" spans="1:5" x14ac:dyDescent="0.25">
      <c r="A1384" t="s">
        <v>2767</v>
      </c>
      <c r="B1384" t="s">
        <v>173</v>
      </c>
    </row>
    <row r="1385" spans="1:5" x14ac:dyDescent="0.25">
      <c r="A1385" t="s">
        <v>519</v>
      </c>
      <c r="B1385" t="s">
        <v>341</v>
      </c>
    </row>
    <row r="1386" spans="1:5" x14ac:dyDescent="0.25">
      <c r="A1386" t="s">
        <v>2774</v>
      </c>
      <c r="B1386" t="s">
        <v>173</v>
      </c>
      <c r="D1386" t="s">
        <v>2901</v>
      </c>
      <c r="E1386" t="s">
        <v>108</v>
      </c>
    </row>
    <row r="1387" spans="1:5" x14ac:dyDescent="0.25">
      <c r="A1387" t="s">
        <v>2777</v>
      </c>
      <c r="B1387" t="s">
        <v>173</v>
      </c>
    </row>
    <row r="1388" spans="1:5" x14ac:dyDescent="0.25">
      <c r="A1388" t="s">
        <v>2778</v>
      </c>
      <c r="B1388" t="s">
        <v>173</v>
      </c>
    </row>
    <row r="1389" spans="1:5" x14ac:dyDescent="0.25">
      <c r="A1389" t="s">
        <v>2782</v>
      </c>
      <c r="B1389" t="s">
        <v>341</v>
      </c>
    </row>
    <row r="1390" spans="1:5" x14ac:dyDescent="0.25">
      <c r="A1390" t="s">
        <v>2784</v>
      </c>
      <c r="B1390" t="s">
        <v>87</v>
      </c>
    </row>
    <row r="1391" spans="1:5" x14ac:dyDescent="0.25">
      <c r="A1391" t="s">
        <v>2791</v>
      </c>
      <c r="B1391" t="s">
        <v>173</v>
      </c>
      <c r="D1391" t="s">
        <v>2791</v>
      </c>
    </row>
    <row r="1392" spans="1:5" x14ac:dyDescent="0.25">
      <c r="A1392" t="s">
        <v>2792</v>
      </c>
      <c r="B1392" t="s">
        <v>341</v>
      </c>
    </row>
    <row r="1393" spans="1:5" x14ac:dyDescent="0.25">
      <c r="A1393" t="s">
        <v>2793</v>
      </c>
      <c r="B1393" t="s">
        <v>341</v>
      </c>
    </row>
    <row r="1394" spans="1:5" x14ac:dyDescent="0.25">
      <c r="A1394" t="s">
        <v>2795</v>
      </c>
      <c r="B1394" t="s">
        <v>341</v>
      </c>
    </row>
    <row r="1395" spans="1:5" x14ac:dyDescent="0.25">
      <c r="A1395" t="s">
        <v>2737</v>
      </c>
      <c r="B1395" t="s">
        <v>173</v>
      </c>
    </row>
    <row r="1396" spans="1:5" x14ac:dyDescent="0.25">
      <c r="A1396" t="s">
        <v>2798</v>
      </c>
      <c r="B1396" t="s">
        <v>16</v>
      </c>
      <c r="D1396" t="s">
        <v>2900</v>
      </c>
      <c r="E1396" t="s">
        <v>108</v>
      </c>
    </row>
    <row r="1397" spans="1:5" x14ac:dyDescent="0.25">
      <c r="A1397" t="s">
        <v>2799</v>
      </c>
      <c r="B1397" t="s">
        <v>16</v>
      </c>
      <c r="D1397" t="s">
        <v>2900</v>
      </c>
      <c r="E1397" t="s">
        <v>106</v>
      </c>
    </row>
    <row r="1398" spans="1:5" x14ac:dyDescent="0.25">
      <c r="A1398" t="s">
        <v>2801</v>
      </c>
      <c r="B1398" t="s">
        <v>87</v>
      </c>
    </row>
    <row r="1399" spans="1:5" x14ac:dyDescent="0.25">
      <c r="A1399" t="s">
        <v>2802</v>
      </c>
      <c r="B1399" t="s">
        <v>87</v>
      </c>
    </row>
    <row r="1400" spans="1:5" x14ac:dyDescent="0.25">
      <c r="A1400" t="s">
        <v>352</v>
      </c>
      <c r="B1400" t="s">
        <v>173</v>
      </c>
      <c r="D1400" t="s">
        <v>352</v>
      </c>
    </row>
    <row r="1401" spans="1:5" x14ac:dyDescent="0.25">
      <c r="A1401" t="s">
        <v>1491</v>
      </c>
      <c r="B1401" t="s">
        <v>341</v>
      </c>
    </row>
    <row r="1402" spans="1:5" x14ac:dyDescent="0.25">
      <c r="A1402" t="s">
        <v>2805</v>
      </c>
      <c r="B1402" t="s">
        <v>95</v>
      </c>
      <c r="C1402" t="s">
        <v>85</v>
      </c>
      <c r="D1402" t="s">
        <v>1630</v>
      </c>
      <c r="E1402" t="s">
        <v>106</v>
      </c>
    </row>
    <row r="1403" spans="1:5" x14ac:dyDescent="0.25">
      <c r="A1403" t="s">
        <v>2810</v>
      </c>
      <c r="B1403" t="s">
        <v>87</v>
      </c>
    </row>
    <row r="1404" spans="1:5" x14ac:dyDescent="0.25">
      <c r="A1404" t="s">
        <v>2811</v>
      </c>
      <c r="B1404" t="s">
        <v>87</v>
      </c>
    </row>
    <row r="1405" spans="1:5" x14ac:dyDescent="0.25">
      <c r="A1405" t="s">
        <v>2812</v>
      </c>
      <c r="B1405" t="s">
        <v>16</v>
      </c>
      <c r="C1405" t="s">
        <v>85</v>
      </c>
      <c r="D1405" t="s">
        <v>113</v>
      </c>
    </row>
    <row r="1406" spans="1:5" x14ac:dyDescent="0.25">
      <c r="A1406" t="s">
        <v>2813</v>
      </c>
      <c r="B1406" t="s">
        <v>87</v>
      </c>
    </row>
    <row r="1407" spans="1:5" x14ac:dyDescent="0.25">
      <c r="A1407" t="s">
        <v>2820</v>
      </c>
      <c r="B1407" t="s">
        <v>173</v>
      </c>
    </row>
    <row r="1408" spans="1:5" x14ac:dyDescent="0.25">
      <c r="A1408" t="s">
        <v>2821</v>
      </c>
      <c r="B1408" t="s">
        <v>173</v>
      </c>
    </row>
    <row r="1409" spans="1:13" x14ac:dyDescent="0.25">
      <c r="A1409" t="s">
        <v>2827</v>
      </c>
      <c r="B1409" t="s">
        <v>173</v>
      </c>
    </row>
    <row r="1410" spans="1:13" x14ac:dyDescent="0.25">
      <c r="A1410" t="s">
        <v>2836</v>
      </c>
      <c r="B1410" t="s">
        <v>16</v>
      </c>
    </row>
    <row r="1411" spans="1:13" x14ac:dyDescent="0.25">
      <c r="A1411" t="s">
        <v>2841</v>
      </c>
      <c r="B1411" t="s">
        <v>173</v>
      </c>
    </row>
    <row r="1412" spans="1:13" x14ac:dyDescent="0.25">
      <c r="A1412" t="s">
        <v>2844</v>
      </c>
      <c r="B1412" t="s">
        <v>16</v>
      </c>
    </row>
    <row r="1413" spans="1:13" x14ac:dyDescent="0.25">
      <c r="A1413" t="s">
        <v>2845</v>
      </c>
      <c r="B1413" t="s">
        <v>16</v>
      </c>
    </row>
    <row r="1414" spans="1:13" x14ac:dyDescent="0.25">
      <c r="A1414" t="s">
        <v>2846</v>
      </c>
      <c r="B1414" t="s">
        <v>173</v>
      </c>
      <c r="D1414" t="s">
        <v>75</v>
      </c>
      <c r="F1414" t="s">
        <v>2899</v>
      </c>
      <c r="G1414" t="s">
        <v>77</v>
      </c>
      <c r="H1414">
        <v>0.8</v>
      </c>
    </row>
    <row r="1415" spans="1:13" x14ac:dyDescent="0.25">
      <c r="A1415" t="s">
        <v>2359</v>
      </c>
      <c r="B1415" t="s">
        <v>173</v>
      </c>
      <c r="D1415" t="s">
        <v>2359</v>
      </c>
    </row>
    <row r="1416" spans="1:13" x14ac:dyDescent="0.25">
      <c r="A1416" t="s">
        <v>2850</v>
      </c>
      <c r="B1416" t="s">
        <v>95</v>
      </c>
      <c r="D1416" t="s">
        <v>396</v>
      </c>
      <c r="M1416">
        <v>2</v>
      </c>
    </row>
    <row r="1417" spans="1:13" x14ac:dyDescent="0.25">
      <c r="A1417" t="s">
        <v>2851</v>
      </c>
      <c r="B1417" t="s">
        <v>87</v>
      </c>
    </row>
    <row r="1418" spans="1:13" x14ac:dyDescent="0.25">
      <c r="A1418" t="s">
        <v>2853</v>
      </c>
      <c r="B1418" t="s">
        <v>341</v>
      </c>
    </row>
    <row r="1419" spans="1:13" x14ac:dyDescent="0.25">
      <c r="A1419" t="s">
        <v>2854</v>
      </c>
      <c r="B1419" t="s">
        <v>341</v>
      </c>
    </row>
    <row r="1420" spans="1:13" x14ac:dyDescent="0.25">
      <c r="A1420" t="s">
        <v>2855</v>
      </c>
      <c r="B1420" t="s">
        <v>16</v>
      </c>
      <c r="D1420" t="s">
        <v>2898</v>
      </c>
      <c r="E1420" t="s">
        <v>106</v>
      </c>
    </row>
    <row r="1421" spans="1:13" x14ac:dyDescent="0.25">
      <c r="A1421" t="s">
        <v>2287</v>
      </c>
      <c r="B1421" t="s">
        <v>87</v>
      </c>
      <c r="D1421" t="s">
        <v>75</v>
      </c>
      <c r="I1421" t="s">
        <v>2897</v>
      </c>
      <c r="J1421" t="s">
        <v>2217</v>
      </c>
    </row>
    <row r="1422" spans="1:13" x14ac:dyDescent="0.25">
      <c r="A1422" t="s">
        <v>2857</v>
      </c>
      <c r="B1422" t="s">
        <v>95</v>
      </c>
      <c r="D1422" t="s">
        <v>2857</v>
      </c>
    </row>
    <row r="1423" spans="1:13" x14ac:dyDescent="0.25">
      <c r="A1423" t="s">
        <v>2858</v>
      </c>
      <c r="B1423" t="s">
        <v>16</v>
      </c>
      <c r="D1423" t="s">
        <v>2858</v>
      </c>
    </row>
    <row r="1424" spans="1:13" x14ac:dyDescent="0.25">
      <c r="A1424" t="s">
        <v>2861</v>
      </c>
    </row>
    <row r="1425" spans="1:5" x14ac:dyDescent="0.25">
      <c r="A1425" t="s">
        <v>2862</v>
      </c>
    </row>
    <row r="1426" spans="1:5" x14ac:dyDescent="0.25">
      <c r="A1426" t="s">
        <v>118</v>
      </c>
      <c r="B1426" t="s">
        <v>173</v>
      </c>
      <c r="D1426" t="s">
        <v>118</v>
      </c>
    </row>
    <row r="1427" spans="1:5" x14ac:dyDescent="0.25">
      <c r="A1427" t="s">
        <v>178</v>
      </c>
      <c r="B1427" t="s">
        <v>173</v>
      </c>
      <c r="D1427" t="s">
        <v>178</v>
      </c>
    </row>
    <row r="1428" spans="1:5" x14ac:dyDescent="0.25">
      <c r="A1428" t="s">
        <v>179</v>
      </c>
      <c r="B1428" t="s">
        <v>173</v>
      </c>
      <c r="D1428" t="s">
        <v>2896</v>
      </c>
      <c r="E1428" t="s">
        <v>106</v>
      </c>
    </row>
    <row r="1429" spans="1:5" x14ac:dyDescent="0.25">
      <c r="A1429" t="s">
        <v>180</v>
      </c>
      <c r="B1429" t="s">
        <v>173</v>
      </c>
      <c r="D1429" t="s">
        <v>2896</v>
      </c>
      <c r="E1429" t="s">
        <v>108</v>
      </c>
    </row>
    <row r="1430" spans="1:5" x14ac:dyDescent="0.25">
      <c r="A1430" t="s">
        <v>2863</v>
      </c>
      <c r="B1430" t="s">
        <v>16</v>
      </c>
    </row>
    <row r="1431" spans="1:5" x14ac:dyDescent="0.25">
      <c r="A1431" t="s">
        <v>2866</v>
      </c>
      <c r="B1431" t="s">
        <v>95</v>
      </c>
    </row>
    <row r="1432" spans="1:5" x14ac:dyDescent="0.25">
      <c r="A1432" t="s">
        <v>2867</v>
      </c>
      <c r="B1432" t="s">
        <v>173</v>
      </c>
      <c r="D1432" t="s">
        <v>2867</v>
      </c>
    </row>
    <row r="1433" spans="1:5" x14ac:dyDescent="0.25">
      <c r="A1433" t="s">
        <v>2868</v>
      </c>
      <c r="B1433" t="s">
        <v>173</v>
      </c>
      <c r="D1433" t="s">
        <v>2868</v>
      </c>
    </row>
    <row r="1434" spans="1:5" x14ac:dyDescent="0.25">
      <c r="A1434" t="s">
        <v>2480</v>
      </c>
      <c r="B1434" t="s">
        <v>16</v>
      </c>
      <c r="D1434" t="s">
        <v>2480</v>
      </c>
    </row>
    <row r="1435" spans="1:5" x14ac:dyDescent="0.25">
      <c r="A1435" t="s">
        <v>2869</v>
      </c>
      <c r="B1435" t="s">
        <v>173</v>
      </c>
    </row>
    <row r="1436" spans="1:5" x14ac:dyDescent="0.25">
      <c r="A1436" t="s">
        <v>2870</v>
      </c>
      <c r="B1436" t="s">
        <v>173</v>
      </c>
    </row>
    <row r="1437" spans="1:5" x14ac:dyDescent="0.25">
      <c r="A1437" t="s">
        <v>2871</v>
      </c>
      <c r="B1437" t="s">
        <v>173</v>
      </c>
    </row>
    <row r="1438" spans="1:5" x14ac:dyDescent="0.25">
      <c r="A1438" t="s">
        <v>2872</v>
      </c>
      <c r="B1438" t="s">
        <v>173</v>
      </c>
    </row>
    <row r="1439" spans="1:5" x14ac:dyDescent="0.25">
      <c r="A1439" t="s">
        <v>2873</v>
      </c>
      <c r="B1439" t="s">
        <v>173</v>
      </c>
    </row>
    <row r="1440" spans="1:5" x14ac:dyDescent="0.25">
      <c r="A1440" t="s">
        <v>2874</v>
      </c>
      <c r="B1440" t="s">
        <v>87</v>
      </c>
    </row>
    <row r="1441" spans="1:4" x14ac:dyDescent="0.25">
      <c r="A1441" t="s">
        <v>2875</v>
      </c>
      <c r="B1441" t="s">
        <v>87</v>
      </c>
    </row>
    <row r="1442" spans="1:4" x14ac:dyDescent="0.25">
      <c r="A1442" t="s">
        <v>1782</v>
      </c>
      <c r="B1442" t="s">
        <v>173</v>
      </c>
    </row>
    <row r="1443" spans="1:4" x14ac:dyDescent="0.25">
      <c r="A1443" t="s">
        <v>2876</v>
      </c>
      <c r="B1443" t="s">
        <v>16</v>
      </c>
    </row>
    <row r="1444" spans="1:4" x14ac:dyDescent="0.25">
      <c r="A1444" t="s">
        <v>2877</v>
      </c>
      <c r="B1444" t="s">
        <v>341</v>
      </c>
    </row>
    <row r="1445" spans="1:4" x14ac:dyDescent="0.25">
      <c r="A1445" t="s">
        <v>2878</v>
      </c>
      <c r="B1445" t="s">
        <v>173</v>
      </c>
      <c r="D1445" t="s">
        <v>2878</v>
      </c>
    </row>
    <row r="1446" spans="1:4" x14ac:dyDescent="0.25">
      <c r="A1446" t="s">
        <v>2880</v>
      </c>
      <c r="B1446" t="s">
        <v>341</v>
      </c>
    </row>
    <row r="1447" spans="1:4" x14ac:dyDescent="0.25">
      <c r="A1447" t="s">
        <v>2885</v>
      </c>
      <c r="B1447" t="s">
        <v>16</v>
      </c>
      <c r="C1447" t="s">
        <v>2895</v>
      </c>
      <c r="D1447" t="s">
        <v>2894</v>
      </c>
    </row>
    <row r="1448" spans="1:4" x14ac:dyDescent="0.25">
      <c r="A1448" t="s">
        <v>2887</v>
      </c>
      <c r="B1448" t="s">
        <v>95</v>
      </c>
    </row>
    <row r="1449" spans="1:4" x14ac:dyDescent="0.25">
      <c r="A1449" t="s">
        <v>2892</v>
      </c>
      <c r="B1449" t="s">
        <v>173</v>
      </c>
      <c r="D1449" t="s">
        <v>2892</v>
      </c>
    </row>
    <row r="1450" spans="1:4" x14ac:dyDescent="0.25">
      <c r="A1450" t="s">
        <v>2893</v>
      </c>
      <c r="B1450" t="s">
        <v>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0"/>
  <sheetViews>
    <sheetView workbookViewId="0">
      <selection activeCell="B37" sqref="B37"/>
    </sheetView>
  </sheetViews>
  <sheetFormatPr defaultRowHeight="15" x14ac:dyDescent="0.25"/>
  <cols>
    <col min="1" max="1" width="18.85546875" bestFit="1" customWidth="1"/>
    <col min="2" max="2" width="15.42578125" bestFit="1" customWidth="1"/>
    <col min="3" max="3" width="17.7109375" bestFit="1" customWidth="1"/>
  </cols>
  <sheetData>
    <row r="1" spans="1:3" x14ac:dyDescent="0.25">
      <c r="A1" t="s">
        <v>0</v>
      </c>
      <c r="B1" t="s">
        <v>1</v>
      </c>
      <c r="C1" t="s">
        <v>3011</v>
      </c>
    </row>
    <row r="2" spans="1:3" x14ac:dyDescent="0.25">
      <c r="A2" t="s">
        <v>86</v>
      </c>
      <c r="B2" t="s">
        <v>87</v>
      </c>
      <c r="C2" t="s">
        <v>3002</v>
      </c>
    </row>
    <row r="3" spans="1:3" x14ac:dyDescent="0.25">
      <c r="A3" t="s">
        <v>88</v>
      </c>
      <c r="B3" t="s">
        <v>87</v>
      </c>
      <c r="C3" t="s">
        <v>3002</v>
      </c>
    </row>
    <row r="4" spans="1:3" x14ac:dyDescent="0.25">
      <c r="A4" t="s">
        <v>172</v>
      </c>
      <c r="B4" t="s">
        <v>173</v>
      </c>
    </row>
    <row r="5" spans="1:3" x14ac:dyDescent="0.25">
      <c r="A5" t="s">
        <v>205</v>
      </c>
      <c r="B5" t="s">
        <v>206</v>
      </c>
      <c r="C5" t="s">
        <v>3010</v>
      </c>
    </row>
    <row r="6" spans="1:3" x14ac:dyDescent="0.25">
      <c r="A6" t="s">
        <v>218</v>
      </c>
      <c r="B6" t="s">
        <v>87</v>
      </c>
      <c r="C6" t="s">
        <v>3002</v>
      </c>
    </row>
    <row r="7" spans="1:3" x14ac:dyDescent="0.25">
      <c r="A7" t="s">
        <v>219</v>
      </c>
      <c r="B7" t="s">
        <v>87</v>
      </c>
      <c r="C7" t="s">
        <v>3002</v>
      </c>
    </row>
    <row r="8" spans="1:3" x14ac:dyDescent="0.25">
      <c r="A8" t="s">
        <v>220</v>
      </c>
      <c r="B8" t="s">
        <v>87</v>
      </c>
      <c r="C8" t="s">
        <v>3002</v>
      </c>
    </row>
    <row r="9" spans="1:3" x14ac:dyDescent="0.25">
      <c r="A9" t="s">
        <v>271</v>
      </c>
      <c r="B9" t="s">
        <v>173</v>
      </c>
    </row>
    <row r="10" spans="1:3" x14ac:dyDescent="0.25">
      <c r="A10" t="s">
        <v>272</v>
      </c>
      <c r="B10" t="s">
        <v>173</v>
      </c>
    </row>
    <row r="11" spans="1:3" x14ac:dyDescent="0.25">
      <c r="A11" t="s">
        <v>273</v>
      </c>
      <c r="B11" t="s">
        <v>173</v>
      </c>
    </row>
    <row r="12" spans="1:3" x14ac:dyDescent="0.25">
      <c r="A12" t="s">
        <v>274</v>
      </c>
      <c r="B12" t="s">
        <v>173</v>
      </c>
    </row>
    <row r="13" spans="1:3" x14ac:dyDescent="0.25">
      <c r="A13" t="s">
        <v>275</v>
      </c>
      <c r="B13" t="s">
        <v>87</v>
      </c>
      <c r="C13" t="s">
        <v>3002</v>
      </c>
    </row>
    <row r="14" spans="1:3" x14ac:dyDescent="0.25">
      <c r="A14" t="s">
        <v>276</v>
      </c>
      <c r="B14" t="s">
        <v>87</v>
      </c>
      <c r="C14" t="s">
        <v>3002</v>
      </c>
    </row>
    <row r="15" spans="1:3" x14ac:dyDescent="0.25">
      <c r="A15" t="s">
        <v>277</v>
      </c>
      <c r="B15" t="s">
        <v>95</v>
      </c>
      <c r="C15" t="s">
        <v>3003</v>
      </c>
    </row>
    <row r="16" spans="1:3" x14ac:dyDescent="0.25">
      <c r="A16" t="s">
        <v>340</v>
      </c>
      <c r="B16" t="s">
        <v>341</v>
      </c>
      <c r="C16" t="s">
        <v>3004</v>
      </c>
    </row>
    <row r="17" spans="1:3" x14ac:dyDescent="0.25">
      <c r="A17" t="s">
        <v>446</v>
      </c>
      <c r="B17" t="s">
        <v>173</v>
      </c>
      <c r="C17" t="s">
        <v>3006</v>
      </c>
    </row>
    <row r="18" spans="1:3" x14ac:dyDescent="0.25">
      <c r="A18" t="s">
        <v>449</v>
      </c>
      <c r="B18" t="s">
        <v>214</v>
      </c>
      <c r="C18" t="s">
        <v>3008</v>
      </c>
    </row>
    <row r="19" spans="1:3" x14ac:dyDescent="0.25">
      <c r="A19" t="s">
        <v>451</v>
      </c>
      <c r="B19" t="s">
        <v>341</v>
      </c>
      <c r="C19" t="s">
        <v>3004</v>
      </c>
    </row>
    <row r="20" spans="1:3" x14ac:dyDescent="0.25">
      <c r="A20" t="s">
        <v>452</v>
      </c>
      <c r="B20" t="s">
        <v>341</v>
      </c>
      <c r="C20" t="s">
        <v>3004</v>
      </c>
    </row>
    <row r="21" spans="1:3" x14ac:dyDescent="0.25">
      <c r="A21" t="s">
        <v>453</v>
      </c>
      <c r="B21" t="s">
        <v>173</v>
      </c>
      <c r="C21" t="s">
        <v>3006</v>
      </c>
    </row>
    <row r="22" spans="1:3" x14ac:dyDescent="0.25">
      <c r="A22" t="s">
        <v>454</v>
      </c>
      <c r="B22" t="s">
        <v>173</v>
      </c>
      <c r="C22" t="s">
        <v>3006</v>
      </c>
    </row>
    <row r="23" spans="1:3" x14ac:dyDescent="0.25">
      <c r="A23" t="s">
        <v>464</v>
      </c>
      <c r="B23" t="s">
        <v>341</v>
      </c>
      <c r="C23" t="s">
        <v>3004</v>
      </c>
    </row>
    <row r="24" spans="1:3" x14ac:dyDescent="0.25">
      <c r="A24" t="s">
        <v>465</v>
      </c>
      <c r="B24" t="s">
        <v>87</v>
      </c>
      <c r="C24" t="s">
        <v>3002</v>
      </c>
    </row>
    <row r="25" spans="1:3" x14ac:dyDescent="0.25">
      <c r="A25" t="s">
        <v>466</v>
      </c>
      <c r="B25" t="s">
        <v>467</v>
      </c>
      <c r="C25" t="s">
        <v>3009</v>
      </c>
    </row>
    <row r="26" spans="1:3" x14ac:dyDescent="0.25">
      <c r="A26" t="s">
        <v>468</v>
      </c>
      <c r="B26" t="s">
        <v>467</v>
      </c>
      <c r="C26" t="s">
        <v>3009</v>
      </c>
    </row>
    <row r="27" spans="1:3" x14ac:dyDescent="0.25">
      <c r="A27" t="s">
        <v>469</v>
      </c>
      <c r="B27" t="s">
        <v>341</v>
      </c>
      <c r="C27" t="s">
        <v>3004</v>
      </c>
    </row>
    <row r="28" spans="1:3" x14ac:dyDescent="0.25">
      <c r="A28" t="s">
        <v>470</v>
      </c>
      <c r="B28" t="s">
        <v>341</v>
      </c>
      <c r="C28" t="s">
        <v>3004</v>
      </c>
    </row>
    <row r="29" spans="1:3" x14ac:dyDescent="0.25">
      <c r="A29" t="s">
        <v>471</v>
      </c>
      <c r="B29" t="s">
        <v>341</v>
      </c>
      <c r="C29" t="s">
        <v>3004</v>
      </c>
    </row>
    <row r="30" spans="1:3" x14ac:dyDescent="0.25">
      <c r="A30" t="s">
        <v>472</v>
      </c>
      <c r="B30" t="s">
        <v>87</v>
      </c>
      <c r="C30" t="s">
        <v>3002</v>
      </c>
    </row>
    <row r="31" spans="1:3" x14ac:dyDescent="0.25">
      <c r="A31" t="s">
        <v>473</v>
      </c>
      <c r="B31" t="s">
        <v>87</v>
      </c>
      <c r="C31" t="s">
        <v>3002</v>
      </c>
    </row>
    <row r="32" spans="1:3" x14ac:dyDescent="0.25">
      <c r="A32" t="s">
        <v>474</v>
      </c>
      <c r="B32" t="s">
        <v>87</v>
      </c>
      <c r="C32" t="s">
        <v>3002</v>
      </c>
    </row>
    <row r="33" spans="1:3" x14ac:dyDescent="0.25">
      <c r="A33" t="s">
        <v>475</v>
      </c>
      <c r="B33" t="s">
        <v>87</v>
      </c>
      <c r="C33" t="s">
        <v>3002</v>
      </c>
    </row>
    <row r="34" spans="1:3" x14ac:dyDescent="0.25">
      <c r="A34" t="s">
        <v>509</v>
      </c>
      <c r="B34" t="s">
        <v>341</v>
      </c>
      <c r="C34" t="s">
        <v>3004</v>
      </c>
    </row>
    <row r="35" spans="1:3" x14ac:dyDescent="0.25">
      <c r="A35" t="s">
        <v>512</v>
      </c>
      <c r="B35" t="s">
        <v>16</v>
      </c>
      <c r="C35" t="s">
        <v>3005</v>
      </c>
    </row>
    <row r="36" spans="1:3" x14ac:dyDescent="0.25">
      <c r="A36" t="s">
        <v>513</v>
      </c>
      <c r="B36" t="s">
        <v>16</v>
      </c>
      <c r="C36" t="s">
        <v>3005</v>
      </c>
    </row>
    <row r="37" spans="1:3" x14ac:dyDescent="0.25">
      <c r="A37" t="s">
        <v>514</v>
      </c>
      <c r="B37" t="s">
        <v>87</v>
      </c>
      <c r="C37" t="s">
        <v>3002</v>
      </c>
    </row>
    <row r="38" spans="1:3" x14ac:dyDescent="0.25">
      <c r="A38" t="s">
        <v>515</v>
      </c>
      <c r="B38" t="s">
        <v>87</v>
      </c>
      <c r="C38" t="s">
        <v>3002</v>
      </c>
    </row>
    <row r="39" spans="1:3" x14ac:dyDescent="0.25">
      <c r="A39" t="s">
        <v>516</v>
      </c>
      <c r="B39" t="s">
        <v>87</v>
      </c>
      <c r="C39" t="s">
        <v>3002</v>
      </c>
    </row>
    <row r="40" spans="1:3" x14ac:dyDescent="0.25">
      <c r="A40" t="s">
        <v>471</v>
      </c>
      <c r="B40" t="s">
        <v>87</v>
      </c>
      <c r="C40" t="s">
        <v>3002</v>
      </c>
    </row>
    <row r="41" spans="1:3" x14ac:dyDescent="0.25">
      <c r="A41" t="s">
        <v>517</v>
      </c>
      <c r="B41" t="s">
        <v>87</v>
      </c>
      <c r="C41" t="s">
        <v>3002</v>
      </c>
    </row>
    <row r="42" spans="1:3" x14ac:dyDescent="0.25">
      <c r="A42" t="s">
        <v>518</v>
      </c>
      <c r="B42" t="s">
        <v>87</v>
      </c>
      <c r="C42" t="s">
        <v>3002</v>
      </c>
    </row>
    <row r="43" spans="1:3" x14ac:dyDescent="0.25">
      <c r="A43" t="s">
        <v>519</v>
      </c>
      <c r="B43" t="s">
        <v>87</v>
      </c>
      <c r="C43" t="s">
        <v>3002</v>
      </c>
    </row>
    <row r="44" spans="1:3" x14ac:dyDescent="0.25">
      <c r="A44" t="s">
        <v>521</v>
      </c>
      <c r="B44" t="s">
        <v>87</v>
      </c>
      <c r="C44" t="s">
        <v>3002</v>
      </c>
    </row>
    <row r="45" spans="1:3" x14ac:dyDescent="0.25">
      <c r="A45" t="s">
        <v>522</v>
      </c>
      <c r="B45" t="s">
        <v>87</v>
      </c>
      <c r="C45" t="s">
        <v>3002</v>
      </c>
    </row>
    <row r="46" spans="1:3" x14ac:dyDescent="0.25">
      <c r="A46" t="s">
        <v>523</v>
      </c>
      <c r="B46" t="s">
        <v>87</v>
      </c>
      <c r="C46" t="s">
        <v>3002</v>
      </c>
    </row>
    <row r="47" spans="1:3" x14ac:dyDescent="0.25">
      <c r="A47" t="s">
        <v>534</v>
      </c>
      <c r="B47" t="s">
        <v>87</v>
      </c>
      <c r="C47" t="s">
        <v>3002</v>
      </c>
    </row>
    <row r="48" spans="1:3" x14ac:dyDescent="0.25">
      <c r="A48" t="s">
        <v>535</v>
      </c>
      <c r="B48" t="s">
        <v>87</v>
      </c>
      <c r="C48" t="s">
        <v>3002</v>
      </c>
    </row>
    <row r="49" spans="1:3" x14ac:dyDescent="0.25">
      <c r="A49" t="s">
        <v>541</v>
      </c>
      <c r="B49" t="s">
        <v>87</v>
      </c>
      <c r="C49" t="s">
        <v>3002</v>
      </c>
    </row>
    <row r="50" spans="1:3" x14ac:dyDescent="0.25">
      <c r="A50" t="s">
        <v>542</v>
      </c>
      <c r="B50" t="s">
        <v>87</v>
      </c>
      <c r="C50" t="s">
        <v>3002</v>
      </c>
    </row>
    <row r="51" spans="1:3" x14ac:dyDescent="0.25">
      <c r="A51" t="s">
        <v>543</v>
      </c>
      <c r="B51" t="s">
        <v>87</v>
      </c>
      <c r="C51" t="s">
        <v>3002</v>
      </c>
    </row>
    <row r="52" spans="1:3" x14ac:dyDescent="0.25">
      <c r="A52" t="s">
        <v>544</v>
      </c>
      <c r="B52" t="s">
        <v>87</v>
      </c>
      <c r="C52" t="s">
        <v>3002</v>
      </c>
    </row>
    <row r="53" spans="1:3" x14ac:dyDescent="0.25">
      <c r="A53" t="s">
        <v>546</v>
      </c>
      <c r="B53" t="s">
        <v>87</v>
      </c>
      <c r="C53" t="s">
        <v>3002</v>
      </c>
    </row>
    <row r="54" spans="1:3" x14ac:dyDescent="0.25">
      <c r="A54" t="s">
        <v>204</v>
      </c>
      <c r="B54" t="s">
        <v>173</v>
      </c>
      <c r="C54" t="s">
        <v>3006</v>
      </c>
    </row>
    <row r="55" spans="1:3" x14ac:dyDescent="0.25">
      <c r="A55" t="s">
        <v>547</v>
      </c>
      <c r="B55" t="s">
        <v>87</v>
      </c>
      <c r="C55" t="s">
        <v>3002</v>
      </c>
    </row>
    <row r="56" spans="1:3" x14ac:dyDescent="0.25">
      <c r="A56" t="s">
        <v>548</v>
      </c>
      <c r="B56" t="s">
        <v>87</v>
      </c>
      <c r="C56" t="s">
        <v>3002</v>
      </c>
    </row>
    <row r="57" spans="1:3" x14ac:dyDescent="0.25">
      <c r="A57" t="s">
        <v>549</v>
      </c>
      <c r="B57" t="s">
        <v>173</v>
      </c>
      <c r="C57" t="s">
        <v>3006</v>
      </c>
    </row>
    <row r="58" spans="1:3" x14ac:dyDescent="0.25">
      <c r="A58" t="s">
        <v>550</v>
      </c>
      <c r="B58" t="s">
        <v>87</v>
      </c>
      <c r="C58" t="s">
        <v>3002</v>
      </c>
    </row>
    <row r="59" spans="1:3" x14ac:dyDescent="0.25">
      <c r="A59" t="s">
        <v>568</v>
      </c>
      <c r="B59" t="s">
        <v>95</v>
      </c>
      <c r="C59" t="s">
        <v>3003</v>
      </c>
    </row>
    <row r="60" spans="1:3" x14ac:dyDescent="0.25">
      <c r="A60" t="s">
        <v>569</v>
      </c>
      <c r="B60" t="s">
        <v>87</v>
      </c>
      <c r="C60" t="s">
        <v>3002</v>
      </c>
    </row>
    <row r="61" spans="1:3" x14ac:dyDescent="0.25">
      <c r="A61" t="s">
        <v>571</v>
      </c>
      <c r="B61" t="s">
        <v>87</v>
      </c>
      <c r="C61" t="s">
        <v>3002</v>
      </c>
    </row>
    <row r="62" spans="1:3" x14ac:dyDescent="0.25">
      <c r="A62" t="s">
        <v>464</v>
      </c>
      <c r="B62" t="s">
        <v>87</v>
      </c>
      <c r="C62" t="s">
        <v>3002</v>
      </c>
    </row>
    <row r="63" spans="1:3" x14ac:dyDescent="0.25">
      <c r="A63" t="s">
        <v>572</v>
      </c>
      <c r="B63" t="s">
        <v>87</v>
      </c>
      <c r="C63" t="s">
        <v>3002</v>
      </c>
    </row>
    <row r="64" spans="1:3" x14ac:dyDescent="0.25">
      <c r="A64" t="s">
        <v>573</v>
      </c>
      <c r="B64" t="s">
        <v>87</v>
      </c>
      <c r="C64" t="s">
        <v>3002</v>
      </c>
    </row>
    <row r="65" spans="1:3" x14ac:dyDescent="0.25">
      <c r="A65" t="s">
        <v>594</v>
      </c>
      <c r="B65" t="s">
        <v>95</v>
      </c>
      <c r="C65" t="s">
        <v>3003</v>
      </c>
    </row>
    <row r="66" spans="1:3" x14ac:dyDescent="0.25">
      <c r="A66" t="s">
        <v>595</v>
      </c>
      <c r="B66" t="s">
        <v>341</v>
      </c>
      <c r="C66" t="s">
        <v>3004</v>
      </c>
    </row>
    <row r="67" spans="1:3" x14ac:dyDescent="0.25">
      <c r="A67" t="s">
        <v>596</v>
      </c>
      <c r="B67" t="s">
        <v>87</v>
      </c>
      <c r="C67" t="s">
        <v>3002</v>
      </c>
    </row>
    <row r="68" spans="1:3" x14ac:dyDescent="0.25">
      <c r="A68" t="s">
        <v>602</v>
      </c>
      <c r="B68" t="s">
        <v>87</v>
      </c>
      <c r="C68" t="s">
        <v>3002</v>
      </c>
    </row>
    <row r="69" spans="1:3" x14ac:dyDescent="0.25">
      <c r="A69" t="s">
        <v>603</v>
      </c>
      <c r="B69" t="s">
        <v>341</v>
      </c>
      <c r="C69" t="s">
        <v>3004</v>
      </c>
    </row>
    <row r="70" spans="1:3" x14ac:dyDescent="0.25">
      <c r="A70" t="s">
        <v>606</v>
      </c>
      <c r="B70" t="s">
        <v>87</v>
      </c>
      <c r="C70" t="s">
        <v>3002</v>
      </c>
    </row>
    <row r="71" spans="1:3" x14ac:dyDescent="0.25">
      <c r="A71" t="s">
        <v>607</v>
      </c>
      <c r="B71" t="s">
        <v>87</v>
      </c>
      <c r="C71" t="s">
        <v>3002</v>
      </c>
    </row>
    <row r="72" spans="1:3" x14ac:dyDescent="0.25">
      <c r="A72" t="s">
        <v>608</v>
      </c>
      <c r="B72" t="s">
        <v>87</v>
      </c>
      <c r="C72" t="s">
        <v>3002</v>
      </c>
    </row>
    <row r="73" spans="1:3" x14ac:dyDescent="0.25">
      <c r="A73" t="s">
        <v>609</v>
      </c>
      <c r="B73" t="s">
        <v>214</v>
      </c>
      <c r="C73" t="s">
        <v>3008</v>
      </c>
    </row>
    <row r="74" spans="1:3" x14ac:dyDescent="0.25">
      <c r="A74" t="s">
        <v>615</v>
      </c>
      <c r="C74" t="s">
        <v>3006</v>
      </c>
    </row>
    <row r="75" spans="1:3" x14ac:dyDescent="0.25">
      <c r="A75" t="s">
        <v>617</v>
      </c>
      <c r="B75" t="s">
        <v>341</v>
      </c>
      <c r="C75" t="s">
        <v>3004</v>
      </c>
    </row>
    <row r="76" spans="1:3" x14ac:dyDescent="0.25">
      <c r="A76" t="s">
        <v>619</v>
      </c>
      <c r="B76" t="s">
        <v>341</v>
      </c>
      <c r="C76" t="s">
        <v>3004</v>
      </c>
    </row>
    <row r="77" spans="1:3" x14ac:dyDescent="0.25">
      <c r="A77" t="s">
        <v>620</v>
      </c>
      <c r="B77" t="s">
        <v>341</v>
      </c>
      <c r="C77" t="s">
        <v>3004</v>
      </c>
    </row>
    <row r="78" spans="1:3" x14ac:dyDescent="0.25">
      <c r="A78" t="s">
        <v>626</v>
      </c>
      <c r="B78" t="s">
        <v>16</v>
      </c>
      <c r="C78" t="s">
        <v>3005</v>
      </c>
    </row>
    <row r="79" spans="1:3" x14ac:dyDescent="0.25">
      <c r="A79" t="s">
        <v>627</v>
      </c>
      <c r="B79" t="s">
        <v>87</v>
      </c>
      <c r="C79" t="s">
        <v>3002</v>
      </c>
    </row>
    <row r="80" spans="1:3" x14ac:dyDescent="0.25">
      <c r="A80" t="s">
        <v>628</v>
      </c>
      <c r="B80" t="s">
        <v>87</v>
      </c>
      <c r="C80" t="s">
        <v>3002</v>
      </c>
    </row>
    <row r="81" spans="1:3" x14ac:dyDescent="0.25">
      <c r="A81" t="s">
        <v>629</v>
      </c>
      <c r="B81" t="s">
        <v>87</v>
      </c>
      <c r="C81" t="s">
        <v>3002</v>
      </c>
    </row>
    <row r="82" spans="1:3" x14ac:dyDescent="0.25">
      <c r="A82" t="s">
        <v>630</v>
      </c>
      <c r="B82" t="s">
        <v>87</v>
      </c>
      <c r="C82" t="s">
        <v>3002</v>
      </c>
    </row>
    <row r="83" spans="1:3" x14ac:dyDescent="0.25">
      <c r="A83" t="s">
        <v>631</v>
      </c>
      <c r="B83" t="s">
        <v>87</v>
      </c>
      <c r="C83" t="s">
        <v>3002</v>
      </c>
    </row>
    <row r="84" spans="1:3" x14ac:dyDescent="0.25">
      <c r="A84" t="s">
        <v>632</v>
      </c>
      <c r="B84" t="s">
        <v>87</v>
      </c>
      <c r="C84" t="s">
        <v>3002</v>
      </c>
    </row>
    <row r="85" spans="1:3" x14ac:dyDescent="0.25">
      <c r="A85" t="s">
        <v>633</v>
      </c>
      <c r="B85" t="s">
        <v>87</v>
      </c>
      <c r="C85" t="s">
        <v>3002</v>
      </c>
    </row>
    <row r="86" spans="1:3" x14ac:dyDescent="0.25">
      <c r="A86" t="s">
        <v>641</v>
      </c>
      <c r="B86" t="s">
        <v>87</v>
      </c>
      <c r="C86" t="s">
        <v>3002</v>
      </c>
    </row>
    <row r="87" spans="1:3" x14ac:dyDescent="0.25">
      <c r="A87" t="s">
        <v>642</v>
      </c>
      <c r="B87" t="s">
        <v>87</v>
      </c>
      <c r="C87" t="s">
        <v>3002</v>
      </c>
    </row>
    <row r="88" spans="1:3" x14ac:dyDescent="0.25">
      <c r="A88" t="s">
        <v>646</v>
      </c>
      <c r="B88" t="s">
        <v>173</v>
      </c>
      <c r="C88" t="s">
        <v>3006</v>
      </c>
    </row>
    <row r="89" spans="1:3" x14ac:dyDescent="0.25">
      <c r="A89" t="s">
        <v>647</v>
      </c>
      <c r="B89" t="s">
        <v>173</v>
      </c>
      <c r="C89" t="s">
        <v>3006</v>
      </c>
    </row>
    <row r="90" spans="1:3" x14ac:dyDescent="0.25">
      <c r="A90" t="s">
        <v>652</v>
      </c>
      <c r="B90" t="s">
        <v>87</v>
      </c>
      <c r="C90" t="s">
        <v>3002</v>
      </c>
    </row>
    <row r="91" spans="1:3" x14ac:dyDescent="0.25">
      <c r="A91" t="s">
        <v>656</v>
      </c>
      <c r="C91" t="s">
        <v>3006</v>
      </c>
    </row>
    <row r="92" spans="1:3" x14ac:dyDescent="0.25">
      <c r="A92" t="s">
        <v>657</v>
      </c>
      <c r="B92" t="s">
        <v>341</v>
      </c>
      <c r="C92" t="s">
        <v>3004</v>
      </c>
    </row>
    <row r="93" spans="1:3" x14ac:dyDescent="0.25">
      <c r="A93" t="s">
        <v>658</v>
      </c>
      <c r="B93" t="s">
        <v>87</v>
      </c>
      <c r="C93" t="s">
        <v>3002</v>
      </c>
    </row>
    <row r="94" spans="1:3" x14ac:dyDescent="0.25">
      <c r="A94" t="s">
        <v>659</v>
      </c>
      <c r="B94" t="s">
        <v>341</v>
      </c>
      <c r="C94" t="s">
        <v>3004</v>
      </c>
    </row>
    <row r="95" spans="1:3" x14ac:dyDescent="0.25">
      <c r="A95" t="s">
        <v>660</v>
      </c>
      <c r="B95" t="s">
        <v>173</v>
      </c>
      <c r="C95" t="s">
        <v>3006</v>
      </c>
    </row>
    <row r="96" spans="1:3" x14ac:dyDescent="0.25">
      <c r="A96" t="s">
        <v>666</v>
      </c>
      <c r="B96" t="s">
        <v>87</v>
      </c>
      <c r="C96" t="s">
        <v>3002</v>
      </c>
    </row>
    <row r="97" spans="1:3" x14ac:dyDescent="0.25">
      <c r="A97" t="s">
        <v>667</v>
      </c>
      <c r="B97" t="s">
        <v>87</v>
      </c>
      <c r="C97" t="s">
        <v>3002</v>
      </c>
    </row>
    <row r="98" spans="1:3" x14ac:dyDescent="0.25">
      <c r="A98" t="s">
        <v>668</v>
      </c>
      <c r="B98" t="s">
        <v>87</v>
      </c>
      <c r="C98" t="s">
        <v>3002</v>
      </c>
    </row>
    <row r="99" spans="1:3" x14ac:dyDescent="0.25">
      <c r="A99" t="s">
        <v>669</v>
      </c>
      <c r="B99" t="s">
        <v>87</v>
      </c>
      <c r="C99" t="s">
        <v>3002</v>
      </c>
    </row>
    <row r="100" spans="1:3" x14ac:dyDescent="0.25">
      <c r="A100" t="s">
        <v>670</v>
      </c>
      <c r="B100" t="s">
        <v>87</v>
      </c>
      <c r="C100" t="s">
        <v>3002</v>
      </c>
    </row>
    <row r="101" spans="1:3" x14ac:dyDescent="0.25">
      <c r="A101" t="s">
        <v>671</v>
      </c>
      <c r="B101" t="s">
        <v>87</v>
      </c>
      <c r="C101" t="s">
        <v>3002</v>
      </c>
    </row>
    <row r="102" spans="1:3" x14ac:dyDescent="0.25">
      <c r="A102" t="s">
        <v>674</v>
      </c>
      <c r="B102" t="s">
        <v>173</v>
      </c>
      <c r="C102" t="s">
        <v>3006</v>
      </c>
    </row>
    <row r="103" spans="1:3" x14ac:dyDescent="0.25">
      <c r="A103" t="s">
        <v>676</v>
      </c>
      <c r="B103" t="s">
        <v>173</v>
      </c>
      <c r="C103" t="s">
        <v>3006</v>
      </c>
    </row>
    <row r="104" spans="1:3" x14ac:dyDescent="0.25">
      <c r="A104" t="s">
        <v>679</v>
      </c>
      <c r="B104" t="s">
        <v>87</v>
      </c>
      <c r="C104" t="s">
        <v>3002</v>
      </c>
    </row>
    <row r="105" spans="1:3" x14ac:dyDescent="0.25">
      <c r="A105" t="s">
        <v>680</v>
      </c>
      <c r="B105" t="s">
        <v>87</v>
      </c>
      <c r="C105" t="s">
        <v>3002</v>
      </c>
    </row>
    <row r="106" spans="1:3" x14ac:dyDescent="0.25">
      <c r="A106" t="s">
        <v>681</v>
      </c>
      <c r="B106" t="s">
        <v>87</v>
      </c>
      <c r="C106" t="s">
        <v>3002</v>
      </c>
    </row>
    <row r="107" spans="1:3" x14ac:dyDescent="0.25">
      <c r="A107" t="s">
        <v>682</v>
      </c>
      <c r="B107" t="s">
        <v>87</v>
      </c>
      <c r="C107" t="s">
        <v>3002</v>
      </c>
    </row>
    <row r="108" spans="1:3" x14ac:dyDescent="0.25">
      <c r="A108" t="s">
        <v>695</v>
      </c>
      <c r="B108" t="s">
        <v>87</v>
      </c>
      <c r="C108" t="s">
        <v>3002</v>
      </c>
    </row>
    <row r="109" spans="1:3" x14ac:dyDescent="0.25">
      <c r="A109" t="s">
        <v>696</v>
      </c>
      <c r="B109" t="s">
        <v>173</v>
      </c>
      <c r="C109" t="s">
        <v>3006</v>
      </c>
    </row>
    <row r="110" spans="1:3" x14ac:dyDescent="0.25">
      <c r="A110" t="s">
        <v>705</v>
      </c>
      <c r="B110" t="s">
        <v>341</v>
      </c>
      <c r="C110" t="s">
        <v>3004</v>
      </c>
    </row>
    <row r="111" spans="1:3" x14ac:dyDescent="0.25">
      <c r="A111" t="s">
        <v>706</v>
      </c>
      <c r="B111" t="s">
        <v>341</v>
      </c>
      <c r="C111" t="s">
        <v>3004</v>
      </c>
    </row>
    <row r="112" spans="1:3" x14ac:dyDescent="0.25">
      <c r="A112" t="s">
        <v>707</v>
      </c>
      <c r="B112" t="s">
        <v>341</v>
      </c>
      <c r="C112" t="s">
        <v>3004</v>
      </c>
    </row>
    <row r="113" spans="1:3" x14ac:dyDescent="0.25">
      <c r="A113" t="s">
        <v>708</v>
      </c>
      <c r="B113" t="s">
        <v>341</v>
      </c>
      <c r="C113" t="s">
        <v>3004</v>
      </c>
    </row>
    <row r="114" spans="1:3" x14ac:dyDescent="0.25">
      <c r="A114" t="s">
        <v>714</v>
      </c>
      <c r="B114" t="s">
        <v>87</v>
      </c>
      <c r="C114" t="s">
        <v>3002</v>
      </c>
    </row>
    <row r="115" spans="1:3" x14ac:dyDescent="0.25">
      <c r="A115" t="s">
        <v>715</v>
      </c>
      <c r="B115" t="s">
        <v>87</v>
      </c>
      <c r="C115" t="s">
        <v>3002</v>
      </c>
    </row>
    <row r="116" spans="1:3" x14ac:dyDescent="0.25">
      <c r="A116" t="s">
        <v>716</v>
      </c>
      <c r="B116" t="s">
        <v>87</v>
      </c>
      <c r="C116" t="s">
        <v>3002</v>
      </c>
    </row>
    <row r="117" spans="1:3" x14ac:dyDescent="0.25">
      <c r="A117" t="s">
        <v>717</v>
      </c>
      <c r="B117" t="s">
        <v>87</v>
      </c>
      <c r="C117" t="s">
        <v>3002</v>
      </c>
    </row>
    <row r="118" spans="1:3" x14ac:dyDescent="0.25">
      <c r="A118" t="s">
        <v>718</v>
      </c>
      <c r="B118" t="s">
        <v>87</v>
      </c>
      <c r="C118" t="s">
        <v>3002</v>
      </c>
    </row>
    <row r="119" spans="1:3" x14ac:dyDescent="0.25">
      <c r="A119" t="s">
        <v>719</v>
      </c>
      <c r="B119" t="s">
        <v>87</v>
      </c>
      <c r="C119" t="s">
        <v>3002</v>
      </c>
    </row>
    <row r="120" spans="1:3" x14ac:dyDescent="0.25">
      <c r="A120" t="s">
        <v>720</v>
      </c>
      <c r="B120" t="s">
        <v>341</v>
      </c>
      <c r="C120" t="s">
        <v>3004</v>
      </c>
    </row>
    <row r="121" spans="1:3" x14ac:dyDescent="0.25">
      <c r="A121" t="s">
        <v>470</v>
      </c>
      <c r="B121" t="s">
        <v>87</v>
      </c>
      <c r="C121" t="s">
        <v>3002</v>
      </c>
    </row>
    <row r="122" spans="1:3" x14ac:dyDescent="0.25">
      <c r="A122" t="s">
        <v>723</v>
      </c>
      <c r="B122" t="s">
        <v>87</v>
      </c>
      <c r="C122" t="s">
        <v>3002</v>
      </c>
    </row>
    <row r="123" spans="1:3" x14ac:dyDescent="0.25">
      <c r="A123" t="s">
        <v>724</v>
      </c>
      <c r="B123" t="s">
        <v>87</v>
      </c>
      <c r="C123" t="s">
        <v>3002</v>
      </c>
    </row>
    <row r="124" spans="1:3" x14ac:dyDescent="0.25">
      <c r="A124" t="s">
        <v>725</v>
      </c>
      <c r="B124" t="s">
        <v>87</v>
      </c>
      <c r="C124" t="s">
        <v>3002</v>
      </c>
    </row>
    <row r="125" spans="1:3" x14ac:dyDescent="0.25">
      <c r="A125" t="s">
        <v>729</v>
      </c>
      <c r="B125" t="s">
        <v>87</v>
      </c>
      <c r="C125" t="s">
        <v>3002</v>
      </c>
    </row>
    <row r="126" spans="1:3" x14ac:dyDescent="0.25">
      <c r="A126" t="s">
        <v>730</v>
      </c>
      <c r="B126" t="s">
        <v>87</v>
      </c>
      <c r="C126" t="s">
        <v>3002</v>
      </c>
    </row>
    <row r="127" spans="1:3" x14ac:dyDescent="0.25">
      <c r="A127" t="s">
        <v>732</v>
      </c>
      <c r="B127" t="s">
        <v>341</v>
      </c>
      <c r="C127" t="s">
        <v>3004</v>
      </c>
    </row>
    <row r="128" spans="1:3" x14ac:dyDescent="0.25">
      <c r="A128" t="s">
        <v>751</v>
      </c>
      <c r="B128" t="s">
        <v>341</v>
      </c>
      <c r="C128" t="s">
        <v>3004</v>
      </c>
    </row>
    <row r="129" spans="1:3" x14ac:dyDescent="0.25">
      <c r="A129" t="s">
        <v>752</v>
      </c>
      <c r="B129" t="s">
        <v>341</v>
      </c>
      <c r="C129" t="s">
        <v>3004</v>
      </c>
    </row>
    <row r="130" spans="1:3" x14ac:dyDescent="0.25">
      <c r="A130" t="s">
        <v>753</v>
      </c>
      <c r="B130" t="s">
        <v>341</v>
      </c>
      <c r="C130" t="s">
        <v>3004</v>
      </c>
    </row>
    <row r="131" spans="1:3" x14ac:dyDescent="0.25">
      <c r="A131" t="s">
        <v>754</v>
      </c>
      <c r="B131" t="s">
        <v>87</v>
      </c>
      <c r="C131" t="s">
        <v>3002</v>
      </c>
    </row>
    <row r="132" spans="1:3" x14ac:dyDescent="0.25">
      <c r="A132" t="s">
        <v>755</v>
      </c>
      <c r="B132" t="s">
        <v>87</v>
      </c>
      <c r="C132" t="s">
        <v>3002</v>
      </c>
    </row>
    <row r="133" spans="1:3" x14ac:dyDescent="0.25">
      <c r="A133" t="s">
        <v>757</v>
      </c>
      <c r="B133" t="s">
        <v>173</v>
      </c>
      <c r="C133" t="s">
        <v>3006</v>
      </c>
    </row>
    <row r="134" spans="1:3" x14ac:dyDescent="0.25">
      <c r="A134" t="s">
        <v>762</v>
      </c>
      <c r="B134" t="s">
        <v>341</v>
      </c>
      <c r="C134" t="s">
        <v>3004</v>
      </c>
    </row>
    <row r="135" spans="1:3" x14ac:dyDescent="0.25">
      <c r="A135" t="s">
        <v>765</v>
      </c>
      <c r="B135" t="s">
        <v>173</v>
      </c>
      <c r="C135" t="s">
        <v>3006</v>
      </c>
    </row>
    <row r="136" spans="1:3" x14ac:dyDescent="0.25">
      <c r="A136" t="s">
        <v>767</v>
      </c>
      <c r="B136" t="s">
        <v>173</v>
      </c>
      <c r="C136" t="s">
        <v>3006</v>
      </c>
    </row>
    <row r="137" spans="1:3" x14ac:dyDescent="0.25">
      <c r="A137" t="s">
        <v>769</v>
      </c>
      <c r="B137" t="s">
        <v>87</v>
      </c>
      <c r="C137" t="s">
        <v>3002</v>
      </c>
    </row>
    <row r="138" spans="1:3" x14ac:dyDescent="0.25">
      <c r="A138" t="s">
        <v>770</v>
      </c>
      <c r="B138" t="s">
        <v>87</v>
      </c>
      <c r="C138" t="s">
        <v>3002</v>
      </c>
    </row>
    <row r="139" spans="1:3" x14ac:dyDescent="0.25">
      <c r="A139" t="s">
        <v>773</v>
      </c>
      <c r="C139" t="s">
        <v>3006</v>
      </c>
    </row>
    <row r="140" spans="1:3" x14ac:dyDescent="0.25">
      <c r="A140" t="s">
        <v>774</v>
      </c>
      <c r="B140" t="s">
        <v>87</v>
      </c>
      <c r="C140" t="s">
        <v>3002</v>
      </c>
    </row>
    <row r="141" spans="1:3" x14ac:dyDescent="0.25">
      <c r="A141" t="s">
        <v>775</v>
      </c>
      <c r="B141" t="s">
        <v>87</v>
      </c>
      <c r="C141" t="s">
        <v>3002</v>
      </c>
    </row>
    <row r="142" spans="1:3" x14ac:dyDescent="0.25">
      <c r="A142" t="s">
        <v>781</v>
      </c>
      <c r="B142" t="s">
        <v>87</v>
      </c>
      <c r="C142" t="s">
        <v>3002</v>
      </c>
    </row>
    <row r="143" spans="1:3" x14ac:dyDescent="0.25">
      <c r="A143" t="s">
        <v>790</v>
      </c>
      <c r="B143" t="s">
        <v>173</v>
      </c>
      <c r="C143" t="s">
        <v>3006</v>
      </c>
    </row>
    <row r="144" spans="1:3" x14ac:dyDescent="0.25">
      <c r="A144" t="s">
        <v>791</v>
      </c>
      <c r="B144" t="s">
        <v>173</v>
      </c>
      <c r="C144" t="s">
        <v>3006</v>
      </c>
    </row>
    <row r="145" spans="1:3" x14ac:dyDescent="0.25">
      <c r="A145" t="s">
        <v>792</v>
      </c>
      <c r="B145" t="s">
        <v>173</v>
      </c>
      <c r="C145" t="s">
        <v>3006</v>
      </c>
    </row>
    <row r="146" spans="1:3" x14ac:dyDescent="0.25">
      <c r="A146" t="s">
        <v>793</v>
      </c>
      <c r="B146" t="s">
        <v>173</v>
      </c>
      <c r="C146" t="s">
        <v>3006</v>
      </c>
    </row>
    <row r="147" spans="1:3" x14ac:dyDescent="0.25">
      <c r="A147" t="s">
        <v>794</v>
      </c>
      <c r="B147" t="s">
        <v>173</v>
      </c>
      <c r="C147" t="s">
        <v>3006</v>
      </c>
    </row>
    <row r="148" spans="1:3" x14ac:dyDescent="0.25">
      <c r="A148" t="s">
        <v>795</v>
      </c>
      <c r="B148" t="s">
        <v>173</v>
      </c>
      <c r="C148" t="s">
        <v>3006</v>
      </c>
    </row>
    <row r="149" spans="1:3" x14ac:dyDescent="0.25">
      <c r="A149" t="s">
        <v>796</v>
      </c>
      <c r="B149" t="s">
        <v>173</v>
      </c>
      <c r="C149" t="s">
        <v>3006</v>
      </c>
    </row>
    <row r="150" spans="1:3" x14ac:dyDescent="0.25">
      <c r="A150" t="s">
        <v>797</v>
      </c>
      <c r="B150" t="s">
        <v>173</v>
      </c>
      <c r="C150" t="s">
        <v>3006</v>
      </c>
    </row>
    <row r="151" spans="1:3" x14ac:dyDescent="0.25">
      <c r="A151" t="s">
        <v>798</v>
      </c>
      <c r="B151" t="s">
        <v>341</v>
      </c>
      <c r="C151" t="s">
        <v>3004</v>
      </c>
    </row>
    <row r="152" spans="1:3" x14ac:dyDescent="0.25">
      <c r="A152" t="s">
        <v>799</v>
      </c>
      <c r="B152" t="s">
        <v>341</v>
      </c>
      <c r="C152" t="s">
        <v>3004</v>
      </c>
    </row>
    <row r="153" spans="1:3" x14ac:dyDescent="0.25">
      <c r="A153" t="s">
        <v>800</v>
      </c>
      <c r="B153" t="s">
        <v>341</v>
      </c>
      <c r="C153" t="s">
        <v>3004</v>
      </c>
    </row>
    <row r="154" spans="1:3" x14ac:dyDescent="0.25">
      <c r="A154" t="s">
        <v>801</v>
      </c>
      <c r="B154" t="s">
        <v>341</v>
      </c>
      <c r="C154" t="s">
        <v>3004</v>
      </c>
    </row>
    <row r="155" spans="1:3" x14ac:dyDescent="0.25">
      <c r="A155" t="s">
        <v>803</v>
      </c>
      <c r="B155" t="s">
        <v>173</v>
      </c>
      <c r="C155" t="s">
        <v>3006</v>
      </c>
    </row>
    <row r="156" spans="1:3" x14ac:dyDescent="0.25">
      <c r="A156" t="s">
        <v>804</v>
      </c>
      <c r="B156" t="s">
        <v>87</v>
      </c>
      <c r="C156" t="s">
        <v>3002</v>
      </c>
    </row>
    <row r="157" spans="1:3" x14ac:dyDescent="0.25">
      <c r="A157" t="s">
        <v>807</v>
      </c>
      <c r="B157" t="s">
        <v>87</v>
      </c>
      <c r="C157" t="s">
        <v>3002</v>
      </c>
    </row>
    <row r="158" spans="1:3" x14ac:dyDescent="0.25">
      <c r="A158" t="s">
        <v>808</v>
      </c>
      <c r="B158" t="s">
        <v>173</v>
      </c>
      <c r="C158" t="s">
        <v>3006</v>
      </c>
    </row>
    <row r="159" spans="1:3" x14ac:dyDescent="0.25">
      <c r="A159" t="s">
        <v>815</v>
      </c>
      <c r="B159" t="s">
        <v>341</v>
      </c>
      <c r="C159" t="s">
        <v>3004</v>
      </c>
    </row>
    <row r="160" spans="1:3" x14ac:dyDescent="0.25">
      <c r="A160" t="s">
        <v>826</v>
      </c>
      <c r="B160" t="s">
        <v>341</v>
      </c>
      <c r="C160" t="s">
        <v>3004</v>
      </c>
    </row>
    <row r="161" spans="1:3" x14ac:dyDescent="0.25">
      <c r="A161" t="s">
        <v>827</v>
      </c>
      <c r="B161" t="s">
        <v>341</v>
      </c>
      <c r="C161" t="s">
        <v>3004</v>
      </c>
    </row>
    <row r="162" spans="1:3" x14ac:dyDescent="0.25">
      <c r="A162" t="s">
        <v>828</v>
      </c>
      <c r="B162" t="s">
        <v>341</v>
      </c>
      <c r="C162" t="s">
        <v>3004</v>
      </c>
    </row>
    <row r="163" spans="1:3" x14ac:dyDescent="0.25">
      <c r="A163" t="s">
        <v>829</v>
      </c>
      <c r="B163" t="s">
        <v>341</v>
      </c>
      <c r="C163" t="s">
        <v>3004</v>
      </c>
    </row>
    <row r="164" spans="1:3" x14ac:dyDescent="0.25">
      <c r="A164" t="s">
        <v>830</v>
      </c>
      <c r="B164" t="s">
        <v>341</v>
      </c>
      <c r="C164" t="s">
        <v>3004</v>
      </c>
    </row>
    <row r="165" spans="1:3" x14ac:dyDescent="0.25">
      <c r="A165" t="s">
        <v>831</v>
      </c>
      <c r="B165" t="s">
        <v>341</v>
      </c>
      <c r="C165" t="s">
        <v>3004</v>
      </c>
    </row>
    <row r="166" spans="1:3" x14ac:dyDescent="0.25">
      <c r="A166" t="s">
        <v>832</v>
      </c>
      <c r="B166" t="s">
        <v>341</v>
      </c>
      <c r="C166" t="s">
        <v>3004</v>
      </c>
    </row>
    <row r="167" spans="1:3" x14ac:dyDescent="0.25">
      <c r="A167" t="s">
        <v>833</v>
      </c>
      <c r="B167" t="s">
        <v>173</v>
      </c>
      <c r="C167" t="s">
        <v>3006</v>
      </c>
    </row>
    <row r="168" spans="1:3" x14ac:dyDescent="0.25">
      <c r="A168" t="s">
        <v>834</v>
      </c>
      <c r="B168" t="s">
        <v>173</v>
      </c>
      <c r="C168" t="s">
        <v>3006</v>
      </c>
    </row>
    <row r="169" spans="1:3" x14ac:dyDescent="0.25">
      <c r="A169" t="s">
        <v>835</v>
      </c>
      <c r="B169" t="s">
        <v>87</v>
      </c>
      <c r="C169" t="s">
        <v>3002</v>
      </c>
    </row>
    <row r="170" spans="1:3" x14ac:dyDescent="0.25">
      <c r="A170" t="s">
        <v>836</v>
      </c>
      <c r="B170" t="s">
        <v>87</v>
      </c>
      <c r="C170" t="s">
        <v>3002</v>
      </c>
    </row>
    <row r="171" spans="1:3" x14ac:dyDescent="0.25">
      <c r="A171" t="s">
        <v>840</v>
      </c>
      <c r="B171" t="s">
        <v>16</v>
      </c>
      <c r="C171" t="s">
        <v>3005</v>
      </c>
    </row>
    <row r="172" spans="1:3" x14ac:dyDescent="0.25">
      <c r="A172" t="s">
        <v>841</v>
      </c>
      <c r="B172" t="s">
        <v>341</v>
      </c>
      <c r="C172" t="s">
        <v>3004</v>
      </c>
    </row>
    <row r="173" spans="1:3" x14ac:dyDescent="0.25">
      <c r="A173" t="s">
        <v>843</v>
      </c>
      <c r="B173" t="s">
        <v>341</v>
      </c>
      <c r="C173" t="s">
        <v>3004</v>
      </c>
    </row>
    <row r="174" spans="1:3" x14ac:dyDescent="0.25">
      <c r="A174" t="s">
        <v>658</v>
      </c>
      <c r="B174" t="s">
        <v>341</v>
      </c>
      <c r="C174" t="s">
        <v>3004</v>
      </c>
    </row>
    <row r="175" spans="1:3" x14ac:dyDescent="0.25">
      <c r="A175" t="s">
        <v>844</v>
      </c>
      <c r="B175" t="s">
        <v>87</v>
      </c>
      <c r="C175" t="s">
        <v>3002</v>
      </c>
    </row>
    <row r="176" spans="1:3" x14ac:dyDescent="0.25">
      <c r="A176" t="s">
        <v>845</v>
      </c>
      <c r="B176" t="s">
        <v>87</v>
      </c>
      <c r="C176" t="s">
        <v>3002</v>
      </c>
    </row>
    <row r="177" spans="1:3" x14ac:dyDescent="0.25">
      <c r="A177" t="s">
        <v>846</v>
      </c>
      <c r="B177" t="s">
        <v>87</v>
      </c>
      <c r="C177" t="s">
        <v>3002</v>
      </c>
    </row>
    <row r="178" spans="1:3" x14ac:dyDescent="0.25">
      <c r="A178" t="s">
        <v>847</v>
      </c>
      <c r="B178" t="s">
        <v>87</v>
      </c>
      <c r="C178" t="s">
        <v>3002</v>
      </c>
    </row>
    <row r="179" spans="1:3" x14ac:dyDescent="0.25">
      <c r="A179" t="s">
        <v>752</v>
      </c>
      <c r="B179" t="s">
        <v>87</v>
      </c>
      <c r="C179" t="s">
        <v>3002</v>
      </c>
    </row>
    <row r="180" spans="1:3" x14ac:dyDescent="0.25">
      <c r="A180" t="s">
        <v>851</v>
      </c>
      <c r="B180" t="s">
        <v>87</v>
      </c>
      <c r="C180" t="s">
        <v>3002</v>
      </c>
    </row>
    <row r="181" spans="1:3" x14ac:dyDescent="0.25">
      <c r="A181" t="s">
        <v>720</v>
      </c>
      <c r="B181" t="s">
        <v>87</v>
      </c>
      <c r="C181" t="s">
        <v>3002</v>
      </c>
    </row>
    <row r="182" spans="1:3" x14ac:dyDescent="0.25">
      <c r="A182" t="s">
        <v>853</v>
      </c>
      <c r="B182" t="s">
        <v>87</v>
      </c>
      <c r="C182" t="s">
        <v>3002</v>
      </c>
    </row>
    <row r="183" spans="1:3" x14ac:dyDescent="0.25">
      <c r="A183" t="s">
        <v>515</v>
      </c>
      <c r="B183" t="s">
        <v>341</v>
      </c>
      <c r="C183" t="s">
        <v>3004</v>
      </c>
    </row>
    <row r="184" spans="1:3" x14ac:dyDescent="0.25">
      <c r="A184" t="s">
        <v>469</v>
      </c>
      <c r="B184" t="s">
        <v>87</v>
      </c>
      <c r="C184" t="s">
        <v>3002</v>
      </c>
    </row>
    <row r="185" spans="1:3" x14ac:dyDescent="0.25">
      <c r="A185" t="s">
        <v>854</v>
      </c>
      <c r="B185" t="s">
        <v>87</v>
      </c>
      <c r="C185" t="s">
        <v>3002</v>
      </c>
    </row>
    <row r="186" spans="1:3" x14ac:dyDescent="0.25">
      <c r="A186" t="s">
        <v>855</v>
      </c>
      <c r="B186" t="s">
        <v>341</v>
      </c>
      <c r="C186" t="s">
        <v>3004</v>
      </c>
    </row>
    <row r="187" spans="1:3" x14ac:dyDescent="0.25">
      <c r="A187" t="s">
        <v>856</v>
      </c>
      <c r="B187" t="s">
        <v>87</v>
      </c>
      <c r="C187" t="s">
        <v>3002</v>
      </c>
    </row>
    <row r="188" spans="1:3" x14ac:dyDescent="0.25">
      <c r="A188" t="s">
        <v>861</v>
      </c>
      <c r="B188" t="s">
        <v>173</v>
      </c>
      <c r="C188" t="s">
        <v>3006</v>
      </c>
    </row>
    <row r="189" spans="1:3" x14ac:dyDescent="0.25">
      <c r="A189" t="s">
        <v>862</v>
      </c>
      <c r="C189" t="s">
        <v>3006</v>
      </c>
    </row>
    <row r="190" spans="1:3" x14ac:dyDescent="0.25">
      <c r="A190" t="s">
        <v>863</v>
      </c>
      <c r="B190" t="s">
        <v>95</v>
      </c>
      <c r="C190" t="s">
        <v>3003</v>
      </c>
    </row>
    <row r="191" spans="1:3" x14ac:dyDescent="0.25">
      <c r="A191" t="s">
        <v>864</v>
      </c>
      <c r="B191" t="s">
        <v>87</v>
      </c>
      <c r="C191" t="s">
        <v>3002</v>
      </c>
    </row>
    <row r="192" spans="1:3" x14ac:dyDescent="0.25">
      <c r="A192" t="s">
        <v>865</v>
      </c>
      <c r="B192" t="s">
        <v>87</v>
      </c>
      <c r="C192" t="s">
        <v>3002</v>
      </c>
    </row>
    <row r="193" spans="1:3" x14ac:dyDescent="0.25">
      <c r="A193" t="s">
        <v>341</v>
      </c>
      <c r="B193" t="s">
        <v>341</v>
      </c>
      <c r="C193" t="s">
        <v>3004</v>
      </c>
    </row>
    <row r="194" spans="1:3" x14ac:dyDescent="0.25">
      <c r="A194" t="s">
        <v>866</v>
      </c>
      <c r="B194" t="s">
        <v>341</v>
      </c>
      <c r="C194" t="s">
        <v>3004</v>
      </c>
    </row>
    <row r="195" spans="1:3" x14ac:dyDescent="0.25">
      <c r="A195" t="s">
        <v>868</v>
      </c>
      <c r="B195" t="s">
        <v>87</v>
      </c>
      <c r="C195" t="s">
        <v>3002</v>
      </c>
    </row>
    <row r="196" spans="1:3" x14ac:dyDescent="0.25">
      <c r="A196" t="s">
        <v>869</v>
      </c>
      <c r="B196" t="s">
        <v>87</v>
      </c>
      <c r="C196" t="s">
        <v>3002</v>
      </c>
    </row>
    <row r="197" spans="1:3" x14ac:dyDescent="0.25">
      <c r="A197" t="s">
        <v>870</v>
      </c>
      <c r="B197" t="s">
        <v>87</v>
      </c>
      <c r="C197" t="s">
        <v>3002</v>
      </c>
    </row>
    <row r="198" spans="1:3" x14ac:dyDescent="0.25">
      <c r="A198" t="s">
        <v>871</v>
      </c>
      <c r="B198" t="s">
        <v>95</v>
      </c>
      <c r="C198" t="s">
        <v>3003</v>
      </c>
    </row>
    <row r="199" spans="1:3" x14ac:dyDescent="0.25">
      <c r="A199" t="s">
        <v>882</v>
      </c>
      <c r="B199" t="s">
        <v>87</v>
      </c>
      <c r="C199" t="s">
        <v>3002</v>
      </c>
    </row>
    <row r="200" spans="1:3" x14ac:dyDescent="0.25">
      <c r="A200" t="s">
        <v>514</v>
      </c>
      <c r="B200" t="s">
        <v>341</v>
      </c>
      <c r="C200" t="s">
        <v>3004</v>
      </c>
    </row>
    <row r="201" spans="1:3" x14ac:dyDescent="0.25">
      <c r="A201" t="s">
        <v>883</v>
      </c>
      <c r="B201" t="s">
        <v>87</v>
      </c>
      <c r="C201" t="s">
        <v>3002</v>
      </c>
    </row>
    <row r="202" spans="1:3" x14ac:dyDescent="0.25">
      <c r="A202" t="s">
        <v>886</v>
      </c>
      <c r="C202" t="s">
        <v>3006</v>
      </c>
    </row>
    <row r="203" spans="1:3" x14ac:dyDescent="0.25">
      <c r="A203" t="s">
        <v>891</v>
      </c>
      <c r="B203" t="s">
        <v>77</v>
      </c>
      <c r="C203" t="s">
        <v>77</v>
      </c>
    </row>
    <row r="204" spans="1:3" x14ac:dyDescent="0.25">
      <c r="A204" t="s">
        <v>895</v>
      </c>
      <c r="B204" t="s">
        <v>341</v>
      </c>
      <c r="C204" t="s">
        <v>3004</v>
      </c>
    </row>
    <row r="205" spans="1:3" x14ac:dyDescent="0.25">
      <c r="A205" t="s">
        <v>896</v>
      </c>
      <c r="B205" t="s">
        <v>341</v>
      </c>
      <c r="C205" t="s">
        <v>3004</v>
      </c>
    </row>
    <row r="206" spans="1:3" x14ac:dyDescent="0.25">
      <c r="A206" t="s">
        <v>897</v>
      </c>
      <c r="B206" t="s">
        <v>87</v>
      </c>
      <c r="C206" t="s">
        <v>3002</v>
      </c>
    </row>
    <row r="207" spans="1:3" x14ac:dyDescent="0.25">
      <c r="A207" t="s">
        <v>898</v>
      </c>
      <c r="B207" t="s">
        <v>87</v>
      </c>
      <c r="C207" t="s">
        <v>3002</v>
      </c>
    </row>
    <row r="208" spans="1:3" x14ac:dyDescent="0.25">
      <c r="A208" t="s">
        <v>899</v>
      </c>
      <c r="B208" t="s">
        <v>87</v>
      </c>
      <c r="C208" t="s">
        <v>3002</v>
      </c>
    </row>
    <row r="209" spans="1:3" x14ac:dyDescent="0.25">
      <c r="A209" t="s">
        <v>900</v>
      </c>
      <c r="B209" t="s">
        <v>87</v>
      </c>
      <c r="C209" t="s">
        <v>3002</v>
      </c>
    </row>
    <row r="210" spans="1:3" x14ac:dyDescent="0.25">
      <c r="A210" t="s">
        <v>906</v>
      </c>
      <c r="B210" t="s">
        <v>16</v>
      </c>
      <c r="C210" t="s">
        <v>3005</v>
      </c>
    </row>
    <row r="211" spans="1:3" x14ac:dyDescent="0.25">
      <c r="A211" t="s">
        <v>907</v>
      </c>
      <c r="B211" t="s">
        <v>173</v>
      </c>
      <c r="C211" t="s">
        <v>3006</v>
      </c>
    </row>
    <row r="212" spans="1:3" x14ac:dyDescent="0.25">
      <c r="A212" t="s">
        <v>908</v>
      </c>
      <c r="B212" t="s">
        <v>173</v>
      </c>
      <c r="C212" t="s">
        <v>3006</v>
      </c>
    </row>
    <row r="213" spans="1:3" x14ac:dyDescent="0.25">
      <c r="A213" t="s">
        <v>913</v>
      </c>
      <c r="B213" t="s">
        <v>48</v>
      </c>
      <c r="C213" t="s">
        <v>3005</v>
      </c>
    </row>
    <row r="214" spans="1:3" x14ac:dyDescent="0.25">
      <c r="A214" t="s">
        <v>915</v>
      </c>
      <c r="B214" t="s">
        <v>341</v>
      </c>
      <c r="C214" t="s">
        <v>3004</v>
      </c>
    </row>
    <row r="215" spans="1:3" x14ac:dyDescent="0.25">
      <c r="A215" t="s">
        <v>518</v>
      </c>
      <c r="B215" t="s">
        <v>341</v>
      </c>
      <c r="C215" t="s">
        <v>3004</v>
      </c>
    </row>
    <row r="216" spans="1:3" x14ac:dyDescent="0.25">
      <c r="A216" t="s">
        <v>916</v>
      </c>
      <c r="B216" t="s">
        <v>341</v>
      </c>
      <c r="C216" t="s">
        <v>3004</v>
      </c>
    </row>
    <row r="217" spans="1:3" x14ac:dyDescent="0.25">
      <c r="A217" t="s">
        <v>922</v>
      </c>
      <c r="C217" t="s">
        <v>3006</v>
      </c>
    </row>
    <row r="218" spans="1:3" x14ac:dyDescent="0.25">
      <c r="A218" t="s">
        <v>923</v>
      </c>
      <c r="C218" t="s">
        <v>3006</v>
      </c>
    </row>
    <row r="219" spans="1:3" x14ac:dyDescent="0.25">
      <c r="A219" t="s">
        <v>925</v>
      </c>
      <c r="B219" t="s">
        <v>173</v>
      </c>
      <c r="C219" t="s">
        <v>3006</v>
      </c>
    </row>
    <row r="220" spans="1:3" x14ac:dyDescent="0.25">
      <c r="A220" t="s">
        <v>926</v>
      </c>
      <c r="C220" t="s">
        <v>3006</v>
      </c>
    </row>
    <row r="221" spans="1:3" x14ac:dyDescent="0.25">
      <c r="A221" t="s">
        <v>927</v>
      </c>
      <c r="C221" t="s">
        <v>3006</v>
      </c>
    </row>
    <row r="222" spans="1:3" x14ac:dyDescent="0.25">
      <c r="A222" t="s">
        <v>808</v>
      </c>
      <c r="B222" t="s">
        <v>87</v>
      </c>
      <c r="C222" t="s">
        <v>3002</v>
      </c>
    </row>
    <row r="223" spans="1:3" x14ac:dyDescent="0.25">
      <c r="A223" t="s">
        <v>941</v>
      </c>
      <c r="B223" t="s">
        <v>87</v>
      </c>
      <c r="C223" t="s">
        <v>3002</v>
      </c>
    </row>
    <row r="224" spans="1:3" x14ac:dyDescent="0.25">
      <c r="A224" t="s">
        <v>943</v>
      </c>
      <c r="B224" t="s">
        <v>173</v>
      </c>
      <c r="C224" t="s">
        <v>3006</v>
      </c>
    </row>
    <row r="225" spans="1:3" x14ac:dyDescent="0.25">
      <c r="A225" t="s">
        <v>944</v>
      </c>
      <c r="B225" t="s">
        <v>87</v>
      </c>
      <c r="C225" t="s">
        <v>3002</v>
      </c>
    </row>
    <row r="226" spans="1:3" x14ac:dyDescent="0.25">
      <c r="A226" t="s">
        <v>945</v>
      </c>
      <c r="B226" t="s">
        <v>87</v>
      </c>
      <c r="C226" t="s">
        <v>3002</v>
      </c>
    </row>
    <row r="227" spans="1:3" x14ac:dyDescent="0.25">
      <c r="A227" t="s">
        <v>205</v>
      </c>
      <c r="B227" t="s">
        <v>173</v>
      </c>
      <c r="C227" t="s">
        <v>3006</v>
      </c>
    </row>
    <row r="228" spans="1:3" x14ac:dyDescent="0.25">
      <c r="A228" t="s">
        <v>955</v>
      </c>
      <c r="B228" t="s">
        <v>77</v>
      </c>
      <c r="C228" t="s">
        <v>77</v>
      </c>
    </row>
    <row r="229" spans="1:3" x14ac:dyDescent="0.25">
      <c r="A229" t="s">
        <v>956</v>
      </c>
      <c r="B229" t="s">
        <v>77</v>
      </c>
      <c r="C229" t="s">
        <v>77</v>
      </c>
    </row>
    <row r="230" spans="1:3" x14ac:dyDescent="0.25">
      <c r="A230" t="s">
        <v>981</v>
      </c>
      <c r="B230" t="s">
        <v>341</v>
      </c>
      <c r="C230" t="s">
        <v>3004</v>
      </c>
    </row>
    <row r="231" spans="1:3" x14ac:dyDescent="0.25">
      <c r="A231" t="s">
        <v>652</v>
      </c>
      <c r="B231" t="s">
        <v>173</v>
      </c>
      <c r="C231" t="s">
        <v>3006</v>
      </c>
    </row>
    <row r="232" spans="1:3" x14ac:dyDescent="0.25">
      <c r="A232" t="s">
        <v>983</v>
      </c>
      <c r="B232" t="s">
        <v>173</v>
      </c>
      <c r="C232" t="s">
        <v>3006</v>
      </c>
    </row>
    <row r="233" spans="1:3" x14ac:dyDescent="0.25">
      <c r="A233" t="s">
        <v>986</v>
      </c>
      <c r="C233" t="s">
        <v>3006</v>
      </c>
    </row>
    <row r="234" spans="1:3" x14ac:dyDescent="0.25">
      <c r="A234" t="s">
        <v>987</v>
      </c>
      <c r="B234" t="s">
        <v>341</v>
      </c>
      <c r="C234" t="s">
        <v>3004</v>
      </c>
    </row>
    <row r="235" spans="1:3" x14ac:dyDescent="0.25">
      <c r="A235" t="s">
        <v>988</v>
      </c>
      <c r="C235" t="s">
        <v>3006</v>
      </c>
    </row>
    <row r="236" spans="1:3" x14ac:dyDescent="0.25">
      <c r="A236" t="s">
        <v>989</v>
      </c>
      <c r="B236" t="s">
        <v>341</v>
      </c>
      <c r="C236" t="s">
        <v>3004</v>
      </c>
    </row>
    <row r="237" spans="1:3" x14ac:dyDescent="0.25">
      <c r="A237" t="s">
        <v>990</v>
      </c>
      <c r="B237" t="s">
        <v>341</v>
      </c>
      <c r="C237" t="s">
        <v>3004</v>
      </c>
    </row>
    <row r="238" spans="1:3" x14ac:dyDescent="0.25">
      <c r="A238" t="s">
        <v>991</v>
      </c>
      <c r="B238" t="s">
        <v>173</v>
      </c>
      <c r="C238" t="s">
        <v>3006</v>
      </c>
    </row>
    <row r="239" spans="1:3" x14ac:dyDescent="0.25">
      <c r="A239" t="s">
        <v>992</v>
      </c>
      <c r="B239" t="s">
        <v>173</v>
      </c>
      <c r="C239" t="s">
        <v>3006</v>
      </c>
    </row>
    <row r="240" spans="1:3" x14ac:dyDescent="0.25">
      <c r="A240" t="s">
        <v>993</v>
      </c>
      <c r="B240" t="s">
        <v>341</v>
      </c>
      <c r="C240" t="s">
        <v>3004</v>
      </c>
    </row>
    <row r="241" spans="1:3" x14ac:dyDescent="0.25">
      <c r="A241" t="s">
        <v>994</v>
      </c>
      <c r="B241" t="s">
        <v>341</v>
      </c>
      <c r="C241" t="s">
        <v>3004</v>
      </c>
    </row>
    <row r="242" spans="1:3" x14ac:dyDescent="0.25">
      <c r="A242" t="s">
        <v>995</v>
      </c>
      <c r="B242" t="s">
        <v>87</v>
      </c>
      <c r="C242" t="s">
        <v>3002</v>
      </c>
    </row>
    <row r="243" spans="1:3" x14ac:dyDescent="0.25">
      <c r="A243" t="s">
        <v>996</v>
      </c>
      <c r="B243" t="s">
        <v>87</v>
      </c>
      <c r="C243" t="s">
        <v>3002</v>
      </c>
    </row>
    <row r="244" spans="1:3" x14ac:dyDescent="0.25">
      <c r="A244" t="s">
        <v>997</v>
      </c>
      <c r="B244" t="s">
        <v>173</v>
      </c>
      <c r="C244" t="s">
        <v>3006</v>
      </c>
    </row>
    <row r="245" spans="1:3" x14ac:dyDescent="0.25">
      <c r="A245" t="s">
        <v>998</v>
      </c>
      <c r="B245" t="s">
        <v>341</v>
      </c>
      <c r="C245" t="s">
        <v>3004</v>
      </c>
    </row>
    <row r="246" spans="1:3" x14ac:dyDescent="0.25">
      <c r="A246" t="s">
        <v>999</v>
      </c>
      <c r="B246" t="s">
        <v>87</v>
      </c>
      <c r="C246" t="s">
        <v>3002</v>
      </c>
    </row>
    <row r="247" spans="1:3" x14ac:dyDescent="0.25">
      <c r="A247" t="s">
        <v>1000</v>
      </c>
      <c r="B247" t="s">
        <v>341</v>
      </c>
      <c r="C247" t="s">
        <v>3004</v>
      </c>
    </row>
    <row r="248" spans="1:3" x14ac:dyDescent="0.25">
      <c r="A248" t="s">
        <v>1001</v>
      </c>
      <c r="B248" t="s">
        <v>16</v>
      </c>
      <c r="C248" t="s">
        <v>3005</v>
      </c>
    </row>
    <row r="249" spans="1:3" x14ac:dyDescent="0.25">
      <c r="A249" t="s">
        <v>1002</v>
      </c>
      <c r="B249" t="s">
        <v>87</v>
      </c>
      <c r="C249" t="s">
        <v>3002</v>
      </c>
    </row>
    <row r="250" spans="1:3" x14ac:dyDescent="0.25">
      <c r="A250" t="s">
        <v>1009</v>
      </c>
      <c r="B250" t="s">
        <v>87</v>
      </c>
      <c r="C250" t="s">
        <v>3002</v>
      </c>
    </row>
    <row r="251" spans="1:3" x14ac:dyDescent="0.25">
      <c r="A251" t="s">
        <v>1013</v>
      </c>
      <c r="C251" t="s">
        <v>3006</v>
      </c>
    </row>
    <row r="252" spans="1:3" x14ac:dyDescent="0.25">
      <c r="A252" t="s">
        <v>1014</v>
      </c>
      <c r="B252" t="s">
        <v>95</v>
      </c>
      <c r="C252" t="s">
        <v>3003</v>
      </c>
    </row>
    <row r="253" spans="1:3" x14ac:dyDescent="0.25">
      <c r="A253" t="s">
        <v>1016</v>
      </c>
      <c r="B253" t="s">
        <v>341</v>
      </c>
      <c r="C253" t="s">
        <v>3004</v>
      </c>
    </row>
    <row r="254" spans="1:3" x14ac:dyDescent="0.25">
      <c r="A254" t="s">
        <v>1020</v>
      </c>
      <c r="B254" t="s">
        <v>173</v>
      </c>
      <c r="C254" t="s">
        <v>3006</v>
      </c>
    </row>
    <row r="255" spans="1:3" x14ac:dyDescent="0.25">
      <c r="A255" t="s">
        <v>631</v>
      </c>
      <c r="B255" t="s">
        <v>341</v>
      </c>
      <c r="C255" t="s">
        <v>3004</v>
      </c>
    </row>
    <row r="256" spans="1:3" x14ac:dyDescent="0.25">
      <c r="A256" t="s">
        <v>1024</v>
      </c>
      <c r="B256" t="s">
        <v>87</v>
      </c>
      <c r="C256" t="s">
        <v>3002</v>
      </c>
    </row>
    <row r="257" spans="1:3" x14ac:dyDescent="0.25">
      <c r="A257" t="s">
        <v>1025</v>
      </c>
      <c r="B257" t="s">
        <v>87</v>
      </c>
      <c r="C257" t="s">
        <v>3002</v>
      </c>
    </row>
    <row r="258" spans="1:3" x14ac:dyDescent="0.25">
      <c r="A258" t="s">
        <v>1026</v>
      </c>
      <c r="B258" t="s">
        <v>341</v>
      </c>
      <c r="C258" t="s">
        <v>3004</v>
      </c>
    </row>
    <row r="259" spans="1:3" x14ac:dyDescent="0.25">
      <c r="A259" t="s">
        <v>1027</v>
      </c>
      <c r="B259" t="s">
        <v>87</v>
      </c>
      <c r="C259" t="s">
        <v>3002</v>
      </c>
    </row>
    <row r="260" spans="1:3" x14ac:dyDescent="0.25">
      <c r="A260" t="s">
        <v>1028</v>
      </c>
      <c r="B260" t="s">
        <v>87</v>
      </c>
      <c r="C260" t="s">
        <v>3002</v>
      </c>
    </row>
    <row r="261" spans="1:3" x14ac:dyDescent="0.25">
      <c r="A261" t="s">
        <v>1032</v>
      </c>
      <c r="B261" t="s">
        <v>95</v>
      </c>
      <c r="C261" t="s">
        <v>3003</v>
      </c>
    </row>
    <row r="262" spans="1:3" x14ac:dyDescent="0.25">
      <c r="A262" t="s">
        <v>943</v>
      </c>
      <c r="B262" t="s">
        <v>48</v>
      </c>
      <c r="C262" t="s">
        <v>3005</v>
      </c>
    </row>
    <row r="263" spans="1:3" x14ac:dyDescent="0.25">
      <c r="A263" t="s">
        <v>1039</v>
      </c>
      <c r="B263" t="s">
        <v>48</v>
      </c>
      <c r="C263" t="s">
        <v>3005</v>
      </c>
    </row>
    <row r="264" spans="1:3" x14ac:dyDescent="0.25">
      <c r="A264" t="s">
        <v>1042</v>
      </c>
      <c r="B264" t="s">
        <v>87</v>
      </c>
      <c r="C264" t="s">
        <v>3002</v>
      </c>
    </row>
    <row r="265" spans="1:3" x14ac:dyDescent="0.25">
      <c r="A265" t="s">
        <v>1043</v>
      </c>
      <c r="B265" t="s">
        <v>87</v>
      </c>
      <c r="C265" t="s">
        <v>3002</v>
      </c>
    </row>
    <row r="266" spans="1:3" x14ac:dyDescent="0.25">
      <c r="A266" t="s">
        <v>1044</v>
      </c>
      <c r="B266" t="s">
        <v>173</v>
      </c>
      <c r="C266" t="s">
        <v>3006</v>
      </c>
    </row>
    <row r="267" spans="1:3" x14ac:dyDescent="0.25">
      <c r="A267" t="s">
        <v>1045</v>
      </c>
      <c r="B267" t="s">
        <v>173</v>
      </c>
      <c r="C267" t="s">
        <v>3006</v>
      </c>
    </row>
    <row r="268" spans="1:3" x14ac:dyDescent="0.25">
      <c r="A268" t="s">
        <v>1046</v>
      </c>
      <c r="B268" t="s">
        <v>173</v>
      </c>
      <c r="C268" t="s">
        <v>3006</v>
      </c>
    </row>
    <row r="269" spans="1:3" x14ac:dyDescent="0.25">
      <c r="A269" t="s">
        <v>993</v>
      </c>
      <c r="B269" t="s">
        <v>87</v>
      </c>
      <c r="C269" t="s">
        <v>3002</v>
      </c>
    </row>
    <row r="270" spans="1:3" x14ac:dyDescent="0.25">
      <c r="A270" t="s">
        <v>1047</v>
      </c>
      <c r="B270" t="s">
        <v>87</v>
      </c>
      <c r="C270" t="s">
        <v>3002</v>
      </c>
    </row>
    <row r="271" spans="1:3" x14ac:dyDescent="0.25">
      <c r="A271" t="s">
        <v>1048</v>
      </c>
      <c r="B271" t="s">
        <v>87</v>
      </c>
      <c r="C271" t="s">
        <v>3002</v>
      </c>
    </row>
    <row r="272" spans="1:3" x14ac:dyDescent="0.25">
      <c r="A272" t="s">
        <v>1050</v>
      </c>
      <c r="B272" t="s">
        <v>16</v>
      </c>
      <c r="C272" t="s">
        <v>3005</v>
      </c>
    </row>
    <row r="273" spans="1:3" x14ac:dyDescent="0.25">
      <c r="A273" t="s">
        <v>1054</v>
      </c>
      <c r="B273" t="s">
        <v>48</v>
      </c>
      <c r="C273" t="s">
        <v>3005</v>
      </c>
    </row>
    <row r="274" spans="1:3" x14ac:dyDescent="0.25">
      <c r="A274" t="s">
        <v>1055</v>
      </c>
      <c r="B274" t="s">
        <v>48</v>
      </c>
      <c r="C274" t="s">
        <v>3005</v>
      </c>
    </row>
    <row r="275" spans="1:3" x14ac:dyDescent="0.25">
      <c r="A275" t="s">
        <v>1056</v>
      </c>
      <c r="B275" t="s">
        <v>341</v>
      </c>
      <c r="C275" t="s">
        <v>3004</v>
      </c>
    </row>
    <row r="276" spans="1:3" x14ac:dyDescent="0.25">
      <c r="A276" t="s">
        <v>1057</v>
      </c>
      <c r="B276" t="s">
        <v>341</v>
      </c>
      <c r="C276" t="s">
        <v>3004</v>
      </c>
    </row>
    <row r="277" spans="1:3" x14ac:dyDescent="0.25">
      <c r="A277" t="s">
        <v>1058</v>
      </c>
      <c r="B277" t="s">
        <v>341</v>
      </c>
      <c r="C277" t="s">
        <v>3004</v>
      </c>
    </row>
    <row r="278" spans="1:3" x14ac:dyDescent="0.25">
      <c r="A278" t="s">
        <v>1059</v>
      </c>
      <c r="B278" t="s">
        <v>87</v>
      </c>
      <c r="C278" t="s">
        <v>3002</v>
      </c>
    </row>
    <row r="279" spans="1:3" x14ac:dyDescent="0.25">
      <c r="A279" t="s">
        <v>1064</v>
      </c>
      <c r="B279" t="s">
        <v>173</v>
      </c>
      <c r="C279" t="s">
        <v>3006</v>
      </c>
    </row>
    <row r="280" spans="1:3" x14ac:dyDescent="0.25">
      <c r="A280" t="s">
        <v>1068</v>
      </c>
      <c r="B280" t="s">
        <v>173</v>
      </c>
      <c r="C280" t="s">
        <v>3006</v>
      </c>
    </row>
    <row r="281" spans="1:3" x14ac:dyDescent="0.25">
      <c r="A281" t="s">
        <v>1093</v>
      </c>
      <c r="C281" t="s">
        <v>3006</v>
      </c>
    </row>
    <row r="282" spans="1:3" x14ac:dyDescent="0.25">
      <c r="A282" t="s">
        <v>1095</v>
      </c>
      <c r="B282" t="s">
        <v>341</v>
      </c>
      <c r="C282" t="s">
        <v>3004</v>
      </c>
    </row>
    <row r="283" spans="1:3" x14ac:dyDescent="0.25">
      <c r="A283" t="s">
        <v>1096</v>
      </c>
      <c r="B283" t="s">
        <v>173</v>
      </c>
      <c r="C283" t="s">
        <v>3006</v>
      </c>
    </row>
    <row r="284" spans="1:3" x14ac:dyDescent="0.25">
      <c r="A284" t="s">
        <v>1097</v>
      </c>
      <c r="B284" t="s">
        <v>87</v>
      </c>
      <c r="C284" t="s">
        <v>3002</v>
      </c>
    </row>
    <row r="285" spans="1:3" x14ac:dyDescent="0.25">
      <c r="A285" t="s">
        <v>1098</v>
      </c>
      <c r="B285" t="s">
        <v>341</v>
      </c>
      <c r="C285" t="s">
        <v>3004</v>
      </c>
    </row>
    <row r="286" spans="1:3" x14ac:dyDescent="0.25">
      <c r="A286" t="s">
        <v>1099</v>
      </c>
      <c r="B286" t="s">
        <v>87</v>
      </c>
      <c r="C286" t="s">
        <v>3002</v>
      </c>
    </row>
    <row r="287" spans="1:3" x14ac:dyDescent="0.25">
      <c r="A287" t="s">
        <v>1103</v>
      </c>
      <c r="B287" t="s">
        <v>173</v>
      </c>
      <c r="C287" t="s">
        <v>3006</v>
      </c>
    </row>
    <row r="288" spans="1:3" x14ac:dyDescent="0.25">
      <c r="A288" t="s">
        <v>1105</v>
      </c>
      <c r="B288" t="s">
        <v>87</v>
      </c>
      <c r="C288" t="s">
        <v>3002</v>
      </c>
    </row>
    <row r="289" spans="1:3" x14ac:dyDescent="0.25">
      <c r="A289" t="s">
        <v>1106</v>
      </c>
      <c r="B289" t="s">
        <v>173</v>
      </c>
      <c r="C289" t="s">
        <v>3006</v>
      </c>
    </row>
    <row r="290" spans="1:3" x14ac:dyDescent="0.25">
      <c r="A290" t="s">
        <v>1107</v>
      </c>
      <c r="B290" t="s">
        <v>341</v>
      </c>
      <c r="C290" t="s">
        <v>3004</v>
      </c>
    </row>
    <row r="291" spans="1:3" x14ac:dyDescent="0.25">
      <c r="A291" t="s">
        <v>1108</v>
      </c>
      <c r="B291" t="s">
        <v>341</v>
      </c>
      <c r="C291" t="s">
        <v>3004</v>
      </c>
    </row>
    <row r="292" spans="1:3" x14ac:dyDescent="0.25">
      <c r="A292" t="s">
        <v>1026</v>
      </c>
      <c r="B292" t="s">
        <v>87</v>
      </c>
      <c r="C292" t="s">
        <v>3002</v>
      </c>
    </row>
    <row r="293" spans="1:3" x14ac:dyDescent="0.25">
      <c r="A293" t="s">
        <v>1109</v>
      </c>
      <c r="B293" t="s">
        <v>173</v>
      </c>
      <c r="C293" t="s">
        <v>3006</v>
      </c>
    </row>
    <row r="294" spans="1:3" x14ac:dyDescent="0.25">
      <c r="A294" t="s">
        <v>1110</v>
      </c>
      <c r="B294" t="s">
        <v>173</v>
      </c>
      <c r="C294" t="s">
        <v>3006</v>
      </c>
    </row>
    <row r="295" spans="1:3" x14ac:dyDescent="0.25">
      <c r="A295" t="s">
        <v>1115</v>
      </c>
      <c r="B295" t="s">
        <v>87</v>
      </c>
      <c r="C295" t="s">
        <v>3002</v>
      </c>
    </row>
    <row r="296" spans="1:3" x14ac:dyDescent="0.25">
      <c r="A296" t="s">
        <v>1116</v>
      </c>
      <c r="B296" t="s">
        <v>87</v>
      </c>
      <c r="C296" t="s">
        <v>3002</v>
      </c>
    </row>
    <row r="297" spans="1:3" x14ac:dyDescent="0.25">
      <c r="A297" t="s">
        <v>1123</v>
      </c>
      <c r="B297" t="s">
        <v>341</v>
      </c>
      <c r="C297" t="s">
        <v>3004</v>
      </c>
    </row>
    <row r="298" spans="1:3" x14ac:dyDescent="0.25">
      <c r="A298" t="s">
        <v>1128</v>
      </c>
      <c r="B298" t="s">
        <v>341</v>
      </c>
      <c r="C298" t="s">
        <v>3004</v>
      </c>
    </row>
    <row r="299" spans="1:3" x14ac:dyDescent="0.25">
      <c r="A299" t="s">
        <v>1129</v>
      </c>
      <c r="B299" t="s">
        <v>341</v>
      </c>
      <c r="C299" t="s">
        <v>3004</v>
      </c>
    </row>
    <row r="300" spans="1:3" x14ac:dyDescent="0.25">
      <c r="A300" t="s">
        <v>1130</v>
      </c>
      <c r="B300" t="s">
        <v>341</v>
      </c>
      <c r="C300" t="s">
        <v>3004</v>
      </c>
    </row>
    <row r="301" spans="1:3" x14ac:dyDescent="0.25">
      <c r="A301" t="s">
        <v>1131</v>
      </c>
      <c r="B301" t="s">
        <v>341</v>
      </c>
      <c r="C301" t="s">
        <v>3004</v>
      </c>
    </row>
    <row r="302" spans="1:3" x14ac:dyDescent="0.25">
      <c r="A302" t="s">
        <v>1132</v>
      </c>
      <c r="B302" t="s">
        <v>341</v>
      </c>
      <c r="C302" t="s">
        <v>3004</v>
      </c>
    </row>
    <row r="303" spans="1:3" x14ac:dyDescent="0.25">
      <c r="A303" t="s">
        <v>1133</v>
      </c>
      <c r="B303" t="s">
        <v>341</v>
      </c>
      <c r="C303" t="s">
        <v>3004</v>
      </c>
    </row>
    <row r="304" spans="1:3" x14ac:dyDescent="0.25">
      <c r="A304" t="s">
        <v>1134</v>
      </c>
      <c r="B304" t="s">
        <v>341</v>
      </c>
      <c r="C304" t="s">
        <v>3004</v>
      </c>
    </row>
    <row r="305" spans="1:3" x14ac:dyDescent="0.25">
      <c r="A305" t="s">
        <v>1137</v>
      </c>
      <c r="B305" t="s">
        <v>87</v>
      </c>
      <c r="C305" t="s">
        <v>3002</v>
      </c>
    </row>
    <row r="306" spans="1:3" x14ac:dyDescent="0.25">
      <c r="A306" t="s">
        <v>1139</v>
      </c>
      <c r="B306" t="s">
        <v>87</v>
      </c>
      <c r="C306" t="s">
        <v>3002</v>
      </c>
    </row>
    <row r="307" spans="1:3" x14ac:dyDescent="0.25">
      <c r="A307" t="s">
        <v>1140</v>
      </c>
      <c r="B307" t="s">
        <v>173</v>
      </c>
      <c r="C307" t="s">
        <v>3006</v>
      </c>
    </row>
    <row r="308" spans="1:3" x14ac:dyDescent="0.25">
      <c r="A308" t="s">
        <v>1141</v>
      </c>
      <c r="B308" t="s">
        <v>87</v>
      </c>
      <c r="C308" t="s">
        <v>3002</v>
      </c>
    </row>
    <row r="309" spans="1:3" x14ac:dyDescent="0.25">
      <c r="A309" t="s">
        <v>1145</v>
      </c>
      <c r="B309" t="s">
        <v>341</v>
      </c>
      <c r="C309" t="s">
        <v>3004</v>
      </c>
    </row>
    <row r="310" spans="1:3" x14ac:dyDescent="0.25">
      <c r="A310" t="s">
        <v>1146</v>
      </c>
      <c r="B310" t="s">
        <v>341</v>
      </c>
      <c r="C310" t="s">
        <v>3004</v>
      </c>
    </row>
    <row r="311" spans="1:3" x14ac:dyDescent="0.25">
      <c r="A311" t="s">
        <v>1147</v>
      </c>
      <c r="B311" t="s">
        <v>341</v>
      </c>
      <c r="C311" t="s">
        <v>3004</v>
      </c>
    </row>
    <row r="312" spans="1:3" x14ac:dyDescent="0.25">
      <c r="A312" t="s">
        <v>1148</v>
      </c>
      <c r="B312" t="s">
        <v>341</v>
      </c>
      <c r="C312" t="s">
        <v>3004</v>
      </c>
    </row>
    <row r="313" spans="1:3" x14ac:dyDescent="0.25">
      <c r="A313" t="s">
        <v>1149</v>
      </c>
      <c r="C313" t="s">
        <v>3006</v>
      </c>
    </row>
    <row r="314" spans="1:3" x14ac:dyDescent="0.25">
      <c r="A314" t="s">
        <v>1099</v>
      </c>
      <c r="B314" t="s">
        <v>341</v>
      </c>
      <c r="C314" t="s">
        <v>3004</v>
      </c>
    </row>
    <row r="315" spans="1:3" x14ac:dyDescent="0.25">
      <c r="A315" t="s">
        <v>1150</v>
      </c>
      <c r="B315" t="s">
        <v>341</v>
      </c>
      <c r="C315" t="s">
        <v>3004</v>
      </c>
    </row>
    <row r="316" spans="1:3" x14ac:dyDescent="0.25">
      <c r="A316" t="s">
        <v>1151</v>
      </c>
      <c r="B316" t="s">
        <v>341</v>
      </c>
      <c r="C316" t="s">
        <v>3004</v>
      </c>
    </row>
    <row r="317" spans="1:3" x14ac:dyDescent="0.25">
      <c r="A317" t="s">
        <v>1153</v>
      </c>
      <c r="B317" t="s">
        <v>87</v>
      </c>
      <c r="C317" t="s">
        <v>3002</v>
      </c>
    </row>
    <row r="318" spans="1:3" x14ac:dyDescent="0.25">
      <c r="A318" t="s">
        <v>1154</v>
      </c>
      <c r="C318" t="s">
        <v>3006</v>
      </c>
    </row>
    <row r="319" spans="1:3" x14ac:dyDescent="0.25">
      <c r="A319" t="s">
        <v>1155</v>
      </c>
      <c r="C319" t="s">
        <v>3006</v>
      </c>
    </row>
    <row r="320" spans="1:3" x14ac:dyDescent="0.25">
      <c r="A320" t="s">
        <v>1165</v>
      </c>
      <c r="C320" t="s">
        <v>3006</v>
      </c>
    </row>
    <row r="321" spans="1:3" x14ac:dyDescent="0.25">
      <c r="A321" t="s">
        <v>1166</v>
      </c>
      <c r="B321" t="s">
        <v>87</v>
      </c>
      <c r="C321" t="s">
        <v>3002</v>
      </c>
    </row>
    <row r="322" spans="1:3" x14ac:dyDescent="0.25">
      <c r="A322" t="s">
        <v>1167</v>
      </c>
      <c r="B322" t="s">
        <v>341</v>
      </c>
      <c r="C322" t="s">
        <v>3004</v>
      </c>
    </row>
    <row r="323" spans="1:3" x14ac:dyDescent="0.25">
      <c r="A323" t="s">
        <v>1168</v>
      </c>
      <c r="B323" t="s">
        <v>87</v>
      </c>
      <c r="C323" t="s">
        <v>3002</v>
      </c>
    </row>
    <row r="324" spans="1:3" x14ac:dyDescent="0.25">
      <c r="A324" t="s">
        <v>1169</v>
      </c>
      <c r="B324" t="s">
        <v>173</v>
      </c>
      <c r="C324" t="s">
        <v>3006</v>
      </c>
    </row>
    <row r="325" spans="1:3" x14ac:dyDescent="0.25">
      <c r="A325" t="s">
        <v>1171</v>
      </c>
      <c r="B325" t="s">
        <v>46</v>
      </c>
      <c r="C325" t="s">
        <v>46</v>
      </c>
    </row>
    <row r="326" spans="1:3" x14ac:dyDescent="0.25">
      <c r="A326" t="s">
        <v>1172</v>
      </c>
      <c r="B326" t="s">
        <v>173</v>
      </c>
      <c r="C326" t="s">
        <v>3006</v>
      </c>
    </row>
    <row r="327" spans="1:3" x14ac:dyDescent="0.25">
      <c r="A327" t="s">
        <v>1173</v>
      </c>
      <c r="B327" t="s">
        <v>173</v>
      </c>
      <c r="C327" t="s">
        <v>3006</v>
      </c>
    </row>
    <row r="328" spans="1:3" x14ac:dyDescent="0.25">
      <c r="A328" t="s">
        <v>1174</v>
      </c>
      <c r="B328" t="s">
        <v>173</v>
      </c>
      <c r="C328" t="s">
        <v>3006</v>
      </c>
    </row>
    <row r="329" spans="1:3" x14ac:dyDescent="0.25">
      <c r="A329" t="s">
        <v>1175</v>
      </c>
      <c r="B329" t="s">
        <v>173</v>
      </c>
      <c r="C329" t="s">
        <v>3006</v>
      </c>
    </row>
    <row r="330" spans="1:3" x14ac:dyDescent="0.25">
      <c r="A330" t="s">
        <v>1176</v>
      </c>
      <c r="B330" t="s">
        <v>173</v>
      </c>
      <c r="C330" t="s">
        <v>3006</v>
      </c>
    </row>
    <row r="331" spans="1:3" x14ac:dyDescent="0.25">
      <c r="A331" t="s">
        <v>855</v>
      </c>
      <c r="B331" t="s">
        <v>87</v>
      </c>
      <c r="C331" t="s">
        <v>3002</v>
      </c>
    </row>
    <row r="332" spans="1:3" x14ac:dyDescent="0.25">
      <c r="A332" t="s">
        <v>1177</v>
      </c>
      <c r="B332" t="s">
        <v>87</v>
      </c>
      <c r="C332" t="s">
        <v>3002</v>
      </c>
    </row>
    <row r="333" spans="1:3" x14ac:dyDescent="0.25">
      <c r="A333" t="s">
        <v>866</v>
      </c>
      <c r="B333" t="s">
        <v>87</v>
      </c>
      <c r="C333" t="s">
        <v>3002</v>
      </c>
    </row>
    <row r="334" spans="1:3" x14ac:dyDescent="0.25">
      <c r="A334" t="s">
        <v>1178</v>
      </c>
      <c r="B334" t="s">
        <v>87</v>
      </c>
      <c r="C334" t="s">
        <v>3002</v>
      </c>
    </row>
    <row r="335" spans="1:3" x14ac:dyDescent="0.25">
      <c r="A335" t="s">
        <v>641</v>
      </c>
      <c r="B335" t="s">
        <v>341</v>
      </c>
      <c r="C335" t="s">
        <v>3004</v>
      </c>
    </row>
    <row r="336" spans="1:3" x14ac:dyDescent="0.25">
      <c r="A336" t="s">
        <v>1050</v>
      </c>
      <c r="B336" t="s">
        <v>173</v>
      </c>
      <c r="C336" t="s">
        <v>3006</v>
      </c>
    </row>
    <row r="337" spans="1:3" x14ac:dyDescent="0.25">
      <c r="A337" t="s">
        <v>708</v>
      </c>
      <c r="B337" t="s">
        <v>87</v>
      </c>
      <c r="C337" t="s">
        <v>3002</v>
      </c>
    </row>
    <row r="338" spans="1:3" x14ac:dyDescent="0.25">
      <c r="A338" t="s">
        <v>1180</v>
      </c>
      <c r="B338" t="s">
        <v>87</v>
      </c>
      <c r="C338" t="s">
        <v>3002</v>
      </c>
    </row>
    <row r="339" spans="1:3" x14ac:dyDescent="0.25">
      <c r="A339" t="s">
        <v>1105</v>
      </c>
      <c r="B339" t="s">
        <v>341</v>
      </c>
      <c r="C339" t="s">
        <v>3004</v>
      </c>
    </row>
    <row r="340" spans="1:3" x14ac:dyDescent="0.25">
      <c r="A340" t="s">
        <v>1184</v>
      </c>
      <c r="B340" t="s">
        <v>46</v>
      </c>
      <c r="C340" t="s">
        <v>46</v>
      </c>
    </row>
    <row r="341" spans="1:3" x14ac:dyDescent="0.25">
      <c r="A341" t="s">
        <v>1186</v>
      </c>
      <c r="B341" t="s">
        <v>46</v>
      </c>
      <c r="C341" t="s">
        <v>46</v>
      </c>
    </row>
    <row r="342" spans="1:3" x14ac:dyDescent="0.25">
      <c r="A342" t="s">
        <v>998</v>
      </c>
      <c r="B342" t="s">
        <v>87</v>
      </c>
      <c r="C342" t="s">
        <v>3002</v>
      </c>
    </row>
    <row r="343" spans="1:3" x14ac:dyDescent="0.25">
      <c r="A343" t="s">
        <v>1187</v>
      </c>
      <c r="B343" t="s">
        <v>87</v>
      </c>
      <c r="C343" t="s">
        <v>3002</v>
      </c>
    </row>
    <row r="344" spans="1:3" x14ac:dyDescent="0.25">
      <c r="A344" t="s">
        <v>1188</v>
      </c>
      <c r="B344" t="s">
        <v>87</v>
      </c>
      <c r="C344" t="s">
        <v>3002</v>
      </c>
    </row>
    <row r="345" spans="1:3" x14ac:dyDescent="0.25">
      <c r="A345" t="s">
        <v>1189</v>
      </c>
      <c r="B345" t="s">
        <v>173</v>
      </c>
      <c r="C345" t="s">
        <v>3006</v>
      </c>
    </row>
    <row r="346" spans="1:3" x14ac:dyDescent="0.25">
      <c r="A346" t="s">
        <v>1190</v>
      </c>
      <c r="B346" t="s">
        <v>173</v>
      </c>
      <c r="C346" t="s">
        <v>3006</v>
      </c>
    </row>
    <row r="347" spans="1:3" x14ac:dyDescent="0.25">
      <c r="A347" t="s">
        <v>1191</v>
      </c>
      <c r="B347" t="s">
        <v>341</v>
      </c>
      <c r="C347" t="s">
        <v>3004</v>
      </c>
    </row>
    <row r="348" spans="1:3" x14ac:dyDescent="0.25">
      <c r="A348" t="s">
        <v>1192</v>
      </c>
      <c r="B348" t="s">
        <v>341</v>
      </c>
      <c r="C348" t="s">
        <v>3004</v>
      </c>
    </row>
    <row r="349" spans="1:3" x14ac:dyDescent="0.25">
      <c r="A349" t="s">
        <v>1193</v>
      </c>
      <c r="B349" t="s">
        <v>87</v>
      </c>
      <c r="C349" t="s">
        <v>3002</v>
      </c>
    </row>
    <row r="350" spans="1:3" x14ac:dyDescent="0.25">
      <c r="A350" t="s">
        <v>1194</v>
      </c>
      <c r="B350" t="s">
        <v>87</v>
      </c>
      <c r="C350" t="s">
        <v>3002</v>
      </c>
    </row>
    <row r="351" spans="1:3" x14ac:dyDescent="0.25">
      <c r="A351" t="s">
        <v>1195</v>
      </c>
      <c r="B351" t="s">
        <v>87</v>
      </c>
      <c r="C351" t="s">
        <v>3002</v>
      </c>
    </row>
    <row r="352" spans="1:3" x14ac:dyDescent="0.25">
      <c r="A352" t="s">
        <v>1203</v>
      </c>
      <c r="B352" t="s">
        <v>341</v>
      </c>
      <c r="C352" t="s">
        <v>3004</v>
      </c>
    </row>
    <row r="353" spans="1:3" x14ac:dyDescent="0.25">
      <c r="A353" t="s">
        <v>1205</v>
      </c>
      <c r="B353" t="s">
        <v>87</v>
      </c>
      <c r="C353" t="s">
        <v>3002</v>
      </c>
    </row>
    <row r="354" spans="1:3" x14ac:dyDescent="0.25">
      <c r="A354" t="s">
        <v>1206</v>
      </c>
      <c r="C354" t="s">
        <v>3006</v>
      </c>
    </row>
    <row r="355" spans="1:3" x14ac:dyDescent="0.25">
      <c r="A355" t="s">
        <v>1214</v>
      </c>
      <c r="B355" t="s">
        <v>16</v>
      </c>
      <c r="C355" t="s">
        <v>3005</v>
      </c>
    </row>
    <row r="356" spans="1:3" x14ac:dyDescent="0.25">
      <c r="A356" t="s">
        <v>1215</v>
      </c>
      <c r="B356" t="s">
        <v>173</v>
      </c>
      <c r="C356" t="s">
        <v>3006</v>
      </c>
    </row>
    <row r="357" spans="1:3" x14ac:dyDescent="0.25">
      <c r="A357" t="s">
        <v>1220</v>
      </c>
      <c r="B357" t="s">
        <v>77</v>
      </c>
      <c r="C357" t="s">
        <v>77</v>
      </c>
    </row>
    <row r="358" spans="1:3" x14ac:dyDescent="0.25">
      <c r="A358" t="s">
        <v>1221</v>
      </c>
      <c r="B358" t="s">
        <v>173</v>
      </c>
      <c r="C358" t="s">
        <v>3006</v>
      </c>
    </row>
    <row r="359" spans="1:3" x14ac:dyDescent="0.25">
      <c r="A359" t="s">
        <v>1222</v>
      </c>
      <c r="B359" t="s">
        <v>341</v>
      </c>
      <c r="C359" t="s">
        <v>3004</v>
      </c>
    </row>
    <row r="360" spans="1:3" x14ac:dyDescent="0.25">
      <c r="A360" t="s">
        <v>1228</v>
      </c>
      <c r="B360" t="s">
        <v>20</v>
      </c>
      <c r="C360" t="s">
        <v>20</v>
      </c>
    </row>
    <row r="361" spans="1:3" x14ac:dyDescent="0.25">
      <c r="A361" t="s">
        <v>1243</v>
      </c>
      <c r="B361" t="s">
        <v>87</v>
      </c>
      <c r="C361" t="s">
        <v>3002</v>
      </c>
    </row>
    <row r="362" spans="1:3" x14ac:dyDescent="0.25">
      <c r="A362" t="s">
        <v>1245</v>
      </c>
      <c r="B362" t="s">
        <v>95</v>
      </c>
      <c r="C362" t="s">
        <v>3003</v>
      </c>
    </row>
    <row r="363" spans="1:3" x14ac:dyDescent="0.25">
      <c r="A363" t="s">
        <v>1248</v>
      </c>
      <c r="B363" t="s">
        <v>173</v>
      </c>
      <c r="C363" t="s">
        <v>3006</v>
      </c>
    </row>
    <row r="364" spans="1:3" x14ac:dyDescent="0.25">
      <c r="A364" t="s">
        <v>1249</v>
      </c>
      <c r="B364" t="s">
        <v>341</v>
      </c>
      <c r="C364" t="s">
        <v>3004</v>
      </c>
    </row>
    <row r="365" spans="1:3" x14ac:dyDescent="0.25">
      <c r="A365" t="s">
        <v>1250</v>
      </c>
      <c r="B365" t="s">
        <v>341</v>
      </c>
      <c r="C365" t="s">
        <v>3004</v>
      </c>
    </row>
    <row r="366" spans="1:3" x14ac:dyDescent="0.25">
      <c r="A366" t="s">
        <v>989</v>
      </c>
      <c r="B366" t="s">
        <v>87</v>
      </c>
      <c r="C366" t="s">
        <v>3002</v>
      </c>
    </row>
    <row r="367" spans="1:3" x14ac:dyDescent="0.25">
      <c r="A367" t="s">
        <v>1251</v>
      </c>
      <c r="B367" t="s">
        <v>95</v>
      </c>
      <c r="C367" t="s">
        <v>3003</v>
      </c>
    </row>
    <row r="368" spans="1:3" x14ac:dyDescent="0.25">
      <c r="A368" t="s">
        <v>1255</v>
      </c>
      <c r="C368" t="s">
        <v>3006</v>
      </c>
    </row>
    <row r="369" spans="1:3" x14ac:dyDescent="0.25">
      <c r="A369" t="s">
        <v>1256</v>
      </c>
      <c r="C369" t="s">
        <v>3006</v>
      </c>
    </row>
    <row r="370" spans="1:3" x14ac:dyDescent="0.25">
      <c r="A370" t="s">
        <v>1259</v>
      </c>
      <c r="B370" t="s">
        <v>87</v>
      </c>
      <c r="C370" t="s">
        <v>3002</v>
      </c>
    </row>
    <row r="371" spans="1:3" x14ac:dyDescent="0.25">
      <c r="A371" t="s">
        <v>1265</v>
      </c>
      <c r="B371" t="s">
        <v>341</v>
      </c>
      <c r="C371" t="s">
        <v>3004</v>
      </c>
    </row>
    <row r="372" spans="1:3" x14ac:dyDescent="0.25">
      <c r="A372" t="s">
        <v>1266</v>
      </c>
      <c r="B372" t="s">
        <v>341</v>
      </c>
      <c r="C372" t="s">
        <v>3004</v>
      </c>
    </row>
    <row r="373" spans="1:3" x14ac:dyDescent="0.25">
      <c r="A373" t="s">
        <v>1279</v>
      </c>
      <c r="B373" t="s">
        <v>173</v>
      </c>
      <c r="C373" t="s">
        <v>3006</v>
      </c>
    </row>
    <row r="374" spans="1:3" x14ac:dyDescent="0.25">
      <c r="A374" t="s">
        <v>1285</v>
      </c>
      <c r="B374" t="s">
        <v>77</v>
      </c>
      <c r="C374" t="s">
        <v>77</v>
      </c>
    </row>
    <row r="375" spans="1:3" x14ac:dyDescent="0.25">
      <c r="A375" t="s">
        <v>1286</v>
      </c>
      <c r="B375" t="s">
        <v>341</v>
      </c>
      <c r="C375" t="s">
        <v>3004</v>
      </c>
    </row>
    <row r="376" spans="1:3" x14ac:dyDescent="0.25">
      <c r="A376" t="s">
        <v>1287</v>
      </c>
      <c r="B376" t="s">
        <v>87</v>
      </c>
      <c r="C376" t="s">
        <v>3002</v>
      </c>
    </row>
    <row r="377" spans="1:3" x14ac:dyDescent="0.25">
      <c r="A377" t="s">
        <v>1288</v>
      </c>
      <c r="B377" t="s">
        <v>87</v>
      </c>
      <c r="C377" t="s">
        <v>3002</v>
      </c>
    </row>
    <row r="378" spans="1:3" x14ac:dyDescent="0.25">
      <c r="A378" t="s">
        <v>1290</v>
      </c>
      <c r="B378" t="s">
        <v>20</v>
      </c>
      <c r="C378" t="s">
        <v>20</v>
      </c>
    </row>
    <row r="379" spans="1:3" x14ac:dyDescent="0.25">
      <c r="A379" t="s">
        <v>1299</v>
      </c>
      <c r="B379" t="s">
        <v>16</v>
      </c>
      <c r="C379" t="s">
        <v>3005</v>
      </c>
    </row>
    <row r="380" spans="1:3" x14ac:dyDescent="0.25">
      <c r="A380" t="s">
        <v>1303</v>
      </c>
      <c r="B380" t="s">
        <v>341</v>
      </c>
      <c r="C380" t="s">
        <v>3004</v>
      </c>
    </row>
    <row r="381" spans="1:3" x14ac:dyDescent="0.25">
      <c r="A381" t="s">
        <v>1312</v>
      </c>
      <c r="B381" t="s">
        <v>77</v>
      </c>
      <c r="C381" t="s">
        <v>77</v>
      </c>
    </row>
    <row r="382" spans="1:3" x14ac:dyDescent="0.25">
      <c r="A382" t="s">
        <v>1191</v>
      </c>
      <c r="B382" t="s">
        <v>87</v>
      </c>
      <c r="C382" t="s">
        <v>3002</v>
      </c>
    </row>
    <row r="383" spans="1:3" x14ac:dyDescent="0.25">
      <c r="A383" t="s">
        <v>1319</v>
      </c>
      <c r="B383" t="s">
        <v>173</v>
      </c>
      <c r="C383" t="s">
        <v>3006</v>
      </c>
    </row>
    <row r="384" spans="1:3" x14ac:dyDescent="0.25">
      <c r="A384" t="s">
        <v>1320</v>
      </c>
      <c r="B384" t="s">
        <v>173</v>
      </c>
      <c r="C384" t="s">
        <v>3006</v>
      </c>
    </row>
    <row r="385" spans="1:3" x14ac:dyDescent="0.25">
      <c r="A385" t="s">
        <v>1321</v>
      </c>
      <c r="B385" t="s">
        <v>87</v>
      </c>
      <c r="C385" t="s">
        <v>3002</v>
      </c>
    </row>
    <row r="386" spans="1:3" x14ac:dyDescent="0.25">
      <c r="A386" t="s">
        <v>1326</v>
      </c>
      <c r="B386" t="s">
        <v>173</v>
      </c>
      <c r="C386" t="s">
        <v>3006</v>
      </c>
    </row>
    <row r="387" spans="1:3" x14ac:dyDescent="0.25">
      <c r="A387" t="s">
        <v>1327</v>
      </c>
      <c r="B387" t="s">
        <v>173</v>
      </c>
      <c r="C387" t="s">
        <v>3006</v>
      </c>
    </row>
    <row r="388" spans="1:3" x14ac:dyDescent="0.25">
      <c r="A388" t="s">
        <v>1328</v>
      </c>
      <c r="B388" t="s">
        <v>46</v>
      </c>
      <c r="C388" t="s">
        <v>46</v>
      </c>
    </row>
    <row r="389" spans="1:3" x14ac:dyDescent="0.25">
      <c r="A389" t="s">
        <v>1329</v>
      </c>
      <c r="B389" t="s">
        <v>173</v>
      </c>
      <c r="C389" t="s">
        <v>3006</v>
      </c>
    </row>
    <row r="390" spans="1:3" x14ac:dyDescent="0.25">
      <c r="A390" t="s">
        <v>1339</v>
      </c>
      <c r="B390" t="s">
        <v>341</v>
      </c>
      <c r="C390" t="s">
        <v>3004</v>
      </c>
    </row>
    <row r="391" spans="1:3" x14ac:dyDescent="0.25">
      <c r="A391" t="s">
        <v>1340</v>
      </c>
      <c r="B391" t="s">
        <v>87</v>
      </c>
      <c r="C391" t="s">
        <v>3002</v>
      </c>
    </row>
    <row r="392" spans="1:3" x14ac:dyDescent="0.25">
      <c r="A392" t="s">
        <v>521</v>
      </c>
      <c r="B392" t="s">
        <v>341</v>
      </c>
      <c r="C392" t="s">
        <v>3004</v>
      </c>
    </row>
    <row r="393" spans="1:3" x14ac:dyDescent="0.25">
      <c r="A393" t="s">
        <v>1342</v>
      </c>
      <c r="B393" t="s">
        <v>341</v>
      </c>
      <c r="C393" t="s">
        <v>3004</v>
      </c>
    </row>
    <row r="394" spans="1:3" x14ac:dyDescent="0.25">
      <c r="A394" t="s">
        <v>1353</v>
      </c>
      <c r="B394" t="s">
        <v>341</v>
      </c>
      <c r="C394" t="s">
        <v>3004</v>
      </c>
    </row>
    <row r="395" spans="1:3" x14ac:dyDescent="0.25">
      <c r="A395" t="s">
        <v>1355</v>
      </c>
      <c r="B395" t="s">
        <v>87</v>
      </c>
      <c r="C395" t="s">
        <v>3002</v>
      </c>
    </row>
    <row r="396" spans="1:3" x14ac:dyDescent="0.25">
      <c r="A396" t="s">
        <v>1356</v>
      </c>
      <c r="B396" t="s">
        <v>87</v>
      </c>
      <c r="C396" t="s">
        <v>3002</v>
      </c>
    </row>
    <row r="397" spans="1:3" x14ac:dyDescent="0.25">
      <c r="A397" t="s">
        <v>1357</v>
      </c>
      <c r="B397" t="s">
        <v>87</v>
      </c>
      <c r="C397" t="s">
        <v>3002</v>
      </c>
    </row>
    <row r="398" spans="1:3" x14ac:dyDescent="0.25">
      <c r="A398" t="s">
        <v>1358</v>
      </c>
      <c r="B398" t="s">
        <v>341</v>
      </c>
      <c r="C398" t="s">
        <v>3004</v>
      </c>
    </row>
    <row r="399" spans="1:3" x14ac:dyDescent="0.25">
      <c r="A399" t="s">
        <v>1359</v>
      </c>
      <c r="B399" t="s">
        <v>341</v>
      </c>
      <c r="C399" t="s">
        <v>3004</v>
      </c>
    </row>
    <row r="400" spans="1:3" x14ac:dyDescent="0.25">
      <c r="A400" t="s">
        <v>1360</v>
      </c>
      <c r="B400" t="s">
        <v>87</v>
      </c>
      <c r="C400" t="s">
        <v>3002</v>
      </c>
    </row>
    <row r="401" spans="1:3" x14ac:dyDescent="0.25">
      <c r="A401" t="s">
        <v>1372</v>
      </c>
      <c r="B401" t="s">
        <v>341</v>
      </c>
      <c r="C401" t="s">
        <v>3004</v>
      </c>
    </row>
    <row r="402" spans="1:3" x14ac:dyDescent="0.25">
      <c r="A402" t="s">
        <v>1374</v>
      </c>
      <c r="B402" t="s">
        <v>87</v>
      </c>
      <c r="C402" t="s">
        <v>3002</v>
      </c>
    </row>
    <row r="403" spans="1:3" x14ac:dyDescent="0.25">
      <c r="A403" t="s">
        <v>1377</v>
      </c>
      <c r="B403" t="s">
        <v>95</v>
      </c>
      <c r="C403" t="s">
        <v>3003</v>
      </c>
    </row>
    <row r="404" spans="1:3" x14ac:dyDescent="0.25">
      <c r="A404" t="s">
        <v>1378</v>
      </c>
      <c r="B404" t="s">
        <v>341</v>
      </c>
      <c r="C404" t="s">
        <v>3004</v>
      </c>
    </row>
    <row r="405" spans="1:3" x14ac:dyDescent="0.25">
      <c r="A405" t="s">
        <v>1384</v>
      </c>
      <c r="B405" t="s">
        <v>341</v>
      </c>
      <c r="C405" t="s">
        <v>3004</v>
      </c>
    </row>
    <row r="406" spans="1:3" x14ac:dyDescent="0.25">
      <c r="A406" t="s">
        <v>1385</v>
      </c>
      <c r="B406" t="s">
        <v>87</v>
      </c>
      <c r="C406" t="s">
        <v>3002</v>
      </c>
    </row>
    <row r="407" spans="1:3" x14ac:dyDescent="0.25">
      <c r="A407" t="s">
        <v>1386</v>
      </c>
      <c r="B407" t="s">
        <v>341</v>
      </c>
      <c r="C407" t="s">
        <v>3004</v>
      </c>
    </row>
    <row r="408" spans="1:3" x14ac:dyDescent="0.25">
      <c r="A408" t="s">
        <v>1387</v>
      </c>
      <c r="B408" t="s">
        <v>173</v>
      </c>
      <c r="C408" t="s">
        <v>3006</v>
      </c>
    </row>
    <row r="409" spans="1:3" x14ac:dyDescent="0.25">
      <c r="A409" t="s">
        <v>1285</v>
      </c>
      <c r="B409" t="s">
        <v>173</v>
      </c>
      <c r="C409" t="s">
        <v>3006</v>
      </c>
    </row>
    <row r="410" spans="1:3" x14ac:dyDescent="0.25">
      <c r="A410" t="s">
        <v>1388</v>
      </c>
      <c r="B410" t="s">
        <v>87</v>
      </c>
      <c r="C410" t="s">
        <v>3002</v>
      </c>
    </row>
    <row r="411" spans="1:3" x14ac:dyDescent="0.25">
      <c r="A411" t="s">
        <v>1400</v>
      </c>
      <c r="B411" t="s">
        <v>173</v>
      </c>
      <c r="C411" t="s">
        <v>3006</v>
      </c>
    </row>
    <row r="412" spans="1:3" x14ac:dyDescent="0.25">
      <c r="A412" t="s">
        <v>1407</v>
      </c>
      <c r="B412" t="s">
        <v>214</v>
      </c>
      <c r="C412" t="s">
        <v>3008</v>
      </c>
    </row>
    <row r="413" spans="1:3" x14ac:dyDescent="0.25">
      <c r="A413" t="s">
        <v>1408</v>
      </c>
      <c r="B413" t="s">
        <v>87</v>
      </c>
      <c r="C413" t="s">
        <v>3002</v>
      </c>
    </row>
    <row r="414" spans="1:3" x14ac:dyDescent="0.25">
      <c r="A414" t="s">
        <v>1409</v>
      </c>
      <c r="B414" t="s">
        <v>87</v>
      </c>
      <c r="C414" t="s">
        <v>3002</v>
      </c>
    </row>
    <row r="415" spans="1:3" x14ac:dyDescent="0.25">
      <c r="A415" t="s">
        <v>1410</v>
      </c>
      <c r="B415" t="s">
        <v>87</v>
      </c>
      <c r="C415" t="s">
        <v>3002</v>
      </c>
    </row>
    <row r="416" spans="1:3" x14ac:dyDescent="0.25">
      <c r="A416" t="s">
        <v>1411</v>
      </c>
      <c r="B416" t="s">
        <v>95</v>
      </c>
      <c r="C416" t="s">
        <v>3003</v>
      </c>
    </row>
    <row r="417" spans="1:3" x14ac:dyDescent="0.25">
      <c r="A417" t="s">
        <v>1412</v>
      </c>
      <c r="B417" t="s">
        <v>87</v>
      </c>
      <c r="C417" t="s">
        <v>3002</v>
      </c>
    </row>
    <row r="418" spans="1:3" x14ac:dyDescent="0.25">
      <c r="A418" t="s">
        <v>1413</v>
      </c>
      <c r="B418" t="s">
        <v>46</v>
      </c>
      <c r="C418" t="s">
        <v>46</v>
      </c>
    </row>
    <row r="419" spans="1:3" x14ac:dyDescent="0.25">
      <c r="A419" t="s">
        <v>943</v>
      </c>
      <c r="B419" t="s">
        <v>20</v>
      </c>
      <c r="C419" t="s">
        <v>20</v>
      </c>
    </row>
    <row r="420" spans="1:3" x14ac:dyDescent="0.25">
      <c r="A420" t="s">
        <v>1414</v>
      </c>
      <c r="B420" t="s">
        <v>87</v>
      </c>
      <c r="C420" t="s">
        <v>3002</v>
      </c>
    </row>
    <row r="421" spans="1:3" x14ac:dyDescent="0.25">
      <c r="A421" t="s">
        <v>1415</v>
      </c>
      <c r="B421" t="s">
        <v>87</v>
      </c>
      <c r="C421" t="s">
        <v>3002</v>
      </c>
    </row>
    <row r="422" spans="1:3" x14ac:dyDescent="0.25">
      <c r="A422" t="s">
        <v>1423</v>
      </c>
      <c r="B422" t="s">
        <v>87</v>
      </c>
      <c r="C422" t="s">
        <v>3002</v>
      </c>
    </row>
    <row r="423" spans="1:3" x14ac:dyDescent="0.25">
      <c r="A423" t="s">
        <v>1431</v>
      </c>
      <c r="B423" t="s">
        <v>173</v>
      </c>
      <c r="C423" t="s">
        <v>3006</v>
      </c>
    </row>
    <row r="424" spans="1:3" x14ac:dyDescent="0.25">
      <c r="A424" t="s">
        <v>1442</v>
      </c>
      <c r="B424" t="s">
        <v>341</v>
      </c>
      <c r="C424" t="s">
        <v>3004</v>
      </c>
    </row>
    <row r="425" spans="1:3" x14ac:dyDescent="0.25">
      <c r="A425" t="s">
        <v>1446</v>
      </c>
      <c r="B425" t="s">
        <v>341</v>
      </c>
      <c r="C425" t="s">
        <v>3004</v>
      </c>
    </row>
    <row r="426" spans="1:3" x14ac:dyDescent="0.25">
      <c r="A426" t="s">
        <v>1452</v>
      </c>
      <c r="B426" t="s">
        <v>87</v>
      </c>
      <c r="C426" t="s">
        <v>3002</v>
      </c>
    </row>
    <row r="427" spans="1:3" x14ac:dyDescent="0.25">
      <c r="A427" t="s">
        <v>1453</v>
      </c>
      <c r="B427" t="s">
        <v>87</v>
      </c>
      <c r="C427" t="s">
        <v>3002</v>
      </c>
    </row>
    <row r="428" spans="1:3" x14ac:dyDescent="0.25">
      <c r="A428" t="s">
        <v>1454</v>
      </c>
      <c r="B428" t="s">
        <v>87</v>
      </c>
      <c r="C428" t="s">
        <v>3002</v>
      </c>
    </row>
    <row r="429" spans="1:3" x14ac:dyDescent="0.25">
      <c r="A429" t="s">
        <v>1455</v>
      </c>
      <c r="B429" t="s">
        <v>341</v>
      </c>
      <c r="C429" t="s">
        <v>3004</v>
      </c>
    </row>
    <row r="430" spans="1:3" x14ac:dyDescent="0.25">
      <c r="A430" t="s">
        <v>1456</v>
      </c>
      <c r="B430" t="s">
        <v>341</v>
      </c>
      <c r="C430" t="s">
        <v>3004</v>
      </c>
    </row>
    <row r="431" spans="1:3" x14ac:dyDescent="0.25">
      <c r="A431" t="s">
        <v>1457</v>
      </c>
      <c r="B431" t="s">
        <v>341</v>
      </c>
      <c r="C431" t="s">
        <v>3004</v>
      </c>
    </row>
    <row r="432" spans="1:3" x14ac:dyDescent="0.25">
      <c r="A432" t="s">
        <v>1458</v>
      </c>
      <c r="B432" t="s">
        <v>87</v>
      </c>
      <c r="C432" t="s">
        <v>3002</v>
      </c>
    </row>
    <row r="433" spans="1:3" x14ac:dyDescent="0.25">
      <c r="A433" t="s">
        <v>1459</v>
      </c>
      <c r="B433" t="s">
        <v>87</v>
      </c>
      <c r="C433" t="s">
        <v>3002</v>
      </c>
    </row>
    <row r="434" spans="1:3" x14ac:dyDescent="0.25">
      <c r="A434" t="s">
        <v>1462</v>
      </c>
      <c r="B434" t="s">
        <v>87</v>
      </c>
      <c r="C434" t="s">
        <v>3002</v>
      </c>
    </row>
    <row r="435" spans="1:3" x14ac:dyDescent="0.25">
      <c r="A435" t="s">
        <v>1463</v>
      </c>
      <c r="B435" t="s">
        <v>467</v>
      </c>
      <c r="C435" t="s">
        <v>3009</v>
      </c>
    </row>
    <row r="436" spans="1:3" x14ac:dyDescent="0.25">
      <c r="A436" t="s">
        <v>1464</v>
      </c>
      <c r="B436" t="s">
        <v>467</v>
      </c>
      <c r="C436" t="s">
        <v>3009</v>
      </c>
    </row>
    <row r="437" spans="1:3" x14ac:dyDescent="0.25">
      <c r="A437" t="s">
        <v>1465</v>
      </c>
      <c r="B437" t="s">
        <v>87</v>
      </c>
      <c r="C437" t="s">
        <v>3002</v>
      </c>
    </row>
    <row r="438" spans="1:3" x14ac:dyDescent="0.25">
      <c r="A438" t="s">
        <v>1466</v>
      </c>
      <c r="B438" t="s">
        <v>87</v>
      </c>
      <c r="C438" t="s">
        <v>3002</v>
      </c>
    </row>
    <row r="439" spans="1:3" x14ac:dyDescent="0.25">
      <c r="A439" t="s">
        <v>1467</v>
      </c>
      <c r="B439" t="s">
        <v>87</v>
      </c>
      <c r="C439" t="s">
        <v>3002</v>
      </c>
    </row>
    <row r="440" spans="1:3" x14ac:dyDescent="0.25">
      <c r="A440" t="s">
        <v>1468</v>
      </c>
      <c r="B440" t="s">
        <v>87</v>
      </c>
      <c r="C440" t="s">
        <v>3002</v>
      </c>
    </row>
    <row r="441" spans="1:3" x14ac:dyDescent="0.25">
      <c r="A441" t="s">
        <v>1469</v>
      </c>
      <c r="B441" t="s">
        <v>341</v>
      </c>
      <c r="C441" t="s">
        <v>3004</v>
      </c>
    </row>
    <row r="442" spans="1:3" x14ac:dyDescent="0.25">
      <c r="A442" t="s">
        <v>1487</v>
      </c>
      <c r="B442" t="s">
        <v>341</v>
      </c>
      <c r="C442" t="s">
        <v>3004</v>
      </c>
    </row>
    <row r="443" spans="1:3" x14ac:dyDescent="0.25">
      <c r="A443" t="s">
        <v>1488</v>
      </c>
      <c r="B443" t="s">
        <v>87</v>
      </c>
      <c r="C443" t="s">
        <v>3002</v>
      </c>
    </row>
    <row r="444" spans="1:3" x14ac:dyDescent="0.25">
      <c r="A444" t="s">
        <v>1489</v>
      </c>
      <c r="B444" t="s">
        <v>341</v>
      </c>
      <c r="C444" t="s">
        <v>3004</v>
      </c>
    </row>
    <row r="445" spans="1:3" x14ac:dyDescent="0.25">
      <c r="A445" t="s">
        <v>1490</v>
      </c>
      <c r="B445" t="s">
        <v>87</v>
      </c>
      <c r="C445" t="s">
        <v>3002</v>
      </c>
    </row>
    <row r="446" spans="1:3" x14ac:dyDescent="0.25">
      <c r="A446" t="s">
        <v>1491</v>
      </c>
      <c r="B446" t="s">
        <v>87</v>
      </c>
      <c r="C446" t="s">
        <v>3002</v>
      </c>
    </row>
    <row r="447" spans="1:3" x14ac:dyDescent="0.25">
      <c r="A447" t="s">
        <v>1492</v>
      </c>
      <c r="B447" t="s">
        <v>341</v>
      </c>
      <c r="C447" t="s">
        <v>3004</v>
      </c>
    </row>
    <row r="448" spans="1:3" x14ac:dyDescent="0.25">
      <c r="A448" t="s">
        <v>1495</v>
      </c>
      <c r="B448" t="s">
        <v>173</v>
      </c>
      <c r="C448" t="s">
        <v>3006</v>
      </c>
    </row>
    <row r="449" spans="1:3" x14ac:dyDescent="0.25">
      <c r="A449" t="s">
        <v>1496</v>
      </c>
      <c r="B449" t="s">
        <v>87</v>
      </c>
      <c r="C449" t="s">
        <v>3002</v>
      </c>
    </row>
    <row r="450" spans="1:3" x14ac:dyDescent="0.25">
      <c r="A450" t="s">
        <v>1497</v>
      </c>
      <c r="B450" t="s">
        <v>87</v>
      </c>
      <c r="C450" t="s">
        <v>3002</v>
      </c>
    </row>
    <row r="451" spans="1:3" x14ac:dyDescent="0.25">
      <c r="A451" t="s">
        <v>1498</v>
      </c>
      <c r="B451" t="s">
        <v>87</v>
      </c>
      <c r="C451" t="s">
        <v>3002</v>
      </c>
    </row>
    <row r="452" spans="1:3" x14ac:dyDescent="0.25">
      <c r="A452" t="s">
        <v>1508</v>
      </c>
      <c r="B452" t="s">
        <v>341</v>
      </c>
      <c r="C452" t="s">
        <v>3004</v>
      </c>
    </row>
    <row r="453" spans="1:3" x14ac:dyDescent="0.25">
      <c r="A453" t="s">
        <v>1509</v>
      </c>
      <c r="B453" t="s">
        <v>87</v>
      </c>
      <c r="C453" t="s">
        <v>3002</v>
      </c>
    </row>
    <row r="454" spans="1:3" x14ac:dyDescent="0.25">
      <c r="A454" t="s">
        <v>1510</v>
      </c>
      <c r="B454" t="s">
        <v>87</v>
      </c>
      <c r="C454" t="s">
        <v>3002</v>
      </c>
    </row>
    <row r="455" spans="1:3" x14ac:dyDescent="0.25">
      <c r="A455" t="s">
        <v>1511</v>
      </c>
      <c r="B455" t="s">
        <v>87</v>
      </c>
      <c r="C455" t="s">
        <v>3002</v>
      </c>
    </row>
    <row r="456" spans="1:3" x14ac:dyDescent="0.25">
      <c r="A456" t="s">
        <v>1512</v>
      </c>
      <c r="B456" t="s">
        <v>87</v>
      </c>
      <c r="C456" t="s">
        <v>3002</v>
      </c>
    </row>
    <row r="457" spans="1:3" x14ac:dyDescent="0.25">
      <c r="A457" t="s">
        <v>1519</v>
      </c>
      <c r="B457" t="s">
        <v>16</v>
      </c>
      <c r="C457" t="s">
        <v>3005</v>
      </c>
    </row>
    <row r="458" spans="1:3" x14ac:dyDescent="0.25">
      <c r="A458" t="s">
        <v>1520</v>
      </c>
      <c r="B458" t="s">
        <v>48</v>
      </c>
      <c r="C458" t="s">
        <v>3005</v>
      </c>
    </row>
    <row r="459" spans="1:3" x14ac:dyDescent="0.25">
      <c r="A459" t="s">
        <v>1520</v>
      </c>
      <c r="B459" t="s">
        <v>173</v>
      </c>
      <c r="C459" t="s">
        <v>3006</v>
      </c>
    </row>
    <row r="460" spans="1:3" x14ac:dyDescent="0.25">
      <c r="A460" t="s">
        <v>1525</v>
      </c>
      <c r="C460" t="s">
        <v>3006</v>
      </c>
    </row>
    <row r="461" spans="1:3" x14ac:dyDescent="0.25">
      <c r="A461" t="s">
        <v>1526</v>
      </c>
      <c r="C461" t="s">
        <v>3006</v>
      </c>
    </row>
    <row r="462" spans="1:3" x14ac:dyDescent="0.25">
      <c r="A462" t="s">
        <v>1528</v>
      </c>
      <c r="C462" t="s">
        <v>3006</v>
      </c>
    </row>
    <row r="463" spans="1:3" x14ac:dyDescent="0.25">
      <c r="A463" t="s">
        <v>1530</v>
      </c>
      <c r="C463" t="s">
        <v>3006</v>
      </c>
    </row>
    <row r="464" spans="1:3" x14ac:dyDescent="0.25">
      <c r="A464" t="s">
        <v>1531</v>
      </c>
      <c r="C464" t="s">
        <v>3006</v>
      </c>
    </row>
    <row r="465" spans="1:3" x14ac:dyDescent="0.25">
      <c r="A465" t="s">
        <v>1532</v>
      </c>
      <c r="B465" t="s">
        <v>87</v>
      </c>
      <c r="C465" t="s">
        <v>3002</v>
      </c>
    </row>
    <row r="466" spans="1:3" x14ac:dyDescent="0.25">
      <c r="A466" t="s">
        <v>1547</v>
      </c>
      <c r="B466" t="s">
        <v>87</v>
      </c>
      <c r="C466" t="s">
        <v>3002</v>
      </c>
    </row>
    <row r="467" spans="1:3" x14ac:dyDescent="0.25">
      <c r="A467" t="s">
        <v>1548</v>
      </c>
      <c r="B467" t="s">
        <v>87</v>
      </c>
      <c r="C467" t="s">
        <v>3002</v>
      </c>
    </row>
    <row r="468" spans="1:3" x14ac:dyDescent="0.25">
      <c r="A468" t="s">
        <v>1549</v>
      </c>
      <c r="B468" t="s">
        <v>87</v>
      </c>
      <c r="C468" t="s">
        <v>3002</v>
      </c>
    </row>
    <row r="469" spans="1:3" x14ac:dyDescent="0.25">
      <c r="A469" t="s">
        <v>1550</v>
      </c>
      <c r="B469" t="s">
        <v>87</v>
      </c>
      <c r="C469" t="s">
        <v>3002</v>
      </c>
    </row>
    <row r="470" spans="1:3" x14ac:dyDescent="0.25">
      <c r="A470" t="s">
        <v>1551</v>
      </c>
      <c r="B470" t="s">
        <v>87</v>
      </c>
      <c r="C470" t="s">
        <v>3002</v>
      </c>
    </row>
    <row r="471" spans="1:3" x14ac:dyDescent="0.25">
      <c r="A471" t="s">
        <v>1552</v>
      </c>
      <c r="B471" t="s">
        <v>87</v>
      </c>
      <c r="C471" t="s">
        <v>3002</v>
      </c>
    </row>
    <row r="472" spans="1:3" x14ac:dyDescent="0.25">
      <c r="A472" t="s">
        <v>1553</v>
      </c>
      <c r="B472" t="s">
        <v>87</v>
      </c>
      <c r="C472" t="s">
        <v>3002</v>
      </c>
    </row>
    <row r="473" spans="1:3" x14ac:dyDescent="0.25">
      <c r="A473" t="s">
        <v>1554</v>
      </c>
      <c r="B473" t="s">
        <v>87</v>
      </c>
      <c r="C473" t="s">
        <v>3002</v>
      </c>
    </row>
    <row r="474" spans="1:3" x14ac:dyDescent="0.25">
      <c r="A474" t="s">
        <v>1556</v>
      </c>
      <c r="B474" t="s">
        <v>87</v>
      </c>
      <c r="C474" t="s">
        <v>3002</v>
      </c>
    </row>
    <row r="475" spans="1:3" x14ac:dyDescent="0.25">
      <c r="A475" t="s">
        <v>1557</v>
      </c>
      <c r="B475" t="s">
        <v>87</v>
      </c>
      <c r="C475" t="s">
        <v>3002</v>
      </c>
    </row>
    <row r="476" spans="1:3" x14ac:dyDescent="0.25">
      <c r="A476" t="s">
        <v>1558</v>
      </c>
      <c r="B476" t="s">
        <v>87</v>
      </c>
      <c r="C476" t="s">
        <v>3002</v>
      </c>
    </row>
    <row r="477" spans="1:3" x14ac:dyDescent="0.25">
      <c r="A477" t="s">
        <v>1564</v>
      </c>
      <c r="B477" t="s">
        <v>341</v>
      </c>
      <c r="C477" t="s">
        <v>3004</v>
      </c>
    </row>
    <row r="478" spans="1:3" x14ac:dyDescent="0.25">
      <c r="A478" t="s">
        <v>1565</v>
      </c>
      <c r="B478" t="s">
        <v>341</v>
      </c>
      <c r="C478" t="s">
        <v>3004</v>
      </c>
    </row>
    <row r="479" spans="1:3" x14ac:dyDescent="0.25">
      <c r="A479" t="s">
        <v>1566</v>
      </c>
      <c r="B479" t="s">
        <v>77</v>
      </c>
      <c r="C479" t="s">
        <v>77</v>
      </c>
    </row>
    <row r="480" spans="1:3" x14ac:dyDescent="0.25">
      <c r="A480" t="s">
        <v>516</v>
      </c>
      <c r="B480" t="s">
        <v>341</v>
      </c>
      <c r="C480" t="s">
        <v>3004</v>
      </c>
    </row>
    <row r="481" spans="1:3" x14ac:dyDescent="0.25">
      <c r="A481" t="s">
        <v>1569</v>
      </c>
      <c r="B481" t="s">
        <v>87</v>
      </c>
      <c r="C481" t="s">
        <v>3002</v>
      </c>
    </row>
    <row r="482" spans="1:3" x14ac:dyDescent="0.25">
      <c r="A482" t="s">
        <v>1570</v>
      </c>
      <c r="B482" t="s">
        <v>87</v>
      </c>
      <c r="C482" t="s">
        <v>3002</v>
      </c>
    </row>
    <row r="483" spans="1:3" x14ac:dyDescent="0.25">
      <c r="A483" t="s">
        <v>1588</v>
      </c>
      <c r="B483" t="s">
        <v>87</v>
      </c>
      <c r="C483" t="s">
        <v>3002</v>
      </c>
    </row>
    <row r="484" spans="1:3" x14ac:dyDescent="0.25">
      <c r="A484" t="s">
        <v>1589</v>
      </c>
      <c r="B484" t="s">
        <v>46</v>
      </c>
      <c r="C484" t="s">
        <v>46</v>
      </c>
    </row>
    <row r="485" spans="1:3" x14ac:dyDescent="0.25">
      <c r="A485" t="s">
        <v>1591</v>
      </c>
      <c r="B485" t="s">
        <v>87</v>
      </c>
      <c r="C485" t="s">
        <v>3002</v>
      </c>
    </row>
    <row r="486" spans="1:3" x14ac:dyDescent="0.25">
      <c r="A486" t="s">
        <v>1303</v>
      </c>
      <c r="B486" t="s">
        <v>87</v>
      </c>
      <c r="C486" t="s">
        <v>3002</v>
      </c>
    </row>
    <row r="487" spans="1:3" x14ac:dyDescent="0.25">
      <c r="A487" t="s">
        <v>1593</v>
      </c>
      <c r="B487" t="s">
        <v>341</v>
      </c>
      <c r="C487" t="s">
        <v>3004</v>
      </c>
    </row>
    <row r="488" spans="1:3" x14ac:dyDescent="0.25">
      <c r="A488" t="s">
        <v>1595</v>
      </c>
      <c r="B488" t="s">
        <v>16</v>
      </c>
      <c r="C488" t="s">
        <v>3005</v>
      </c>
    </row>
    <row r="489" spans="1:3" x14ac:dyDescent="0.25">
      <c r="A489" t="s">
        <v>1598</v>
      </c>
      <c r="B489" t="s">
        <v>341</v>
      </c>
      <c r="C489" t="s">
        <v>3004</v>
      </c>
    </row>
    <row r="490" spans="1:3" x14ac:dyDescent="0.25">
      <c r="A490" t="s">
        <v>1604</v>
      </c>
      <c r="B490" t="s">
        <v>341</v>
      </c>
      <c r="C490" t="s">
        <v>3004</v>
      </c>
    </row>
    <row r="491" spans="1:3" x14ac:dyDescent="0.25">
      <c r="A491" t="s">
        <v>1606</v>
      </c>
      <c r="B491" t="s">
        <v>16</v>
      </c>
      <c r="C491" t="s">
        <v>3005</v>
      </c>
    </row>
    <row r="492" spans="1:3" x14ac:dyDescent="0.25">
      <c r="A492" t="s">
        <v>1607</v>
      </c>
      <c r="B492" t="s">
        <v>87</v>
      </c>
      <c r="C492" t="s">
        <v>3002</v>
      </c>
    </row>
    <row r="493" spans="1:3" x14ac:dyDescent="0.25">
      <c r="A493" t="s">
        <v>1608</v>
      </c>
      <c r="B493" t="s">
        <v>87</v>
      </c>
      <c r="C493" t="s">
        <v>3002</v>
      </c>
    </row>
    <row r="494" spans="1:3" x14ac:dyDescent="0.25">
      <c r="A494" t="s">
        <v>1609</v>
      </c>
      <c r="B494" t="s">
        <v>87</v>
      </c>
      <c r="C494" t="s">
        <v>3002</v>
      </c>
    </row>
    <row r="495" spans="1:3" x14ac:dyDescent="0.25">
      <c r="A495" t="s">
        <v>1610</v>
      </c>
      <c r="B495" t="s">
        <v>87</v>
      </c>
      <c r="C495" t="s">
        <v>3002</v>
      </c>
    </row>
    <row r="496" spans="1:3" x14ac:dyDescent="0.25">
      <c r="A496" t="s">
        <v>1611</v>
      </c>
      <c r="B496" t="s">
        <v>87</v>
      </c>
      <c r="C496" t="s">
        <v>3002</v>
      </c>
    </row>
    <row r="497" spans="1:3" x14ac:dyDescent="0.25">
      <c r="A497" t="s">
        <v>1612</v>
      </c>
      <c r="B497" t="s">
        <v>87</v>
      </c>
      <c r="C497" t="s">
        <v>3002</v>
      </c>
    </row>
    <row r="498" spans="1:3" x14ac:dyDescent="0.25">
      <c r="A498" t="s">
        <v>1613</v>
      </c>
      <c r="B498" t="s">
        <v>87</v>
      </c>
      <c r="C498" t="s">
        <v>3002</v>
      </c>
    </row>
    <row r="499" spans="1:3" x14ac:dyDescent="0.25">
      <c r="A499" t="s">
        <v>1614</v>
      </c>
      <c r="B499" t="s">
        <v>16</v>
      </c>
      <c r="C499" t="s">
        <v>3005</v>
      </c>
    </row>
    <row r="500" spans="1:3" x14ac:dyDescent="0.25">
      <c r="A500" t="s">
        <v>1615</v>
      </c>
      <c r="C500" t="s">
        <v>3006</v>
      </c>
    </row>
    <row r="501" spans="1:3" x14ac:dyDescent="0.25">
      <c r="A501" t="s">
        <v>1618</v>
      </c>
      <c r="B501" t="s">
        <v>87</v>
      </c>
      <c r="C501" t="s">
        <v>3002</v>
      </c>
    </row>
    <row r="502" spans="1:3" x14ac:dyDescent="0.25">
      <c r="A502" t="s">
        <v>1619</v>
      </c>
      <c r="C502" t="s">
        <v>3006</v>
      </c>
    </row>
    <row r="503" spans="1:3" x14ac:dyDescent="0.25">
      <c r="A503" t="s">
        <v>1622</v>
      </c>
      <c r="B503" t="s">
        <v>16</v>
      </c>
      <c r="C503" t="s">
        <v>3005</v>
      </c>
    </row>
    <row r="504" spans="1:3" x14ac:dyDescent="0.25">
      <c r="A504" t="s">
        <v>1623</v>
      </c>
      <c r="B504" t="s">
        <v>87</v>
      </c>
      <c r="C504" t="s">
        <v>3002</v>
      </c>
    </row>
    <row r="505" spans="1:3" x14ac:dyDescent="0.25">
      <c r="A505" t="s">
        <v>1624</v>
      </c>
      <c r="B505" t="s">
        <v>87</v>
      </c>
      <c r="C505" t="s">
        <v>3002</v>
      </c>
    </row>
    <row r="506" spans="1:3" x14ac:dyDescent="0.25">
      <c r="A506" t="s">
        <v>1633</v>
      </c>
      <c r="B506" t="s">
        <v>173</v>
      </c>
      <c r="C506" t="s">
        <v>3006</v>
      </c>
    </row>
    <row r="507" spans="1:3" x14ac:dyDescent="0.25">
      <c r="A507" t="s">
        <v>1634</v>
      </c>
      <c r="B507" t="s">
        <v>173</v>
      </c>
      <c r="C507" t="s">
        <v>3006</v>
      </c>
    </row>
    <row r="508" spans="1:3" x14ac:dyDescent="0.25">
      <c r="A508" t="s">
        <v>1644</v>
      </c>
      <c r="B508" t="s">
        <v>467</v>
      </c>
      <c r="C508" t="s">
        <v>3009</v>
      </c>
    </row>
    <row r="509" spans="1:3" x14ac:dyDescent="0.25">
      <c r="A509" t="s">
        <v>1645</v>
      </c>
      <c r="B509" t="s">
        <v>467</v>
      </c>
      <c r="C509" t="s">
        <v>3009</v>
      </c>
    </row>
    <row r="510" spans="1:3" x14ac:dyDescent="0.25">
      <c r="A510" t="s">
        <v>1646</v>
      </c>
      <c r="B510" t="s">
        <v>173</v>
      </c>
      <c r="C510" t="s">
        <v>3006</v>
      </c>
    </row>
    <row r="511" spans="1:3" x14ac:dyDescent="0.25">
      <c r="A511" t="s">
        <v>1649</v>
      </c>
      <c r="B511" t="s">
        <v>16</v>
      </c>
      <c r="C511" t="s">
        <v>3005</v>
      </c>
    </row>
    <row r="512" spans="1:3" x14ac:dyDescent="0.25">
      <c r="A512" t="s">
        <v>1651</v>
      </c>
      <c r="B512" t="s">
        <v>87</v>
      </c>
      <c r="C512" t="s">
        <v>3002</v>
      </c>
    </row>
    <row r="513" spans="1:3" x14ac:dyDescent="0.25">
      <c r="A513" t="s">
        <v>1652</v>
      </c>
      <c r="B513" t="s">
        <v>214</v>
      </c>
      <c r="C513" t="s">
        <v>3008</v>
      </c>
    </row>
    <row r="514" spans="1:3" x14ac:dyDescent="0.25">
      <c r="A514" t="s">
        <v>1653</v>
      </c>
      <c r="B514" t="s">
        <v>341</v>
      </c>
      <c r="C514" t="s">
        <v>3004</v>
      </c>
    </row>
    <row r="515" spans="1:3" x14ac:dyDescent="0.25">
      <c r="A515" t="s">
        <v>1654</v>
      </c>
      <c r="B515" t="s">
        <v>341</v>
      </c>
      <c r="C515" t="s">
        <v>3004</v>
      </c>
    </row>
    <row r="516" spans="1:3" x14ac:dyDescent="0.25">
      <c r="A516" t="s">
        <v>1655</v>
      </c>
      <c r="B516" t="s">
        <v>341</v>
      </c>
      <c r="C516" t="s">
        <v>3004</v>
      </c>
    </row>
    <row r="517" spans="1:3" x14ac:dyDescent="0.25">
      <c r="A517" t="s">
        <v>1659</v>
      </c>
      <c r="B517" t="s">
        <v>87</v>
      </c>
      <c r="C517" t="s">
        <v>3002</v>
      </c>
    </row>
    <row r="518" spans="1:3" x14ac:dyDescent="0.25">
      <c r="A518" t="s">
        <v>1660</v>
      </c>
      <c r="B518" t="s">
        <v>87</v>
      </c>
      <c r="C518" t="s">
        <v>3002</v>
      </c>
    </row>
    <row r="519" spans="1:3" x14ac:dyDescent="0.25">
      <c r="A519" t="s">
        <v>1661</v>
      </c>
      <c r="B519" t="s">
        <v>87</v>
      </c>
      <c r="C519" t="s">
        <v>3002</v>
      </c>
    </row>
    <row r="520" spans="1:3" x14ac:dyDescent="0.25">
      <c r="A520" t="s">
        <v>1662</v>
      </c>
      <c r="B520" t="s">
        <v>46</v>
      </c>
      <c r="C520" t="s">
        <v>46</v>
      </c>
    </row>
    <row r="521" spans="1:3" x14ac:dyDescent="0.25">
      <c r="A521" t="s">
        <v>1663</v>
      </c>
      <c r="B521" t="s">
        <v>173</v>
      </c>
      <c r="C521" t="s">
        <v>3006</v>
      </c>
    </row>
    <row r="522" spans="1:3" x14ac:dyDescent="0.25">
      <c r="A522" t="s">
        <v>1664</v>
      </c>
      <c r="B522" t="s">
        <v>173</v>
      </c>
      <c r="C522" t="s">
        <v>3006</v>
      </c>
    </row>
    <row r="523" spans="1:3" x14ac:dyDescent="0.25">
      <c r="A523" t="s">
        <v>1665</v>
      </c>
      <c r="B523" t="s">
        <v>341</v>
      </c>
      <c r="C523" t="s">
        <v>3004</v>
      </c>
    </row>
    <row r="524" spans="1:3" x14ac:dyDescent="0.25">
      <c r="A524" t="s">
        <v>1666</v>
      </c>
      <c r="B524" t="s">
        <v>87</v>
      </c>
      <c r="C524" t="s">
        <v>3002</v>
      </c>
    </row>
    <row r="525" spans="1:3" x14ac:dyDescent="0.25">
      <c r="A525" t="s">
        <v>1671</v>
      </c>
      <c r="B525" t="s">
        <v>16</v>
      </c>
      <c r="C525" t="s">
        <v>3005</v>
      </c>
    </row>
    <row r="526" spans="1:3" x14ac:dyDescent="0.25">
      <c r="A526" t="s">
        <v>1672</v>
      </c>
      <c r="B526" t="s">
        <v>16</v>
      </c>
      <c r="C526" t="s">
        <v>3005</v>
      </c>
    </row>
    <row r="527" spans="1:3" x14ac:dyDescent="0.25">
      <c r="A527" t="s">
        <v>1687</v>
      </c>
      <c r="B527" t="s">
        <v>87</v>
      </c>
      <c r="C527" t="s">
        <v>3002</v>
      </c>
    </row>
    <row r="528" spans="1:3" x14ac:dyDescent="0.25">
      <c r="A528" t="s">
        <v>1688</v>
      </c>
      <c r="B528" t="s">
        <v>87</v>
      </c>
      <c r="C528" t="s">
        <v>3002</v>
      </c>
    </row>
    <row r="529" spans="1:3" x14ac:dyDescent="0.25">
      <c r="A529" t="s">
        <v>1692</v>
      </c>
      <c r="B529" t="s">
        <v>87</v>
      </c>
      <c r="C529" t="s">
        <v>3002</v>
      </c>
    </row>
    <row r="530" spans="1:3" x14ac:dyDescent="0.25">
      <c r="A530" t="s">
        <v>1695</v>
      </c>
      <c r="B530" t="s">
        <v>77</v>
      </c>
      <c r="C530" t="s">
        <v>77</v>
      </c>
    </row>
    <row r="531" spans="1:3" x14ac:dyDescent="0.25">
      <c r="A531" t="s">
        <v>1696</v>
      </c>
      <c r="B531" t="s">
        <v>77</v>
      </c>
      <c r="C531" t="s">
        <v>77</v>
      </c>
    </row>
    <row r="532" spans="1:3" x14ac:dyDescent="0.25">
      <c r="A532" t="s">
        <v>1697</v>
      </c>
      <c r="B532" t="s">
        <v>173</v>
      </c>
      <c r="C532" t="s">
        <v>3006</v>
      </c>
    </row>
    <row r="533" spans="1:3" x14ac:dyDescent="0.25">
      <c r="A533" t="s">
        <v>1698</v>
      </c>
      <c r="B533" t="s">
        <v>341</v>
      </c>
      <c r="C533" t="s">
        <v>3004</v>
      </c>
    </row>
    <row r="534" spans="1:3" x14ac:dyDescent="0.25">
      <c r="A534" t="s">
        <v>1699</v>
      </c>
      <c r="B534" t="s">
        <v>341</v>
      </c>
      <c r="C534" t="s">
        <v>3004</v>
      </c>
    </row>
    <row r="535" spans="1:3" x14ac:dyDescent="0.25">
      <c r="A535" t="s">
        <v>1700</v>
      </c>
      <c r="B535" t="s">
        <v>87</v>
      </c>
      <c r="C535" t="s">
        <v>3002</v>
      </c>
    </row>
    <row r="536" spans="1:3" x14ac:dyDescent="0.25">
      <c r="A536" t="s">
        <v>1701</v>
      </c>
      <c r="B536" t="s">
        <v>87</v>
      </c>
      <c r="C536" t="s">
        <v>3002</v>
      </c>
    </row>
    <row r="537" spans="1:3" x14ac:dyDescent="0.25">
      <c r="A537" t="s">
        <v>1702</v>
      </c>
      <c r="B537" t="s">
        <v>87</v>
      </c>
      <c r="C537" t="s">
        <v>3002</v>
      </c>
    </row>
    <row r="538" spans="1:3" x14ac:dyDescent="0.25">
      <c r="A538" t="s">
        <v>1703</v>
      </c>
      <c r="B538" t="s">
        <v>87</v>
      </c>
      <c r="C538" t="s">
        <v>3002</v>
      </c>
    </row>
    <row r="539" spans="1:3" x14ac:dyDescent="0.25">
      <c r="A539" t="s">
        <v>1704</v>
      </c>
      <c r="B539" t="s">
        <v>87</v>
      </c>
      <c r="C539" t="s">
        <v>3002</v>
      </c>
    </row>
    <row r="540" spans="1:3" x14ac:dyDescent="0.25">
      <c r="A540" t="s">
        <v>1705</v>
      </c>
      <c r="B540" t="s">
        <v>87</v>
      </c>
      <c r="C540" t="s">
        <v>3002</v>
      </c>
    </row>
    <row r="541" spans="1:3" x14ac:dyDescent="0.25">
      <c r="A541" t="s">
        <v>1719</v>
      </c>
      <c r="B541" t="s">
        <v>95</v>
      </c>
      <c r="C541" t="s">
        <v>3003</v>
      </c>
    </row>
    <row r="542" spans="1:3" x14ac:dyDescent="0.25">
      <c r="A542" t="s">
        <v>1720</v>
      </c>
      <c r="B542" t="s">
        <v>95</v>
      </c>
      <c r="C542" t="s">
        <v>3003</v>
      </c>
    </row>
    <row r="543" spans="1:3" x14ac:dyDescent="0.25">
      <c r="A543" t="s">
        <v>1725</v>
      </c>
      <c r="B543" t="s">
        <v>87</v>
      </c>
      <c r="C543" t="s">
        <v>3002</v>
      </c>
    </row>
    <row r="544" spans="1:3" x14ac:dyDescent="0.25">
      <c r="A544" t="s">
        <v>1747</v>
      </c>
      <c r="C544" t="s">
        <v>3006</v>
      </c>
    </row>
    <row r="545" spans="1:3" x14ac:dyDescent="0.25">
      <c r="A545" t="s">
        <v>1748</v>
      </c>
      <c r="C545" t="s">
        <v>3006</v>
      </c>
    </row>
    <row r="546" spans="1:3" x14ac:dyDescent="0.25">
      <c r="A546" t="s">
        <v>660</v>
      </c>
      <c r="B546" t="s">
        <v>16</v>
      </c>
      <c r="C546" t="s">
        <v>3005</v>
      </c>
    </row>
    <row r="547" spans="1:3" x14ac:dyDescent="0.25">
      <c r="A547" t="s">
        <v>1751</v>
      </c>
      <c r="B547" t="s">
        <v>46</v>
      </c>
      <c r="C547" t="s">
        <v>46</v>
      </c>
    </row>
    <row r="548" spans="1:3" x14ac:dyDescent="0.25">
      <c r="A548" t="s">
        <v>1148</v>
      </c>
      <c r="B548" t="s">
        <v>87</v>
      </c>
      <c r="C548" t="s">
        <v>3002</v>
      </c>
    </row>
    <row r="549" spans="1:3" x14ac:dyDescent="0.25">
      <c r="A549" t="s">
        <v>1756</v>
      </c>
      <c r="B549" t="s">
        <v>341</v>
      </c>
      <c r="C549" t="s">
        <v>3004</v>
      </c>
    </row>
    <row r="550" spans="1:3" x14ac:dyDescent="0.25">
      <c r="A550" t="s">
        <v>915</v>
      </c>
      <c r="B550" t="s">
        <v>87</v>
      </c>
      <c r="C550" t="s">
        <v>3002</v>
      </c>
    </row>
    <row r="551" spans="1:3" x14ac:dyDescent="0.25">
      <c r="A551" t="s">
        <v>1757</v>
      </c>
      <c r="B551" t="s">
        <v>95</v>
      </c>
      <c r="C551" t="s">
        <v>3003</v>
      </c>
    </row>
    <row r="552" spans="1:3" x14ac:dyDescent="0.25">
      <c r="A552" t="s">
        <v>1758</v>
      </c>
      <c r="B552" t="s">
        <v>87</v>
      </c>
      <c r="C552" t="s">
        <v>3002</v>
      </c>
    </row>
    <row r="553" spans="1:3" x14ac:dyDescent="0.25">
      <c r="A553" t="s">
        <v>1759</v>
      </c>
      <c r="B553" t="s">
        <v>173</v>
      </c>
      <c r="C553" t="s">
        <v>3006</v>
      </c>
    </row>
    <row r="554" spans="1:3" x14ac:dyDescent="0.25">
      <c r="A554" t="s">
        <v>1760</v>
      </c>
      <c r="B554" t="s">
        <v>173</v>
      </c>
      <c r="C554" t="s">
        <v>3006</v>
      </c>
    </row>
    <row r="555" spans="1:3" x14ac:dyDescent="0.25">
      <c r="A555" t="s">
        <v>1761</v>
      </c>
      <c r="B555" t="s">
        <v>341</v>
      </c>
      <c r="C555" t="s">
        <v>3004</v>
      </c>
    </row>
    <row r="556" spans="1:3" x14ac:dyDescent="0.25">
      <c r="A556" t="s">
        <v>1762</v>
      </c>
      <c r="B556" t="s">
        <v>341</v>
      </c>
      <c r="C556" t="s">
        <v>3004</v>
      </c>
    </row>
    <row r="557" spans="1:3" x14ac:dyDescent="0.25">
      <c r="A557" t="s">
        <v>1763</v>
      </c>
      <c r="B557" t="s">
        <v>87</v>
      </c>
      <c r="C557" t="s">
        <v>3002</v>
      </c>
    </row>
    <row r="558" spans="1:3" x14ac:dyDescent="0.25">
      <c r="A558" t="s">
        <v>1766</v>
      </c>
      <c r="B558" t="s">
        <v>341</v>
      </c>
      <c r="C558" t="s">
        <v>3004</v>
      </c>
    </row>
    <row r="559" spans="1:3" x14ac:dyDescent="0.25">
      <c r="A559" t="s">
        <v>1767</v>
      </c>
      <c r="B559" t="s">
        <v>341</v>
      </c>
      <c r="C559" t="s">
        <v>3004</v>
      </c>
    </row>
    <row r="560" spans="1:3" x14ac:dyDescent="0.25">
      <c r="A560" t="s">
        <v>1768</v>
      </c>
      <c r="B560" t="s">
        <v>87</v>
      </c>
      <c r="C560" t="s">
        <v>3002</v>
      </c>
    </row>
    <row r="561" spans="1:3" x14ac:dyDescent="0.25">
      <c r="A561" t="s">
        <v>1770</v>
      </c>
      <c r="B561" t="s">
        <v>341</v>
      </c>
      <c r="C561" t="s">
        <v>3004</v>
      </c>
    </row>
    <row r="562" spans="1:3" x14ac:dyDescent="0.25">
      <c r="A562" t="s">
        <v>1773</v>
      </c>
      <c r="B562" t="s">
        <v>48</v>
      </c>
      <c r="C562" t="s">
        <v>3005</v>
      </c>
    </row>
    <row r="563" spans="1:3" x14ac:dyDescent="0.25">
      <c r="A563" t="s">
        <v>1774</v>
      </c>
      <c r="B563" t="s">
        <v>48</v>
      </c>
      <c r="C563" t="s">
        <v>3005</v>
      </c>
    </row>
    <row r="564" spans="1:3" x14ac:dyDescent="0.25">
      <c r="A564" t="s">
        <v>1777</v>
      </c>
      <c r="B564" t="s">
        <v>341</v>
      </c>
      <c r="C564" t="s">
        <v>3004</v>
      </c>
    </row>
    <row r="565" spans="1:3" x14ac:dyDescent="0.25">
      <c r="A565" t="s">
        <v>1778</v>
      </c>
      <c r="B565" t="s">
        <v>173</v>
      </c>
      <c r="C565" t="s">
        <v>3006</v>
      </c>
    </row>
    <row r="566" spans="1:3" x14ac:dyDescent="0.25">
      <c r="A566" t="s">
        <v>1779</v>
      </c>
      <c r="B566" t="s">
        <v>173</v>
      </c>
      <c r="C566" t="s">
        <v>3006</v>
      </c>
    </row>
    <row r="567" spans="1:3" x14ac:dyDescent="0.25">
      <c r="A567" t="s">
        <v>1780</v>
      </c>
      <c r="B567" t="s">
        <v>173</v>
      </c>
      <c r="C567" t="s">
        <v>3006</v>
      </c>
    </row>
    <row r="568" spans="1:3" x14ac:dyDescent="0.25">
      <c r="A568" t="s">
        <v>1782</v>
      </c>
      <c r="B568" t="s">
        <v>16</v>
      </c>
      <c r="C568" t="s">
        <v>3005</v>
      </c>
    </row>
    <row r="569" spans="1:3" x14ac:dyDescent="0.25">
      <c r="A569" t="s">
        <v>1783</v>
      </c>
      <c r="B569" t="s">
        <v>173</v>
      </c>
      <c r="C569" t="s">
        <v>3006</v>
      </c>
    </row>
    <row r="570" spans="1:3" x14ac:dyDescent="0.25">
      <c r="A570" t="s">
        <v>807</v>
      </c>
      <c r="B570" t="s">
        <v>341</v>
      </c>
      <c r="C570" t="s">
        <v>3004</v>
      </c>
    </row>
    <row r="571" spans="1:3" x14ac:dyDescent="0.25">
      <c r="A571" t="s">
        <v>1786</v>
      </c>
      <c r="B571" t="s">
        <v>341</v>
      </c>
      <c r="C571" t="s">
        <v>3004</v>
      </c>
    </row>
    <row r="572" spans="1:3" x14ac:dyDescent="0.25">
      <c r="A572" t="s">
        <v>1788</v>
      </c>
      <c r="B572" t="s">
        <v>16</v>
      </c>
      <c r="C572" t="s">
        <v>3005</v>
      </c>
    </row>
    <row r="573" spans="1:3" x14ac:dyDescent="0.25">
      <c r="A573" t="s">
        <v>1789</v>
      </c>
      <c r="B573" t="s">
        <v>173</v>
      </c>
      <c r="C573" t="s">
        <v>3006</v>
      </c>
    </row>
    <row r="574" spans="1:3" x14ac:dyDescent="0.25">
      <c r="A574" t="s">
        <v>1790</v>
      </c>
      <c r="B574" t="s">
        <v>173</v>
      </c>
      <c r="C574" t="s">
        <v>3006</v>
      </c>
    </row>
    <row r="575" spans="1:3" x14ac:dyDescent="0.25">
      <c r="A575" t="s">
        <v>1791</v>
      </c>
      <c r="B575" t="s">
        <v>173</v>
      </c>
      <c r="C575" t="s">
        <v>3006</v>
      </c>
    </row>
    <row r="576" spans="1:3" x14ac:dyDescent="0.25">
      <c r="A576" t="s">
        <v>1792</v>
      </c>
      <c r="B576" t="s">
        <v>173</v>
      </c>
      <c r="C576" t="s">
        <v>3006</v>
      </c>
    </row>
    <row r="577" spans="1:3" x14ac:dyDescent="0.25">
      <c r="A577" t="s">
        <v>1798</v>
      </c>
      <c r="B577" t="s">
        <v>16</v>
      </c>
      <c r="C577" t="s">
        <v>3005</v>
      </c>
    </row>
    <row r="578" spans="1:3" x14ac:dyDescent="0.25">
      <c r="A578" t="s">
        <v>1800</v>
      </c>
      <c r="B578" t="s">
        <v>173</v>
      </c>
      <c r="C578" t="s">
        <v>3006</v>
      </c>
    </row>
    <row r="579" spans="1:3" x14ac:dyDescent="0.25">
      <c r="A579" t="s">
        <v>1801</v>
      </c>
      <c r="B579" t="s">
        <v>87</v>
      </c>
      <c r="C579" t="s">
        <v>3002</v>
      </c>
    </row>
    <row r="580" spans="1:3" x14ac:dyDescent="0.25">
      <c r="A580" t="s">
        <v>1805</v>
      </c>
      <c r="B580" t="s">
        <v>341</v>
      </c>
      <c r="C580" t="s">
        <v>3004</v>
      </c>
    </row>
    <row r="581" spans="1:3" x14ac:dyDescent="0.25">
      <c r="A581" t="s">
        <v>1806</v>
      </c>
      <c r="B581" t="s">
        <v>341</v>
      </c>
      <c r="C581" t="s">
        <v>3004</v>
      </c>
    </row>
    <row r="582" spans="1:3" x14ac:dyDescent="0.25">
      <c r="A582" t="s">
        <v>1808</v>
      </c>
      <c r="B582" t="s">
        <v>173</v>
      </c>
      <c r="C582" t="s">
        <v>3006</v>
      </c>
    </row>
    <row r="583" spans="1:3" x14ac:dyDescent="0.25">
      <c r="A583" t="s">
        <v>1819</v>
      </c>
      <c r="B583" t="s">
        <v>87</v>
      </c>
      <c r="C583" t="s">
        <v>3002</v>
      </c>
    </row>
    <row r="584" spans="1:3" x14ac:dyDescent="0.25">
      <c r="A584" t="s">
        <v>595</v>
      </c>
      <c r="B584" t="s">
        <v>87</v>
      </c>
      <c r="C584" t="s">
        <v>3002</v>
      </c>
    </row>
    <row r="585" spans="1:3" x14ac:dyDescent="0.25">
      <c r="A585" t="s">
        <v>1820</v>
      </c>
      <c r="B585" t="s">
        <v>87</v>
      </c>
      <c r="C585" t="s">
        <v>3002</v>
      </c>
    </row>
    <row r="586" spans="1:3" x14ac:dyDescent="0.25">
      <c r="A586" t="s">
        <v>1821</v>
      </c>
      <c r="B586" t="s">
        <v>173</v>
      </c>
      <c r="C586" t="s">
        <v>3006</v>
      </c>
    </row>
    <row r="587" spans="1:3" x14ac:dyDescent="0.25">
      <c r="A587" t="s">
        <v>1826</v>
      </c>
      <c r="B587" t="s">
        <v>87</v>
      </c>
      <c r="C587" t="s">
        <v>3002</v>
      </c>
    </row>
    <row r="588" spans="1:3" x14ac:dyDescent="0.25">
      <c r="A588" t="s">
        <v>1107</v>
      </c>
      <c r="B588" t="s">
        <v>87</v>
      </c>
      <c r="C588" t="s">
        <v>3002</v>
      </c>
    </row>
    <row r="589" spans="1:3" x14ac:dyDescent="0.25">
      <c r="A589" t="s">
        <v>1827</v>
      </c>
      <c r="B589" t="s">
        <v>87</v>
      </c>
      <c r="C589" t="s">
        <v>3002</v>
      </c>
    </row>
    <row r="590" spans="1:3" x14ac:dyDescent="0.25">
      <c r="A590" t="s">
        <v>1828</v>
      </c>
      <c r="B590" t="s">
        <v>87</v>
      </c>
      <c r="C590" t="s">
        <v>3002</v>
      </c>
    </row>
    <row r="591" spans="1:3" x14ac:dyDescent="0.25">
      <c r="A591" t="s">
        <v>1829</v>
      </c>
      <c r="B591" t="s">
        <v>87</v>
      </c>
      <c r="C591" t="s">
        <v>3002</v>
      </c>
    </row>
    <row r="592" spans="1:3" x14ac:dyDescent="0.25">
      <c r="A592" t="s">
        <v>1830</v>
      </c>
      <c r="B592" t="s">
        <v>87</v>
      </c>
      <c r="C592" t="s">
        <v>3002</v>
      </c>
    </row>
    <row r="593" spans="1:3" x14ac:dyDescent="0.25">
      <c r="A593" t="s">
        <v>1831</v>
      </c>
      <c r="B593" t="s">
        <v>87</v>
      </c>
      <c r="C593" t="s">
        <v>3002</v>
      </c>
    </row>
    <row r="594" spans="1:3" x14ac:dyDescent="0.25">
      <c r="A594" t="s">
        <v>1832</v>
      </c>
      <c r="B594" t="s">
        <v>341</v>
      </c>
      <c r="C594" t="s">
        <v>3004</v>
      </c>
    </row>
    <row r="595" spans="1:3" x14ac:dyDescent="0.25">
      <c r="A595" t="s">
        <v>1833</v>
      </c>
      <c r="B595" t="s">
        <v>173</v>
      </c>
      <c r="C595" t="s">
        <v>3006</v>
      </c>
    </row>
    <row r="596" spans="1:3" x14ac:dyDescent="0.25">
      <c r="A596" t="s">
        <v>1834</v>
      </c>
      <c r="B596" t="s">
        <v>173</v>
      </c>
      <c r="C596" t="s">
        <v>3006</v>
      </c>
    </row>
    <row r="597" spans="1:3" x14ac:dyDescent="0.25">
      <c r="A597" t="s">
        <v>1835</v>
      </c>
      <c r="B597" t="s">
        <v>87</v>
      </c>
      <c r="C597" t="s">
        <v>3002</v>
      </c>
    </row>
    <row r="598" spans="1:3" x14ac:dyDescent="0.25">
      <c r="A598" t="s">
        <v>1836</v>
      </c>
      <c r="B598" t="s">
        <v>87</v>
      </c>
      <c r="C598" t="s">
        <v>3002</v>
      </c>
    </row>
    <row r="599" spans="1:3" x14ac:dyDescent="0.25">
      <c r="A599" t="s">
        <v>1837</v>
      </c>
      <c r="B599" t="s">
        <v>87</v>
      </c>
      <c r="C599" t="s">
        <v>3002</v>
      </c>
    </row>
    <row r="600" spans="1:3" x14ac:dyDescent="0.25">
      <c r="A600" t="s">
        <v>1846</v>
      </c>
      <c r="B600" t="s">
        <v>341</v>
      </c>
      <c r="C600" t="s">
        <v>3004</v>
      </c>
    </row>
    <row r="601" spans="1:3" x14ac:dyDescent="0.25">
      <c r="A601" t="s">
        <v>1847</v>
      </c>
      <c r="B601" t="s">
        <v>95</v>
      </c>
      <c r="C601" t="s">
        <v>3003</v>
      </c>
    </row>
    <row r="602" spans="1:3" x14ac:dyDescent="0.25">
      <c r="A602" t="s">
        <v>1849</v>
      </c>
      <c r="B602" t="s">
        <v>341</v>
      </c>
      <c r="C602" t="s">
        <v>3004</v>
      </c>
    </row>
    <row r="603" spans="1:3" x14ac:dyDescent="0.25">
      <c r="A603" t="s">
        <v>1850</v>
      </c>
      <c r="B603" t="s">
        <v>341</v>
      </c>
      <c r="C603" t="s">
        <v>3004</v>
      </c>
    </row>
    <row r="604" spans="1:3" x14ac:dyDescent="0.25">
      <c r="A604" t="s">
        <v>1852</v>
      </c>
      <c r="C604" t="s">
        <v>3006</v>
      </c>
    </row>
    <row r="605" spans="1:3" x14ac:dyDescent="0.25">
      <c r="A605" t="s">
        <v>1853</v>
      </c>
      <c r="B605" t="s">
        <v>87</v>
      </c>
      <c r="C605" t="s">
        <v>3002</v>
      </c>
    </row>
    <row r="606" spans="1:3" x14ac:dyDescent="0.25">
      <c r="A606" t="s">
        <v>1854</v>
      </c>
      <c r="B606" t="s">
        <v>173</v>
      </c>
      <c r="C606" t="s">
        <v>3006</v>
      </c>
    </row>
    <row r="607" spans="1:3" x14ac:dyDescent="0.25">
      <c r="A607" t="s">
        <v>1855</v>
      </c>
      <c r="B607" t="s">
        <v>173</v>
      </c>
      <c r="C607" t="s">
        <v>3006</v>
      </c>
    </row>
    <row r="608" spans="1:3" x14ac:dyDescent="0.25">
      <c r="A608" t="s">
        <v>1865</v>
      </c>
      <c r="B608" t="s">
        <v>341</v>
      </c>
      <c r="C608" t="s">
        <v>3004</v>
      </c>
    </row>
    <row r="609" spans="1:3" x14ac:dyDescent="0.25">
      <c r="A609" t="s">
        <v>1057</v>
      </c>
      <c r="B609" t="s">
        <v>87</v>
      </c>
      <c r="C609" t="s">
        <v>3002</v>
      </c>
    </row>
    <row r="610" spans="1:3" x14ac:dyDescent="0.25">
      <c r="A610" t="s">
        <v>1867</v>
      </c>
      <c r="B610" t="s">
        <v>341</v>
      </c>
      <c r="C610" t="s">
        <v>3004</v>
      </c>
    </row>
    <row r="611" spans="1:3" x14ac:dyDescent="0.25">
      <c r="A611" t="s">
        <v>1868</v>
      </c>
      <c r="B611" t="s">
        <v>87</v>
      </c>
      <c r="C611" t="s">
        <v>3002</v>
      </c>
    </row>
    <row r="612" spans="1:3" x14ac:dyDescent="0.25">
      <c r="A612" t="s">
        <v>1869</v>
      </c>
      <c r="B612" t="s">
        <v>87</v>
      </c>
      <c r="C612" t="s">
        <v>3002</v>
      </c>
    </row>
    <row r="613" spans="1:3" x14ac:dyDescent="0.25">
      <c r="A613" t="s">
        <v>1870</v>
      </c>
      <c r="B613" t="s">
        <v>87</v>
      </c>
      <c r="C613" t="s">
        <v>3002</v>
      </c>
    </row>
    <row r="614" spans="1:3" x14ac:dyDescent="0.25">
      <c r="A614" t="s">
        <v>1871</v>
      </c>
      <c r="B614" t="s">
        <v>341</v>
      </c>
      <c r="C614" t="s">
        <v>3004</v>
      </c>
    </row>
    <row r="615" spans="1:3" x14ac:dyDescent="0.25">
      <c r="A615" t="s">
        <v>1872</v>
      </c>
      <c r="B615" t="s">
        <v>341</v>
      </c>
      <c r="C615" t="s">
        <v>3004</v>
      </c>
    </row>
    <row r="616" spans="1:3" x14ac:dyDescent="0.25">
      <c r="A616" t="s">
        <v>1873</v>
      </c>
      <c r="B616" t="s">
        <v>341</v>
      </c>
      <c r="C616" t="s">
        <v>3004</v>
      </c>
    </row>
    <row r="617" spans="1:3" x14ac:dyDescent="0.25">
      <c r="A617" t="s">
        <v>1874</v>
      </c>
      <c r="B617" t="s">
        <v>341</v>
      </c>
      <c r="C617" t="s">
        <v>3004</v>
      </c>
    </row>
    <row r="618" spans="1:3" x14ac:dyDescent="0.25">
      <c r="A618" t="s">
        <v>1875</v>
      </c>
      <c r="B618" t="s">
        <v>341</v>
      </c>
      <c r="C618" t="s">
        <v>3004</v>
      </c>
    </row>
    <row r="619" spans="1:3" x14ac:dyDescent="0.25">
      <c r="A619" t="s">
        <v>1876</v>
      </c>
      <c r="B619" t="s">
        <v>341</v>
      </c>
      <c r="C619" t="s">
        <v>3004</v>
      </c>
    </row>
    <row r="620" spans="1:3" x14ac:dyDescent="0.25">
      <c r="A620" t="s">
        <v>1893</v>
      </c>
      <c r="B620" t="s">
        <v>87</v>
      </c>
      <c r="C620" t="s">
        <v>3002</v>
      </c>
    </row>
    <row r="621" spans="1:3" x14ac:dyDescent="0.25">
      <c r="A621" t="s">
        <v>1894</v>
      </c>
      <c r="B621" t="s">
        <v>87</v>
      </c>
      <c r="C621" t="s">
        <v>3002</v>
      </c>
    </row>
    <row r="622" spans="1:3" x14ac:dyDescent="0.25">
      <c r="A622" t="s">
        <v>1895</v>
      </c>
      <c r="B622" t="s">
        <v>87</v>
      </c>
      <c r="C622" t="s">
        <v>3002</v>
      </c>
    </row>
    <row r="623" spans="1:3" x14ac:dyDescent="0.25">
      <c r="A623" t="s">
        <v>1896</v>
      </c>
      <c r="B623" t="s">
        <v>173</v>
      </c>
      <c r="C623" t="s">
        <v>3006</v>
      </c>
    </row>
    <row r="624" spans="1:3" x14ac:dyDescent="0.25">
      <c r="A624" t="s">
        <v>1898</v>
      </c>
      <c r="B624" t="s">
        <v>87</v>
      </c>
      <c r="C624" t="s">
        <v>3002</v>
      </c>
    </row>
    <row r="625" spans="1:3" x14ac:dyDescent="0.25">
      <c r="A625" t="s">
        <v>1899</v>
      </c>
      <c r="B625" t="s">
        <v>87</v>
      </c>
      <c r="C625" t="s">
        <v>3002</v>
      </c>
    </row>
    <row r="626" spans="1:3" x14ac:dyDescent="0.25">
      <c r="A626" t="s">
        <v>1904</v>
      </c>
      <c r="B626" t="s">
        <v>173</v>
      </c>
      <c r="C626" t="s">
        <v>3006</v>
      </c>
    </row>
    <row r="627" spans="1:3" x14ac:dyDescent="0.25">
      <c r="A627" t="s">
        <v>1905</v>
      </c>
      <c r="C627" t="s">
        <v>3006</v>
      </c>
    </row>
    <row r="628" spans="1:3" x14ac:dyDescent="0.25">
      <c r="A628" t="s">
        <v>1906</v>
      </c>
      <c r="B628" t="s">
        <v>341</v>
      </c>
      <c r="C628" t="s">
        <v>3004</v>
      </c>
    </row>
    <row r="629" spans="1:3" x14ac:dyDescent="0.25">
      <c r="A629" t="s">
        <v>1826</v>
      </c>
      <c r="B629" t="s">
        <v>173</v>
      </c>
      <c r="C629" t="s">
        <v>3006</v>
      </c>
    </row>
    <row r="630" spans="1:3" x14ac:dyDescent="0.25">
      <c r="A630" t="s">
        <v>1908</v>
      </c>
      <c r="B630" t="s">
        <v>173</v>
      </c>
      <c r="C630" t="s">
        <v>3006</v>
      </c>
    </row>
    <row r="631" spans="1:3" x14ac:dyDescent="0.25">
      <c r="A631" t="s">
        <v>1911</v>
      </c>
      <c r="B631" t="s">
        <v>173</v>
      </c>
      <c r="C631" t="s">
        <v>3006</v>
      </c>
    </row>
    <row r="632" spans="1:3" x14ac:dyDescent="0.25">
      <c r="A632" t="s">
        <v>1915</v>
      </c>
      <c r="B632" t="s">
        <v>173</v>
      </c>
      <c r="C632" t="s">
        <v>3006</v>
      </c>
    </row>
    <row r="633" spans="1:3" x14ac:dyDescent="0.25">
      <c r="A633" t="s">
        <v>1916</v>
      </c>
      <c r="C633" t="s">
        <v>3006</v>
      </c>
    </row>
    <row r="634" spans="1:3" x14ac:dyDescent="0.25">
      <c r="A634" t="s">
        <v>1917</v>
      </c>
      <c r="C634" t="s">
        <v>3006</v>
      </c>
    </row>
    <row r="635" spans="1:3" x14ac:dyDescent="0.25">
      <c r="A635" t="s">
        <v>1918</v>
      </c>
      <c r="B635" t="s">
        <v>173</v>
      </c>
      <c r="C635" t="s">
        <v>3006</v>
      </c>
    </row>
    <row r="636" spans="1:3" x14ac:dyDescent="0.25">
      <c r="A636" t="s">
        <v>1920</v>
      </c>
      <c r="B636" t="s">
        <v>16</v>
      </c>
      <c r="C636" t="s">
        <v>3005</v>
      </c>
    </row>
    <row r="637" spans="1:3" x14ac:dyDescent="0.25">
      <c r="A637" t="s">
        <v>1921</v>
      </c>
      <c r="B637" t="s">
        <v>87</v>
      </c>
      <c r="C637" t="s">
        <v>3002</v>
      </c>
    </row>
    <row r="638" spans="1:3" x14ac:dyDescent="0.25">
      <c r="A638" t="s">
        <v>1922</v>
      </c>
      <c r="B638" t="s">
        <v>87</v>
      </c>
      <c r="C638" t="s">
        <v>3002</v>
      </c>
    </row>
    <row r="639" spans="1:3" x14ac:dyDescent="0.25">
      <c r="A639" t="s">
        <v>1923</v>
      </c>
      <c r="B639" t="s">
        <v>87</v>
      </c>
      <c r="C639" t="s">
        <v>3002</v>
      </c>
    </row>
    <row r="640" spans="1:3" x14ac:dyDescent="0.25">
      <c r="A640" t="s">
        <v>1924</v>
      </c>
      <c r="B640" t="s">
        <v>173</v>
      </c>
      <c r="C640" t="s">
        <v>3006</v>
      </c>
    </row>
    <row r="641" spans="1:3" x14ac:dyDescent="0.25">
      <c r="A641" t="s">
        <v>1925</v>
      </c>
      <c r="B641" t="s">
        <v>173</v>
      </c>
      <c r="C641" t="s">
        <v>3006</v>
      </c>
    </row>
    <row r="642" spans="1:3" x14ac:dyDescent="0.25">
      <c r="A642" t="s">
        <v>1939</v>
      </c>
      <c r="B642" t="s">
        <v>341</v>
      </c>
      <c r="C642" t="s">
        <v>3004</v>
      </c>
    </row>
    <row r="643" spans="1:3" x14ac:dyDescent="0.25">
      <c r="A643" t="s">
        <v>1940</v>
      </c>
      <c r="B643" t="s">
        <v>87</v>
      </c>
      <c r="C643" t="s">
        <v>3002</v>
      </c>
    </row>
    <row r="644" spans="1:3" x14ac:dyDescent="0.25">
      <c r="A644" t="s">
        <v>1941</v>
      </c>
      <c r="B644" t="s">
        <v>467</v>
      </c>
      <c r="C644" t="s">
        <v>3009</v>
      </c>
    </row>
    <row r="645" spans="1:3" x14ac:dyDescent="0.25">
      <c r="A645" t="s">
        <v>1942</v>
      </c>
      <c r="B645" t="s">
        <v>467</v>
      </c>
      <c r="C645" t="s">
        <v>3009</v>
      </c>
    </row>
    <row r="646" spans="1:3" x14ac:dyDescent="0.25">
      <c r="A646" t="s">
        <v>1943</v>
      </c>
      <c r="B646" t="s">
        <v>87</v>
      </c>
      <c r="C646" t="s">
        <v>3002</v>
      </c>
    </row>
    <row r="647" spans="1:3" x14ac:dyDescent="0.25">
      <c r="A647" t="s">
        <v>1947</v>
      </c>
      <c r="B647" t="s">
        <v>95</v>
      </c>
      <c r="C647" t="s">
        <v>3003</v>
      </c>
    </row>
    <row r="648" spans="1:3" x14ac:dyDescent="0.25">
      <c r="A648" t="s">
        <v>1955</v>
      </c>
      <c r="B648" t="s">
        <v>173</v>
      </c>
      <c r="C648" t="s">
        <v>3006</v>
      </c>
    </row>
    <row r="649" spans="1:3" x14ac:dyDescent="0.25">
      <c r="A649" t="s">
        <v>1956</v>
      </c>
      <c r="C649" t="s">
        <v>3006</v>
      </c>
    </row>
    <row r="650" spans="1:3" x14ac:dyDescent="0.25">
      <c r="A650" t="s">
        <v>1957</v>
      </c>
      <c r="C650" t="s">
        <v>3006</v>
      </c>
    </row>
    <row r="651" spans="1:3" x14ac:dyDescent="0.25">
      <c r="A651" t="s">
        <v>1958</v>
      </c>
      <c r="C651" t="s">
        <v>3006</v>
      </c>
    </row>
    <row r="652" spans="1:3" x14ac:dyDescent="0.25">
      <c r="A652" t="s">
        <v>1959</v>
      </c>
      <c r="C652" t="s">
        <v>3006</v>
      </c>
    </row>
    <row r="653" spans="1:3" x14ac:dyDescent="0.25">
      <c r="A653" t="s">
        <v>1960</v>
      </c>
      <c r="B653" t="s">
        <v>87</v>
      </c>
      <c r="C653" t="s">
        <v>3002</v>
      </c>
    </row>
    <row r="654" spans="1:3" x14ac:dyDescent="0.25">
      <c r="A654" t="s">
        <v>1965</v>
      </c>
      <c r="B654" t="s">
        <v>341</v>
      </c>
      <c r="C654" t="s">
        <v>3004</v>
      </c>
    </row>
    <row r="655" spans="1:3" x14ac:dyDescent="0.25">
      <c r="A655" t="s">
        <v>1966</v>
      </c>
      <c r="B655" t="s">
        <v>341</v>
      </c>
      <c r="C655" t="s">
        <v>3004</v>
      </c>
    </row>
    <row r="656" spans="1:3" x14ac:dyDescent="0.25">
      <c r="A656" t="s">
        <v>1969</v>
      </c>
      <c r="B656" t="s">
        <v>341</v>
      </c>
      <c r="C656" t="s">
        <v>3004</v>
      </c>
    </row>
    <row r="657" spans="1:3" x14ac:dyDescent="0.25">
      <c r="A657" t="s">
        <v>1205</v>
      </c>
      <c r="B657" t="s">
        <v>341</v>
      </c>
      <c r="C657" t="s">
        <v>3004</v>
      </c>
    </row>
    <row r="658" spans="1:3" x14ac:dyDescent="0.25">
      <c r="A658" t="s">
        <v>1970</v>
      </c>
      <c r="B658" t="s">
        <v>87</v>
      </c>
      <c r="C658" t="s">
        <v>3002</v>
      </c>
    </row>
    <row r="659" spans="1:3" x14ac:dyDescent="0.25">
      <c r="A659" t="s">
        <v>1977</v>
      </c>
      <c r="B659" t="s">
        <v>87</v>
      </c>
      <c r="C659" t="s">
        <v>3002</v>
      </c>
    </row>
    <row r="660" spans="1:3" x14ac:dyDescent="0.25">
      <c r="A660" t="s">
        <v>1978</v>
      </c>
      <c r="B660" t="s">
        <v>87</v>
      </c>
      <c r="C660" t="s">
        <v>3002</v>
      </c>
    </row>
    <row r="661" spans="1:3" x14ac:dyDescent="0.25">
      <c r="A661" t="s">
        <v>882</v>
      </c>
      <c r="B661" t="s">
        <v>341</v>
      </c>
      <c r="C661" t="s">
        <v>3004</v>
      </c>
    </row>
    <row r="662" spans="1:3" x14ac:dyDescent="0.25">
      <c r="A662" t="s">
        <v>1986</v>
      </c>
      <c r="B662" t="s">
        <v>173</v>
      </c>
      <c r="C662" t="s">
        <v>3006</v>
      </c>
    </row>
    <row r="663" spans="1:3" x14ac:dyDescent="0.25">
      <c r="A663" t="s">
        <v>1987</v>
      </c>
      <c r="C663" t="s">
        <v>3006</v>
      </c>
    </row>
    <row r="664" spans="1:3" x14ac:dyDescent="0.25">
      <c r="A664" t="s">
        <v>1988</v>
      </c>
      <c r="B664" t="s">
        <v>341</v>
      </c>
      <c r="C664" t="s">
        <v>3004</v>
      </c>
    </row>
    <row r="665" spans="1:3" x14ac:dyDescent="0.25">
      <c r="A665" t="s">
        <v>1989</v>
      </c>
      <c r="B665" t="s">
        <v>341</v>
      </c>
      <c r="C665" t="s">
        <v>3004</v>
      </c>
    </row>
    <row r="666" spans="1:3" x14ac:dyDescent="0.25">
      <c r="A666" t="s">
        <v>1990</v>
      </c>
      <c r="B666" t="s">
        <v>341</v>
      </c>
      <c r="C666" t="s">
        <v>3004</v>
      </c>
    </row>
    <row r="667" spans="1:3" x14ac:dyDescent="0.25">
      <c r="A667" t="s">
        <v>1139</v>
      </c>
      <c r="B667" t="s">
        <v>173</v>
      </c>
      <c r="C667" t="s">
        <v>3006</v>
      </c>
    </row>
    <row r="668" spans="1:3" x14ac:dyDescent="0.25">
      <c r="A668" t="s">
        <v>1497</v>
      </c>
      <c r="B668" t="s">
        <v>173</v>
      </c>
      <c r="C668" t="s">
        <v>3006</v>
      </c>
    </row>
    <row r="669" spans="1:3" x14ac:dyDescent="0.25">
      <c r="A669" t="s">
        <v>2008</v>
      </c>
      <c r="C669" t="s">
        <v>3006</v>
      </c>
    </row>
    <row r="670" spans="1:3" x14ac:dyDescent="0.25">
      <c r="A670" t="s">
        <v>2009</v>
      </c>
      <c r="C670" t="s">
        <v>3006</v>
      </c>
    </row>
    <row r="671" spans="1:3" x14ac:dyDescent="0.25">
      <c r="A671" t="s">
        <v>2010</v>
      </c>
      <c r="B671" t="s">
        <v>341</v>
      </c>
      <c r="C671" t="s">
        <v>3004</v>
      </c>
    </row>
    <row r="672" spans="1:3" x14ac:dyDescent="0.25">
      <c r="A672" t="s">
        <v>2011</v>
      </c>
      <c r="B672" t="s">
        <v>87</v>
      </c>
      <c r="C672" t="s">
        <v>3002</v>
      </c>
    </row>
    <row r="673" spans="1:3" x14ac:dyDescent="0.25">
      <c r="A673" t="s">
        <v>2012</v>
      </c>
      <c r="B673" t="s">
        <v>173</v>
      </c>
      <c r="C673" t="s">
        <v>3006</v>
      </c>
    </row>
    <row r="674" spans="1:3" x14ac:dyDescent="0.25">
      <c r="A674" t="s">
        <v>2021</v>
      </c>
      <c r="B674" t="s">
        <v>173</v>
      </c>
      <c r="C674" t="s">
        <v>3006</v>
      </c>
    </row>
    <row r="675" spans="1:3" x14ac:dyDescent="0.25">
      <c r="A675" t="s">
        <v>2028</v>
      </c>
      <c r="B675" t="s">
        <v>341</v>
      </c>
      <c r="C675" t="s">
        <v>3004</v>
      </c>
    </row>
    <row r="676" spans="1:3" x14ac:dyDescent="0.25">
      <c r="A676" t="s">
        <v>1054</v>
      </c>
      <c r="B676" t="s">
        <v>46</v>
      </c>
      <c r="C676" t="s">
        <v>46</v>
      </c>
    </row>
    <row r="677" spans="1:3" x14ac:dyDescent="0.25">
      <c r="A677" t="s">
        <v>1055</v>
      </c>
      <c r="B677" t="s">
        <v>46</v>
      </c>
      <c r="C677" t="s">
        <v>46</v>
      </c>
    </row>
    <row r="678" spans="1:3" x14ac:dyDescent="0.25">
      <c r="A678" t="s">
        <v>2030</v>
      </c>
      <c r="B678" t="s">
        <v>16</v>
      </c>
      <c r="C678" t="s">
        <v>3005</v>
      </c>
    </row>
    <row r="679" spans="1:3" x14ac:dyDescent="0.25">
      <c r="A679" t="s">
        <v>2032</v>
      </c>
      <c r="B679" t="s">
        <v>87</v>
      </c>
      <c r="C679" t="s">
        <v>3002</v>
      </c>
    </row>
    <row r="680" spans="1:3" x14ac:dyDescent="0.25">
      <c r="A680" t="s">
        <v>2033</v>
      </c>
      <c r="B680" t="s">
        <v>173</v>
      </c>
      <c r="C680" t="s">
        <v>3006</v>
      </c>
    </row>
    <row r="681" spans="1:3" x14ac:dyDescent="0.25">
      <c r="A681" t="s">
        <v>2037</v>
      </c>
      <c r="B681" t="s">
        <v>341</v>
      </c>
      <c r="C681" t="s">
        <v>3004</v>
      </c>
    </row>
    <row r="682" spans="1:3" x14ac:dyDescent="0.25">
      <c r="A682" t="s">
        <v>2039</v>
      </c>
      <c r="B682" t="s">
        <v>173</v>
      </c>
      <c r="C682" t="s">
        <v>3006</v>
      </c>
    </row>
    <row r="683" spans="1:3" x14ac:dyDescent="0.25">
      <c r="A683" t="s">
        <v>1412</v>
      </c>
      <c r="B683" t="s">
        <v>341</v>
      </c>
      <c r="C683" t="s">
        <v>3004</v>
      </c>
    </row>
    <row r="684" spans="1:3" x14ac:dyDescent="0.25">
      <c r="A684" t="s">
        <v>2044</v>
      </c>
      <c r="B684" t="s">
        <v>87</v>
      </c>
      <c r="C684" t="s">
        <v>3002</v>
      </c>
    </row>
    <row r="685" spans="1:3" x14ac:dyDescent="0.25">
      <c r="A685" t="s">
        <v>2045</v>
      </c>
      <c r="B685" t="s">
        <v>87</v>
      </c>
      <c r="C685" t="s">
        <v>3002</v>
      </c>
    </row>
    <row r="686" spans="1:3" x14ac:dyDescent="0.25">
      <c r="A686" t="s">
        <v>2046</v>
      </c>
      <c r="B686" t="s">
        <v>87</v>
      </c>
      <c r="C686" t="s">
        <v>3002</v>
      </c>
    </row>
    <row r="687" spans="1:3" x14ac:dyDescent="0.25">
      <c r="A687" t="s">
        <v>2047</v>
      </c>
      <c r="B687" t="s">
        <v>173</v>
      </c>
      <c r="C687" t="s">
        <v>3006</v>
      </c>
    </row>
    <row r="688" spans="1:3" x14ac:dyDescent="0.25">
      <c r="A688" t="s">
        <v>2048</v>
      </c>
      <c r="B688" t="s">
        <v>173</v>
      </c>
      <c r="C688" t="s">
        <v>3006</v>
      </c>
    </row>
    <row r="689" spans="1:3" x14ac:dyDescent="0.25">
      <c r="A689" t="s">
        <v>2049</v>
      </c>
      <c r="C689" t="s">
        <v>3006</v>
      </c>
    </row>
    <row r="690" spans="1:3" x14ac:dyDescent="0.25">
      <c r="A690" t="s">
        <v>2065</v>
      </c>
      <c r="B690" t="s">
        <v>341</v>
      </c>
      <c r="C690" t="s">
        <v>3004</v>
      </c>
    </row>
    <row r="691" spans="1:3" x14ac:dyDescent="0.25">
      <c r="A691" t="s">
        <v>2066</v>
      </c>
      <c r="B691" t="s">
        <v>341</v>
      </c>
      <c r="C691" t="s">
        <v>3004</v>
      </c>
    </row>
    <row r="692" spans="1:3" x14ac:dyDescent="0.25">
      <c r="A692" t="s">
        <v>2067</v>
      </c>
      <c r="B692" t="s">
        <v>87</v>
      </c>
      <c r="C692" t="s">
        <v>3002</v>
      </c>
    </row>
    <row r="693" spans="1:3" x14ac:dyDescent="0.25">
      <c r="A693" t="s">
        <v>2074</v>
      </c>
      <c r="B693" t="s">
        <v>77</v>
      </c>
      <c r="C693" t="s">
        <v>77</v>
      </c>
    </row>
    <row r="694" spans="1:3" x14ac:dyDescent="0.25">
      <c r="A694" t="s">
        <v>2075</v>
      </c>
      <c r="B694" t="s">
        <v>77</v>
      </c>
      <c r="C694" t="s">
        <v>77</v>
      </c>
    </row>
    <row r="695" spans="1:3" x14ac:dyDescent="0.25">
      <c r="A695" t="s">
        <v>2077</v>
      </c>
      <c r="B695" t="s">
        <v>87</v>
      </c>
      <c r="C695" t="s">
        <v>3002</v>
      </c>
    </row>
    <row r="696" spans="1:3" x14ac:dyDescent="0.25">
      <c r="A696" t="s">
        <v>2078</v>
      </c>
      <c r="B696" t="s">
        <v>87</v>
      </c>
      <c r="C696" t="s">
        <v>3002</v>
      </c>
    </row>
    <row r="697" spans="1:3" x14ac:dyDescent="0.25">
      <c r="A697" t="s">
        <v>2079</v>
      </c>
      <c r="B697" t="s">
        <v>173</v>
      </c>
      <c r="C697" t="s">
        <v>3006</v>
      </c>
    </row>
    <row r="698" spans="1:3" x14ac:dyDescent="0.25">
      <c r="A698" t="s">
        <v>2083</v>
      </c>
      <c r="B698" t="s">
        <v>16</v>
      </c>
      <c r="C698" t="s">
        <v>3005</v>
      </c>
    </row>
    <row r="699" spans="1:3" x14ac:dyDescent="0.25">
      <c r="A699" t="s">
        <v>2084</v>
      </c>
      <c r="B699" t="s">
        <v>16</v>
      </c>
      <c r="C699" t="s">
        <v>3005</v>
      </c>
    </row>
    <row r="700" spans="1:3" x14ac:dyDescent="0.25">
      <c r="A700" t="s">
        <v>2085</v>
      </c>
      <c r="B700" t="s">
        <v>173</v>
      </c>
      <c r="C700" t="s">
        <v>3006</v>
      </c>
    </row>
    <row r="701" spans="1:3" x14ac:dyDescent="0.25">
      <c r="A701" t="s">
        <v>2086</v>
      </c>
      <c r="B701" t="s">
        <v>87</v>
      </c>
      <c r="C701" t="s">
        <v>3002</v>
      </c>
    </row>
    <row r="702" spans="1:3" x14ac:dyDescent="0.25">
      <c r="A702" t="s">
        <v>2087</v>
      </c>
      <c r="B702" t="s">
        <v>87</v>
      </c>
      <c r="C702" t="s">
        <v>3002</v>
      </c>
    </row>
    <row r="703" spans="1:3" x14ac:dyDescent="0.25">
      <c r="A703" t="s">
        <v>2088</v>
      </c>
      <c r="B703" t="s">
        <v>16</v>
      </c>
      <c r="C703" t="s">
        <v>3005</v>
      </c>
    </row>
    <row r="704" spans="1:3" x14ac:dyDescent="0.25">
      <c r="A704" t="s">
        <v>2090</v>
      </c>
      <c r="B704" t="s">
        <v>87</v>
      </c>
      <c r="C704" t="s">
        <v>3002</v>
      </c>
    </row>
    <row r="705" spans="1:3" x14ac:dyDescent="0.25">
      <c r="A705" t="s">
        <v>2091</v>
      </c>
      <c r="B705" t="s">
        <v>87</v>
      </c>
      <c r="C705" t="s">
        <v>3002</v>
      </c>
    </row>
    <row r="706" spans="1:3" x14ac:dyDescent="0.25">
      <c r="A706" t="s">
        <v>2092</v>
      </c>
      <c r="B706" t="s">
        <v>87</v>
      </c>
      <c r="C706" t="s">
        <v>3002</v>
      </c>
    </row>
    <row r="707" spans="1:3" x14ac:dyDescent="0.25">
      <c r="A707" t="s">
        <v>2094</v>
      </c>
      <c r="B707" t="s">
        <v>16</v>
      </c>
      <c r="C707" t="s">
        <v>3005</v>
      </c>
    </row>
    <row r="708" spans="1:3" x14ac:dyDescent="0.25">
      <c r="A708" t="s">
        <v>2095</v>
      </c>
      <c r="B708" t="s">
        <v>16</v>
      </c>
      <c r="C708" t="s">
        <v>3005</v>
      </c>
    </row>
    <row r="709" spans="1:3" x14ac:dyDescent="0.25">
      <c r="A709" t="s">
        <v>2097</v>
      </c>
      <c r="B709" t="s">
        <v>173</v>
      </c>
      <c r="C709" t="s">
        <v>3006</v>
      </c>
    </row>
    <row r="710" spans="1:3" x14ac:dyDescent="0.25">
      <c r="A710" t="s">
        <v>2098</v>
      </c>
      <c r="B710" t="s">
        <v>95</v>
      </c>
      <c r="C710" t="s">
        <v>3003</v>
      </c>
    </row>
    <row r="711" spans="1:3" x14ac:dyDescent="0.25">
      <c r="A711" t="s">
        <v>2099</v>
      </c>
      <c r="B711" t="s">
        <v>341</v>
      </c>
      <c r="C711" t="s">
        <v>3004</v>
      </c>
    </row>
    <row r="712" spans="1:3" x14ac:dyDescent="0.25">
      <c r="A712" t="s">
        <v>2100</v>
      </c>
      <c r="B712" t="s">
        <v>341</v>
      </c>
      <c r="C712" t="s">
        <v>3004</v>
      </c>
    </row>
    <row r="713" spans="1:3" x14ac:dyDescent="0.25">
      <c r="A713" t="s">
        <v>2101</v>
      </c>
      <c r="B713" t="s">
        <v>95</v>
      </c>
      <c r="C713" t="s">
        <v>3003</v>
      </c>
    </row>
    <row r="714" spans="1:3" x14ac:dyDescent="0.25">
      <c r="A714" t="s">
        <v>2102</v>
      </c>
      <c r="B714" t="s">
        <v>341</v>
      </c>
      <c r="C714" t="s">
        <v>3004</v>
      </c>
    </row>
    <row r="715" spans="1:3" x14ac:dyDescent="0.25">
      <c r="A715" t="s">
        <v>2103</v>
      </c>
      <c r="B715" t="s">
        <v>341</v>
      </c>
      <c r="C715" t="s">
        <v>3004</v>
      </c>
    </row>
    <row r="716" spans="1:3" x14ac:dyDescent="0.25">
      <c r="A716" t="s">
        <v>2104</v>
      </c>
      <c r="B716" t="s">
        <v>341</v>
      </c>
      <c r="C716" t="s">
        <v>3004</v>
      </c>
    </row>
    <row r="717" spans="1:3" x14ac:dyDescent="0.25">
      <c r="A717" t="s">
        <v>2107</v>
      </c>
      <c r="C717" t="s">
        <v>3006</v>
      </c>
    </row>
    <row r="718" spans="1:3" x14ac:dyDescent="0.25">
      <c r="A718" t="s">
        <v>2108</v>
      </c>
      <c r="C718" t="s">
        <v>3006</v>
      </c>
    </row>
    <row r="719" spans="1:3" x14ac:dyDescent="0.25">
      <c r="A719" t="s">
        <v>2109</v>
      </c>
      <c r="C719" t="s">
        <v>3006</v>
      </c>
    </row>
    <row r="720" spans="1:3" x14ac:dyDescent="0.25">
      <c r="A720" t="s">
        <v>2116</v>
      </c>
      <c r="B720" t="s">
        <v>87</v>
      </c>
      <c r="C720" t="s">
        <v>3002</v>
      </c>
    </row>
    <row r="721" spans="1:3" x14ac:dyDescent="0.25">
      <c r="A721" t="s">
        <v>2121</v>
      </c>
      <c r="B721" t="s">
        <v>341</v>
      </c>
      <c r="C721" t="s">
        <v>3004</v>
      </c>
    </row>
    <row r="722" spans="1:3" x14ac:dyDescent="0.25">
      <c r="A722" t="s">
        <v>2122</v>
      </c>
      <c r="B722" t="s">
        <v>87</v>
      </c>
      <c r="C722" t="s">
        <v>3002</v>
      </c>
    </row>
    <row r="723" spans="1:3" x14ac:dyDescent="0.25">
      <c r="A723" t="s">
        <v>2123</v>
      </c>
      <c r="B723" t="s">
        <v>341</v>
      </c>
      <c r="C723" t="s">
        <v>3004</v>
      </c>
    </row>
    <row r="724" spans="1:3" x14ac:dyDescent="0.25">
      <c r="A724" t="s">
        <v>2124</v>
      </c>
      <c r="B724" t="s">
        <v>341</v>
      </c>
      <c r="C724" t="s">
        <v>3004</v>
      </c>
    </row>
    <row r="725" spans="1:3" x14ac:dyDescent="0.25">
      <c r="A725" t="s">
        <v>2125</v>
      </c>
      <c r="B725" t="s">
        <v>341</v>
      </c>
      <c r="C725" t="s">
        <v>3004</v>
      </c>
    </row>
    <row r="726" spans="1:3" x14ac:dyDescent="0.25">
      <c r="A726" t="s">
        <v>2129</v>
      </c>
      <c r="B726" t="s">
        <v>173</v>
      </c>
      <c r="C726" t="s">
        <v>3006</v>
      </c>
    </row>
    <row r="727" spans="1:3" x14ac:dyDescent="0.25">
      <c r="A727" t="s">
        <v>2130</v>
      </c>
      <c r="B727" t="s">
        <v>341</v>
      </c>
      <c r="C727" t="s">
        <v>3004</v>
      </c>
    </row>
    <row r="728" spans="1:3" x14ac:dyDescent="0.25">
      <c r="A728" t="s">
        <v>2131</v>
      </c>
      <c r="B728" t="s">
        <v>87</v>
      </c>
      <c r="C728" t="s">
        <v>3002</v>
      </c>
    </row>
    <row r="729" spans="1:3" x14ac:dyDescent="0.25">
      <c r="A729" t="s">
        <v>2132</v>
      </c>
      <c r="B729" t="s">
        <v>341</v>
      </c>
      <c r="C729" t="s">
        <v>3004</v>
      </c>
    </row>
    <row r="730" spans="1:3" x14ac:dyDescent="0.25">
      <c r="A730" t="s">
        <v>2133</v>
      </c>
      <c r="B730" t="s">
        <v>87</v>
      </c>
      <c r="C730" t="s">
        <v>3002</v>
      </c>
    </row>
    <row r="731" spans="1:3" x14ac:dyDescent="0.25">
      <c r="A731" t="s">
        <v>2138</v>
      </c>
      <c r="B731" t="s">
        <v>173</v>
      </c>
      <c r="C731" t="s">
        <v>3006</v>
      </c>
    </row>
    <row r="732" spans="1:3" x14ac:dyDescent="0.25">
      <c r="A732" t="s">
        <v>2139</v>
      </c>
      <c r="B732" t="s">
        <v>341</v>
      </c>
      <c r="C732" t="s">
        <v>3004</v>
      </c>
    </row>
    <row r="733" spans="1:3" x14ac:dyDescent="0.25">
      <c r="A733" t="s">
        <v>2156</v>
      </c>
      <c r="B733" t="s">
        <v>77</v>
      </c>
      <c r="C733" t="s">
        <v>77</v>
      </c>
    </row>
    <row r="734" spans="1:3" x14ac:dyDescent="0.25">
      <c r="A734" t="s">
        <v>2157</v>
      </c>
      <c r="B734" t="s">
        <v>77</v>
      </c>
      <c r="C734" t="s">
        <v>77</v>
      </c>
    </row>
    <row r="735" spans="1:3" x14ac:dyDescent="0.25">
      <c r="A735" t="s">
        <v>2158</v>
      </c>
      <c r="B735" t="s">
        <v>173</v>
      </c>
      <c r="C735" t="s">
        <v>3006</v>
      </c>
    </row>
    <row r="736" spans="1:3" x14ac:dyDescent="0.25">
      <c r="A736" t="s">
        <v>2159</v>
      </c>
      <c r="B736" t="s">
        <v>87</v>
      </c>
      <c r="C736" t="s">
        <v>3002</v>
      </c>
    </row>
    <row r="737" spans="1:3" x14ac:dyDescent="0.25">
      <c r="A737" t="s">
        <v>2160</v>
      </c>
      <c r="B737" t="s">
        <v>341</v>
      </c>
      <c r="C737" t="s">
        <v>3004</v>
      </c>
    </row>
    <row r="738" spans="1:3" x14ac:dyDescent="0.25">
      <c r="A738" t="s">
        <v>2161</v>
      </c>
      <c r="B738" t="s">
        <v>87</v>
      </c>
      <c r="C738" t="s">
        <v>3002</v>
      </c>
    </row>
    <row r="739" spans="1:3" x14ac:dyDescent="0.25">
      <c r="A739" t="s">
        <v>2162</v>
      </c>
      <c r="B739" t="s">
        <v>87</v>
      </c>
      <c r="C739" t="s">
        <v>3002</v>
      </c>
    </row>
    <row r="740" spans="1:3" x14ac:dyDescent="0.25">
      <c r="A740" t="s">
        <v>2163</v>
      </c>
      <c r="B740" t="s">
        <v>87</v>
      </c>
      <c r="C740" t="s">
        <v>3002</v>
      </c>
    </row>
    <row r="741" spans="1:3" x14ac:dyDescent="0.25">
      <c r="A741" t="s">
        <v>2164</v>
      </c>
      <c r="B741" t="s">
        <v>87</v>
      </c>
      <c r="C741" t="s">
        <v>3002</v>
      </c>
    </row>
    <row r="742" spans="1:3" x14ac:dyDescent="0.25">
      <c r="A742" t="s">
        <v>2165</v>
      </c>
      <c r="B742" t="s">
        <v>87</v>
      </c>
      <c r="C742" t="s">
        <v>3002</v>
      </c>
    </row>
    <row r="743" spans="1:3" x14ac:dyDescent="0.25">
      <c r="A743" t="s">
        <v>2166</v>
      </c>
      <c r="B743" t="s">
        <v>341</v>
      </c>
      <c r="C743" t="s">
        <v>3004</v>
      </c>
    </row>
    <row r="744" spans="1:3" x14ac:dyDescent="0.25">
      <c r="A744" t="s">
        <v>2167</v>
      </c>
      <c r="B744" t="s">
        <v>341</v>
      </c>
      <c r="C744" t="s">
        <v>3004</v>
      </c>
    </row>
    <row r="745" spans="1:3" x14ac:dyDescent="0.25">
      <c r="A745" t="s">
        <v>2168</v>
      </c>
      <c r="B745" t="s">
        <v>87</v>
      </c>
      <c r="C745" t="s">
        <v>3002</v>
      </c>
    </row>
    <row r="746" spans="1:3" x14ac:dyDescent="0.25">
      <c r="A746" t="s">
        <v>2169</v>
      </c>
      <c r="B746" t="s">
        <v>87</v>
      </c>
      <c r="C746" t="s">
        <v>3002</v>
      </c>
    </row>
    <row r="747" spans="1:3" x14ac:dyDescent="0.25">
      <c r="A747" t="s">
        <v>2170</v>
      </c>
      <c r="B747" t="s">
        <v>87</v>
      </c>
      <c r="C747" t="s">
        <v>3002</v>
      </c>
    </row>
    <row r="748" spans="1:3" x14ac:dyDescent="0.25">
      <c r="A748" t="s">
        <v>2171</v>
      </c>
      <c r="B748" t="s">
        <v>87</v>
      </c>
      <c r="C748" t="s">
        <v>3002</v>
      </c>
    </row>
    <row r="749" spans="1:3" x14ac:dyDescent="0.25">
      <c r="A749" t="s">
        <v>2172</v>
      </c>
      <c r="B749" t="s">
        <v>173</v>
      </c>
      <c r="C749" t="s">
        <v>3006</v>
      </c>
    </row>
    <row r="750" spans="1:3" x14ac:dyDescent="0.25">
      <c r="A750" t="s">
        <v>2173</v>
      </c>
      <c r="B750" t="s">
        <v>341</v>
      </c>
      <c r="C750" t="s">
        <v>3004</v>
      </c>
    </row>
    <row r="751" spans="1:3" x14ac:dyDescent="0.25">
      <c r="A751" t="s">
        <v>2174</v>
      </c>
      <c r="B751" t="s">
        <v>87</v>
      </c>
      <c r="C751" t="s">
        <v>3002</v>
      </c>
    </row>
    <row r="752" spans="1:3" x14ac:dyDescent="0.25">
      <c r="A752" t="s">
        <v>2175</v>
      </c>
      <c r="B752" t="s">
        <v>173</v>
      </c>
      <c r="C752" t="s">
        <v>3006</v>
      </c>
    </row>
    <row r="753" spans="1:3" x14ac:dyDescent="0.25">
      <c r="A753" t="s">
        <v>2176</v>
      </c>
      <c r="B753" t="s">
        <v>87</v>
      </c>
      <c r="C753" t="s">
        <v>3002</v>
      </c>
    </row>
    <row r="754" spans="1:3" x14ac:dyDescent="0.25">
      <c r="A754" t="s">
        <v>2177</v>
      </c>
      <c r="B754" t="s">
        <v>87</v>
      </c>
      <c r="C754" t="s">
        <v>3002</v>
      </c>
    </row>
    <row r="755" spans="1:3" x14ac:dyDescent="0.25">
      <c r="A755" t="s">
        <v>2188</v>
      </c>
      <c r="B755" t="s">
        <v>87</v>
      </c>
      <c r="C755" t="s">
        <v>3002</v>
      </c>
    </row>
    <row r="756" spans="1:3" x14ac:dyDescent="0.25">
      <c r="A756" t="s">
        <v>2190</v>
      </c>
      <c r="B756" t="s">
        <v>87</v>
      </c>
      <c r="C756" t="s">
        <v>3002</v>
      </c>
    </row>
    <row r="757" spans="1:3" x14ac:dyDescent="0.25">
      <c r="A757" t="s">
        <v>2191</v>
      </c>
      <c r="B757" t="s">
        <v>87</v>
      </c>
      <c r="C757" t="s">
        <v>3002</v>
      </c>
    </row>
    <row r="758" spans="1:3" x14ac:dyDescent="0.25">
      <c r="A758" t="s">
        <v>2192</v>
      </c>
      <c r="B758" t="s">
        <v>87</v>
      </c>
      <c r="C758" t="s">
        <v>3002</v>
      </c>
    </row>
    <row r="759" spans="1:3" x14ac:dyDescent="0.25">
      <c r="A759" t="s">
        <v>2193</v>
      </c>
      <c r="B759" t="s">
        <v>341</v>
      </c>
      <c r="C759" t="s">
        <v>3004</v>
      </c>
    </row>
    <row r="760" spans="1:3" x14ac:dyDescent="0.25">
      <c r="A760" t="s">
        <v>2194</v>
      </c>
      <c r="B760" t="s">
        <v>87</v>
      </c>
      <c r="C760" t="s">
        <v>3002</v>
      </c>
    </row>
    <row r="761" spans="1:3" x14ac:dyDescent="0.25">
      <c r="A761" t="s">
        <v>2195</v>
      </c>
      <c r="B761" t="s">
        <v>341</v>
      </c>
      <c r="C761" t="s">
        <v>3004</v>
      </c>
    </row>
    <row r="762" spans="1:3" x14ac:dyDescent="0.25">
      <c r="A762" t="s">
        <v>2196</v>
      </c>
      <c r="B762" t="s">
        <v>87</v>
      </c>
      <c r="C762" t="s">
        <v>3002</v>
      </c>
    </row>
    <row r="763" spans="1:3" x14ac:dyDescent="0.25">
      <c r="A763" t="s">
        <v>833</v>
      </c>
      <c r="B763" t="s">
        <v>77</v>
      </c>
      <c r="C763" t="s">
        <v>77</v>
      </c>
    </row>
    <row r="764" spans="1:3" x14ac:dyDescent="0.25">
      <c r="A764" t="s">
        <v>1166</v>
      </c>
      <c r="B764" t="s">
        <v>341</v>
      </c>
      <c r="C764" t="s">
        <v>3004</v>
      </c>
    </row>
    <row r="765" spans="1:3" x14ac:dyDescent="0.25">
      <c r="A765" t="s">
        <v>667</v>
      </c>
      <c r="B765" t="s">
        <v>341</v>
      </c>
      <c r="C765" t="s">
        <v>3004</v>
      </c>
    </row>
    <row r="766" spans="1:3" x14ac:dyDescent="0.25">
      <c r="A766" t="s">
        <v>2204</v>
      </c>
      <c r="B766" t="s">
        <v>16</v>
      </c>
      <c r="C766" t="s">
        <v>3005</v>
      </c>
    </row>
    <row r="767" spans="1:3" x14ac:dyDescent="0.25">
      <c r="A767" t="s">
        <v>2205</v>
      </c>
      <c r="B767" t="s">
        <v>87</v>
      </c>
      <c r="C767" t="s">
        <v>3002</v>
      </c>
    </row>
    <row r="768" spans="1:3" x14ac:dyDescent="0.25">
      <c r="A768" t="s">
        <v>2217</v>
      </c>
      <c r="B768" t="s">
        <v>173</v>
      </c>
      <c r="C768" t="s">
        <v>3006</v>
      </c>
    </row>
    <row r="769" spans="1:3" x14ac:dyDescent="0.25">
      <c r="A769" t="s">
        <v>2220</v>
      </c>
      <c r="B769" t="s">
        <v>87</v>
      </c>
      <c r="C769" t="s">
        <v>3002</v>
      </c>
    </row>
    <row r="770" spans="1:3" x14ac:dyDescent="0.25">
      <c r="A770" t="s">
        <v>2225</v>
      </c>
      <c r="C770" t="s">
        <v>3006</v>
      </c>
    </row>
    <row r="771" spans="1:3" x14ac:dyDescent="0.25">
      <c r="A771" t="s">
        <v>2230</v>
      </c>
      <c r="B771" t="s">
        <v>341</v>
      </c>
      <c r="C771" t="s">
        <v>3004</v>
      </c>
    </row>
    <row r="772" spans="1:3" x14ac:dyDescent="0.25">
      <c r="A772" t="s">
        <v>667</v>
      </c>
      <c r="B772" t="s">
        <v>173</v>
      </c>
      <c r="C772" t="s">
        <v>3006</v>
      </c>
    </row>
    <row r="773" spans="1:3" x14ac:dyDescent="0.25">
      <c r="A773" t="s">
        <v>2232</v>
      </c>
      <c r="B773" t="s">
        <v>173</v>
      </c>
      <c r="C773" t="s">
        <v>3006</v>
      </c>
    </row>
    <row r="774" spans="1:3" x14ac:dyDescent="0.25">
      <c r="A774" t="s">
        <v>2237</v>
      </c>
      <c r="B774" t="s">
        <v>341</v>
      </c>
      <c r="C774" t="s">
        <v>3004</v>
      </c>
    </row>
    <row r="775" spans="1:3" x14ac:dyDescent="0.25">
      <c r="A775" t="s">
        <v>2238</v>
      </c>
      <c r="C775" t="s">
        <v>3006</v>
      </c>
    </row>
    <row r="776" spans="1:3" x14ac:dyDescent="0.25">
      <c r="A776" t="s">
        <v>2239</v>
      </c>
      <c r="C776" t="s">
        <v>3006</v>
      </c>
    </row>
    <row r="777" spans="1:3" x14ac:dyDescent="0.25">
      <c r="A777" t="s">
        <v>2240</v>
      </c>
      <c r="C777" t="s">
        <v>3006</v>
      </c>
    </row>
    <row r="778" spans="1:3" x14ac:dyDescent="0.25">
      <c r="A778" t="s">
        <v>2241</v>
      </c>
      <c r="B778" t="s">
        <v>173</v>
      </c>
      <c r="C778" t="s">
        <v>3006</v>
      </c>
    </row>
    <row r="779" spans="1:3" x14ac:dyDescent="0.25">
      <c r="A779" t="s">
        <v>2242</v>
      </c>
      <c r="B779" t="s">
        <v>87</v>
      </c>
      <c r="C779" t="s">
        <v>3002</v>
      </c>
    </row>
    <row r="780" spans="1:3" x14ac:dyDescent="0.25">
      <c r="A780" t="s">
        <v>2250</v>
      </c>
      <c r="B780" t="s">
        <v>341</v>
      </c>
      <c r="C780" t="s">
        <v>3004</v>
      </c>
    </row>
    <row r="781" spans="1:3" x14ac:dyDescent="0.25">
      <c r="A781" t="s">
        <v>2251</v>
      </c>
      <c r="B781" t="s">
        <v>341</v>
      </c>
      <c r="C781" t="s">
        <v>3004</v>
      </c>
    </row>
    <row r="782" spans="1:3" x14ac:dyDescent="0.25">
      <c r="A782" t="s">
        <v>2252</v>
      </c>
      <c r="B782" t="s">
        <v>341</v>
      </c>
      <c r="C782" t="s">
        <v>3004</v>
      </c>
    </row>
    <row r="783" spans="1:3" x14ac:dyDescent="0.25">
      <c r="A783" t="s">
        <v>2257</v>
      </c>
      <c r="B783" t="s">
        <v>341</v>
      </c>
      <c r="C783" t="s">
        <v>3004</v>
      </c>
    </row>
    <row r="784" spans="1:3" x14ac:dyDescent="0.25">
      <c r="A784" t="s">
        <v>2258</v>
      </c>
      <c r="B784" t="s">
        <v>341</v>
      </c>
      <c r="C784" t="s">
        <v>3004</v>
      </c>
    </row>
    <row r="785" spans="1:3" x14ac:dyDescent="0.25">
      <c r="A785" t="s">
        <v>2259</v>
      </c>
      <c r="B785" t="s">
        <v>341</v>
      </c>
      <c r="C785" t="s">
        <v>3004</v>
      </c>
    </row>
    <row r="786" spans="1:3" x14ac:dyDescent="0.25">
      <c r="A786" t="s">
        <v>2266</v>
      </c>
      <c r="B786" t="s">
        <v>16</v>
      </c>
      <c r="C786" t="s">
        <v>3005</v>
      </c>
    </row>
    <row r="787" spans="1:3" x14ac:dyDescent="0.25">
      <c r="A787" t="s">
        <v>1187</v>
      </c>
      <c r="B787" t="s">
        <v>341</v>
      </c>
      <c r="C787" t="s">
        <v>3004</v>
      </c>
    </row>
    <row r="788" spans="1:3" x14ac:dyDescent="0.25">
      <c r="A788" t="s">
        <v>2267</v>
      </c>
      <c r="B788" t="s">
        <v>341</v>
      </c>
      <c r="C788" t="s">
        <v>3004</v>
      </c>
    </row>
    <row r="789" spans="1:3" x14ac:dyDescent="0.25">
      <c r="A789" t="s">
        <v>2268</v>
      </c>
      <c r="B789" t="s">
        <v>16</v>
      </c>
      <c r="C789" t="s">
        <v>3005</v>
      </c>
    </row>
    <row r="790" spans="1:3" x14ac:dyDescent="0.25">
      <c r="A790" t="s">
        <v>2269</v>
      </c>
      <c r="B790" t="s">
        <v>16</v>
      </c>
      <c r="C790" t="s">
        <v>3005</v>
      </c>
    </row>
    <row r="791" spans="1:3" x14ac:dyDescent="0.25">
      <c r="A791" t="s">
        <v>1835</v>
      </c>
      <c r="B791" t="s">
        <v>341</v>
      </c>
      <c r="C791" t="s">
        <v>3004</v>
      </c>
    </row>
    <row r="792" spans="1:3" x14ac:dyDescent="0.25">
      <c r="A792" t="s">
        <v>1837</v>
      </c>
      <c r="B792" t="s">
        <v>341</v>
      </c>
      <c r="C792" t="s">
        <v>3004</v>
      </c>
    </row>
    <row r="793" spans="1:3" x14ac:dyDescent="0.25">
      <c r="A793" t="s">
        <v>1836</v>
      </c>
      <c r="B793" t="s">
        <v>341</v>
      </c>
      <c r="C793" t="s">
        <v>3004</v>
      </c>
    </row>
    <row r="794" spans="1:3" x14ac:dyDescent="0.25">
      <c r="A794" t="s">
        <v>2278</v>
      </c>
      <c r="B794" t="s">
        <v>48</v>
      </c>
      <c r="C794" t="s">
        <v>3005</v>
      </c>
    </row>
    <row r="795" spans="1:3" x14ac:dyDescent="0.25">
      <c r="A795" t="s">
        <v>2279</v>
      </c>
      <c r="B795" t="s">
        <v>48</v>
      </c>
      <c r="C795" t="s">
        <v>3005</v>
      </c>
    </row>
    <row r="796" spans="1:3" x14ac:dyDescent="0.25">
      <c r="A796" t="s">
        <v>1819</v>
      </c>
      <c r="B796" t="s">
        <v>173</v>
      </c>
      <c r="C796" t="s">
        <v>3006</v>
      </c>
    </row>
    <row r="797" spans="1:3" x14ac:dyDescent="0.25">
      <c r="A797" t="s">
        <v>2281</v>
      </c>
      <c r="B797" t="s">
        <v>173</v>
      </c>
      <c r="C797" t="s">
        <v>3006</v>
      </c>
    </row>
    <row r="798" spans="1:3" x14ac:dyDescent="0.25">
      <c r="A798" t="s">
        <v>2285</v>
      </c>
      <c r="B798" t="s">
        <v>173</v>
      </c>
      <c r="C798" t="s">
        <v>3006</v>
      </c>
    </row>
    <row r="799" spans="1:3" x14ac:dyDescent="0.25">
      <c r="A799" t="s">
        <v>2292</v>
      </c>
      <c r="B799" t="s">
        <v>87</v>
      </c>
      <c r="C799" t="s">
        <v>3002</v>
      </c>
    </row>
    <row r="800" spans="1:3" x14ac:dyDescent="0.25">
      <c r="A800" t="s">
        <v>1498</v>
      </c>
      <c r="B800" t="s">
        <v>341</v>
      </c>
      <c r="C800" t="s">
        <v>3004</v>
      </c>
    </row>
    <row r="801" spans="1:3" x14ac:dyDescent="0.25">
      <c r="A801" t="s">
        <v>2293</v>
      </c>
      <c r="B801" t="s">
        <v>341</v>
      </c>
      <c r="C801" t="s">
        <v>3004</v>
      </c>
    </row>
    <row r="802" spans="1:3" x14ac:dyDescent="0.25">
      <c r="A802" t="s">
        <v>1469</v>
      </c>
      <c r="B802" t="s">
        <v>173</v>
      </c>
      <c r="C802" t="s">
        <v>3006</v>
      </c>
    </row>
    <row r="803" spans="1:3" x14ac:dyDescent="0.25">
      <c r="A803" t="s">
        <v>2294</v>
      </c>
      <c r="B803" t="s">
        <v>48</v>
      </c>
      <c r="C803" t="s">
        <v>3005</v>
      </c>
    </row>
    <row r="804" spans="1:3" x14ac:dyDescent="0.25">
      <c r="A804" t="s">
        <v>2295</v>
      </c>
      <c r="B804" t="s">
        <v>48</v>
      </c>
      <c r="C804" t="s">
        <v>3005</v>
      </c>
    </row>
    <row r="805" spans="1:3" x14ac:dyDescent="0.25">
      <c r="A805" t="s">
        <v>2296</v>
      </c>
      <c r="B805" t="s">
        <v>95</v>
      </c>
      <c r="C805" t="s">
        <v>3003</v>
      </c>
    </row>
    <row r="806" spans="1:3" x14ac:dyDescent="0.25">
      <c r="A806" t="s">
        <v>2298</v>
      </c>
      <c r="B806" t="s">
        <v>87</v>
      </c>
      <c r="C806" t="s">
        <v>3002</v>
      </c>
    </row>
    <row r="807" spans="1:3" x14ac:dyDescent="0.25">
      <c r="A807" t="s">
        <v>2299</v>
      </c>
      <c r="B807" t="s">
        <v>341</v>
      </c>
      <c r="C807" t="s">
        <v>3004</v>
      </c>
    </row>
    <row r="808" spans="1:3" x14ac:dyDescent="0.25">
      <c r="A808" t="s">
        <v>2300</v>
      </c>
      <c r="B808" t="s">
        <v>87</v>
      </c>
      <c r="C808" t="s">
        <v>3002</v>
      </c>
    </row>
    <row r="809" spans="1:3" x14ac:dyDescent="0.25">
      <c r="A809" t="s">
        <v>2305</v>
      </c>
      <c r="B809" t="s">
        <v>87</v>
      </c>
      <c r="C809" t="s">
        <v>3002</v>
      </c>
    </row>
    <row r="810" spans="1:3" x14ac:dyDescent="0.25">
      <c r="A810" t="s">
        <v>2310</v>
      </c>
      <c r="B810" t="s">
        <v>95</v>
      </c>
      <c r="C810" t="s">
        <v>3003</v>
      </c>
    </row>
    <row r="811" spans="1:3" x14ac:dyDescent="0.25">
      <c r="A811" t="s">
        <v>2311</v>
      </c>
      <c r="B811" t="s">
        <v>87</v>
      </c>
      <c r="C811" t="s">
        <v>3002</v>
      </c>
    </row>
    <row r="812" spans="1:3" x14ac:dyDescent="0.25">
      <c r="A812" t="s">
        <v>2312</v>
      </c>
      <c r="B812" t="s">
        <v>87</v>
      </c>
      <c r="C812" t="s">
        <v>3002</v>
      </c>
    </row>
    <row r="813" spans="1:3" x14ac:dyDescent="0.25">
      <c r="A813" t="s">
        <v>2313</v>
      </c>
      <c r="B813" t="s">
        <v>341</v>
      </c>
      <c r="C813" t="s">
        <v>3004</v>
      </c>
    </row>
    <row r="814" spans="1:3" x14ac:dyDescent="0.25">
      <c r="A814" t="s">
        <v>2314</v>
      </c>
      <c r="B814" t="s">
        <v>87</v>
      </c>
      <c r="C814" t="s">
        <v>3002</v>
      </c>
    </row>
    <row r="815" spans="1:3" x14ac:dyDescent="0.25">
      <c r="A815" t="s">
        <v>2315</v>
      </c>
      <c r="B815" t="s">
        <v>87</v>
      </c>
      <c r="C815" t="s">
        <v>3002</v>
      </c>
    </row>
    <row r="816" spans="1:3" x14ac:dyDescent="0.25">
      <c r="A816" t="s">
        <v>2316</v>
      </c>
      <c r="B816" t="s">
        <v>341</v>
      </c>
      <c r="C816" t="s">
        <v>3004</v>
      </c>
    </row>
    <row r="817" spans="1:3" x14ac:dyDescent="0.25">
      <c r="A817" t="s">
        <v>2317</v>
      </c>
      <c r="B817" t="s">
        <v>341</v>
      </c>
      <c r="C817" t="s">
        <v>3004</v>
      </c>
    </row>
    <row r="818" spans="1:3" x14ac:dyDescent="0.25">
      <c r="A818" t="s">
        <v>2318</v>
      </c>
      <c r="B818" t="s">
        <v>341</v>
      </c>
      <c r="C818" t="s">
        <v>3004</v>
      </c>
    </row>
    <row r="819" spans="1:3" x14ac:dyDescent="0.25">
      <c r="A819" t="s">
        <v>2319</v>
      </c>
      <c r="B819" t="s">
        <v>87</v>
      </c>
      <c r="C819" t="s">
        <v>3002</v>
      </c>
    </row>
    <row r="820" spans="1:3" x14ac:dyDescent="0.25">
      <c r="A820" t="s">
        <v>2320</v>
      </c>
      <c r="B820" t="s">
        <v>87</v>
      </c>
      <c r="C820" t="s">
        <v>3002</v>
      </c>
    </row>
    <row r="821" spans="1:3" x14ac:dyDescent="0.25">
      <c r="A821" t="s">
        <v>2321</v>
      </c>
      <c r="B821" t="s">
        <v>341</v>
      </c>
      <c r="C821" t="s">
        <v>3004</v>
      </c>
    </row>
    <row r="822" spans="1:3" x14ac:dyDescent="0.25">
      <c r="A822" t="s">
        <v>2322</v>
      </c>
      <c r="B822" t="s">
        <v>341</v>
      </c>
      <c r="C822" t="s">
        <v>3004</v>
      </c>
    </row>
    <row r="823" spans="1:3" x14ac:dyDescent="0.25">
      <c r="A823" t="s">
        <v>2323</v>
      </c>
      <c r="B823" t="s">
        <v>87</v>
      </c>
      <c r="C823" t="s">
        <v>3002</v>
      </c>
    </row>
    <row r="824" spans="1:3" x14ac:dyDescent="0.25">
      <c r="A824" t="s">
        <v>2324</v>
      </c>
      <c r="B824" t="s">
        <v>87</v>
      </c>
      <c r="C824" t="s">
        <v>3002</v>
      </c>
    </row>
    <row r="825" spans="1:3" x14ac:dyDescent="0.25">
      <c r="A825" t="s">
        <v>2328</v>
      </c>
      <c r="B825" t="s">
        <v>341</v>
      </c>
      <c r="C825" t="s">
        <v>3004</v>
      </c>
    </row>
    <row r="826" spans="1:3" x14ac:dyDescent="0.25">
      <c r="A826" t="s">
        <v>2329</v>
      </c>
      <c r="B826" t="s">
        <v>87</v>
      </c>
      <c r="C826" t="s">
        <v>3002</v>
      </c>
    </row>
    <row r="827" spans="1:3" x14ac:dyDescent="0.25">
      <c r="A827" t="s">
        <v>2079</v>
      </c>
      <c r="B827" t="s">
        <v>87</v>
      </c>
      <c r="C827" t="s">
        <v>3002</v>
      </c>
    </row>
    <row r="828" spans="1:3" x14ac:dyDescent="0.25">
      <c r="A828" t="s">
        <v>2331</v>
      </c>
      <c r="B828" t="s">
        <v>173</v>
      </c>
      <c r="C828" t="s">
        <v>3006</v>
      </c>
    </row>
    <row r="829" spans="1:3" x14ac:dyDescent="0.25">
      <c r="A829" t="s">
        <v>2337</v>
      </c>
      <c r="B829" t="s">
        <v>173</v>
      </c>
      <c r="C829" t="s">
        <v>3006</v>
      </c>
    </row>
    <row r="830" spans="1:3" x14ac:dyDescent="0.25">
      <c r="A830" t="s">
        <v>2338</v>
      </c>
      <c r="B830" t="s">
        <v>173</v>
      </c>
      <c r="C830" t="s">
        <v>3006</v>
      </c>
    </row>
    <row r="831" spans="1:3" x14ac:dyDescent="0.25">
      <c r="A831" t="s">
        <v>2343</v>
      </c>
      <c r="B831" t="s">
        <v>87</v>
      </c>
      <c r="C831" t="s">
        <v>3002</v>
      </c>
    </row>
    <row r="832" spans="1:3" x14ac:dyDescent="0.25">
      <c r="A832" t="s">
        <v>2344</v>
      </c>
      <c r="B832" t="s">
        <v>173</v>
      </c>
      <c r="C832" t="s">
        <v>3006</v>
      </c>
    </row>
    <row r="833" spans="1:3" x14ac:dyDescent="0.25">
      <c r="A833" t="s">
        <v>2345</v>
      </c>
      <c r="B833" t="s">
        <v>87</v>
      </c>
      <c r="C833" t="s">
        <v>3002</v>
      </c>
    </row>
    <row r="834" spans="1:3" x14ac:dyDescent="0.25">
      <c r="A834" t="s">
        <v>2346</v>
      </c>
      <c r="B834" t="s">
        <v>214</v>
      </c>
      <c r="C834" t="s">
        <v>3008</v>
      </c>
    </row>
    <row r="835" spans="1:3" x14ac:dyDescent="0.25">
      <c r="A835" t="s">
        <v>2348</v>
      </c>
      <c r="B835" t="s">
        <v>87</v>
      </c>
      <c r="C835" t="s">
        <v>3002</v>
      </c>
    </row>
    <row r="836" spans="1:3" x14ac:dyDescent="0.25">
      <c r="A836" t="s">
        <v>2349</v>
      </c>
      <c r="B836" t="s">
        <v>87</v>
      </c>
      <c r="C836" t="s">
        <v>3002</v>
      </c>
    </row>
    <row r="837" spans="1:3" x14ac:dyDescent="0.25">
      <c r="A837" t="s">
        <v>2350</v>
      </c>
      <c r="B837" t="s">
        <v>173</v>
      </c>
      <c r="C837" t="s">
        <v>3006</v>
      </c>
    </row>
    <row r="838" spans="1:3" x14ac:dyDescent="0.25">
      <c r="A838" t="s">
        <v>1014</v>
      </c>
      <c r="B838" t="s">
        <v>173</v>
      </c>
      <c r="C838" t="s">
        <v>3006</v>
      </c>
    </row>
    <row r="839" spans="1:3" x14ac:dyDescent="0.25">
      <c r="A839" t="s">
        <v>2351</v>
      </c>
      <c r="B839" t="s">
        <v>173</v>
      </c>
      <c r="C839" t="s">
        <v>3006</v>
      </c>
    </row>
    <row r="840" spans="1:3" x14ac:dyDescent="0.25">
      <c r="A840" t="s">
        <v>2354</v>
      </c>
      <c r="B840" t="s">
        <v>87</v>
      </c>
      <c r="C840" t="s">
        <v>3002</v>
      </c>
    </row>
    <row r="841" spans="1:3" x14ac:dyDescent="0.25">
      <c r="A841" t="s">
        <v>2357</v>
      </c>
      <c r="B841" t="s">
        <v>87</v>
      </c>
      <c r="C841" t="s">
        <v>3002</v>
      </c>
    </row>
    <row r="842" spans="1:3" x14ac:dyDescent="0.25">
      <c r="A842" t="s">
        <v>2358</v>
      </c>
      <c r="B842" t="s">
        <v>16</v>
      </c>
      <c r="C842" t="s">
        <v>3005</v>
      </c>
    </row>
    <row r="843" spans="1:3" x14ac:dyDescent="0.25">
      <c r="A843" t="s">
        <v>2360</v>
      </c>
      <c r="B843" t="s">
        <v>87</v>
      </c>
      <c r="C843" t="s">
        <v>3002</v>
      </c>
    </row>
    <row r="844" spans="1:3" x14ac:dyDescent="0.25">
      <c r="A844" t="s">
        <v>2361</v>
      </c>
      <c r="B844" t="s">
        <v>87</v>
      </c>
      <c r="C844" t="s">
        <v>3002</v>
      </c>
    </row>
    <row r="845" spans="1:3" x14ac:dyDescent="0.25">
      <c r="A845" t="s">
        <v>2362</v>
      </c>
      <c r="B845" t="s">
        <v>87</v>
      </c>
      <c r="C845" t="s">
        <v>3002</v>
      </c>
    </row>
    <row r="846" spans="1:3" x14ac:dyDescent="0.25">
      <c r="A846" t="s">
        <v>2364</v>
      </c>
      <c r="C846" t="s">
        <v>3006</v>
      </c>
    </row>
    <row r="847" spans="1:3" x14ac:dyDescent="0.25">
      <c r="A847" t="s">
        <v>2369</v>
      </c>
      <c r="B847" t="s">
        <v>16</v>
      </c>
      <c r="C847" t="s">
        <v>3005</v>
      </c>
    </row>
    <row r="848" spans="1:3" x14ac:dyDescent="0.25">
      <c r="A848" t="s">
        <v>2370</v>
      </c>
      <c r="B848" t="s">
        <v>16</v>
      </c>
      <c r="C848" t="s">
        <v>3005</v>
      </c>
    </row>
    <row r="849" spans="1:3" x14ac:dyDescent="0.25">
      <c r="A849" t="s">
        <v>1097</v>
      </c>
      <c r="B849" t="s">
        <v>341</v>
      </c>
      <c r="C849" t="s">
        <v>3004</v>
      </c>
    </row>
    <row r="850" spans="1:3" x14ac:dyDescent="0.25">
      <c r="A850" t="s">
        <v>2379</v>
      </c>
      <c r="B850" t="s">
        <v>87</v>
      </c>
      <c r="C850" t="s">
        <v>3002</v>
      </c>
    </row>
    <row r="851" spans="1:3" x14ac:dyDescent="0.25">
      <c r="A851" t="s">
        <v>2380</v>
      </c>
      <c r="B851" t="s">
        <v>173</v>
      </c>
      <c r="C851" t="s">
        <v>3006</v>
      </c>
    </row>
    <row r="852" spans="1:3" x14ac:dyDescent="0.25">
      <c r="A852" t="s">
        <v>2381</v>
      </c>
      <c r="B852" t="s">
        <v>341</v>
      </c>
      <c r="C852" t="s">
        <v>3004</v>
      </c>
    </row>
    <row r="853" spans="1:3" x14ac:dyDescent="0.25">
      <c r="A853" t="s">
        <v>2382</v>
      </c>
      <c r="B853" t="s">
        <v>87</v>
      </c>
      <c r="C853" t="s">
        <v>3002</v>
      </c>
    </row>
    <row r="854" spans="1:3" x14ac:dyDescent="0.25">
      <c r="A854" t="s">
        <v>2383</v>
      </c>
      <c r="B854" t="s">
        <v>87</v>
      </c>
      <c r="C854" t="s">
        <v>3002</v>
      </c>
    </row>
    <row r="855" spans="1:3" x14ac:dyDescent="0.25">
      <c r="A855" t="s">
        <v>2386</v>
      </c>
      <c r="B855" t="s">
        <v>173</v>
      </c>
      <c r="C855" t="s">
        <v>3006</v>
      </c>
    </row>
    <row r="856" spans="1:3" x14ac:dyDescent="0.25">
      <c r="A856" t="s">
        <v>2389</v>
      </c>
      <c r="B856" t="s">
        <v>341</v>
      </c>
      <c r="C856" t="s">
        <v>3004</v>
      </c>
    </row>
    <row r="857" spans="1:3" x14ac:dyDescent="0.25">
      <c r="A857" t="s">
        <v>2390</v>
      </c>
      <c r="B857" t="s">
        <v>87</v>
      </c>
      <c r="C857" t="s">
        <v>3002</v>
      </c>
    </row>
    <row r="858" spans="1:3" x14ac:dyDescent="0.25">
      <c r="A858" t="s">
        <v>2391</v>
      </c>
      <c r="B858" t="s">
        <v>87</v>
      </c>
      <c r="C858" t="s">
        <v>3002</v>
      </c>
    </row>
    <row r="859" spans="1:3" x14ac:dyDescent="0.25">
      <c r="A859" t="s">
        <v>2392</v>
      </c>
      <c r="B859" t="s">
        <v>87</v>
      </c>
      <c r="C859" t="s">
        <v>3002</v>
      </c>
    </row>
    <row r="860" spans="1:3" x14ac:dyDescent="0.25">
      <c r="A860" t="s">
        <v>2414</v>
      </c>
      <c r="B860" t="s">
        <v>87</v>
      </c>
      <c r="C860" t="s">
        <v>3002</v>
      </c>
    </row>
    <row r="861" spans="1:3" x14ac:dyDescent="0.25">
      <c r="A861" t="s">
        <v>2426</v>
      </c>
      <c r="B861" t="s">
        <v>341</v>
      </c>
      <c r="C861" t="s">
        <v>3004</v>
      </c>
    </row>
    <row r="862" spans="1:3" x14ac:dyDescent="0.25">
      <c r="A862" t="s">
        <v>2427</v>
      </c>
      <c r="B862" t="s">
        <v>87</v>
      </c>
      <c r="C862" t="s">
        <v>3002</v>
      </c>
    </row>
    <row r="863" spans="1:3" x14ac:dyDescent="0.25">
      <c r="A863" t="s">
        <v>1830</v>
      </c>
      <c r="B863" t="s">
        <v>341</v>
      </c>
      <c r="C863" t="s">
        <v>3004</v>
      </c>
    </row>
    <row r="864" spans="1:3" x14ac:dyDescent="0.25">
      <c r="A864" t="s">
        <v>2429</v>
      </c>
      <c r="B864" t="s">
        <v>87</v>
      </c>
      <c r="C864" t="s">
        <v>3002</v>
      </c>
    </row>
    <row r="865" spans="1:3" x14ac:dyDescent="0.25">
      <c r="A865" t="s">
        <v>2430</v>
      </c>
      <c r="B865" t="s">
        <v>87</v>
      </c>
      <c r="C865" t="s">
        <v>3002</v>
      </c>
    </row>
    <row r="866" spans="1:3" x14ac:dyDescent="0.25">
      <c r="A866" t="s">
        <v>2431</v>
      </c>
      <c r="B866" t="s">
        <v>46</v>
      </c>
      <c r="C866" t="s">
        <v>46</v>
      </c>
    </row>
    <row r="867" spans="1:3" x14ac:dyDescent="0.25">
      <c r="A867" t="s">
        <v>2432</v>
      </c>
      <c r="B867" t="s">
        <v>46</v>
      </c>
      <c r="C867" t="s">
        <v>46</v>
      </c>
    </row>
    <row r="868" spans="1:3" x14ac:dyDescent="0.25">
      <c r="A868" t="s">
        <v>2433</v>
      </c>
      <c r="B868" t="s">
        <v>77</v>
      </c>
      <c r="C868" t="s">
        <v>77</v>
      </c>
    </row>
    <row r="869" spans="1:3" x14ac:dyDescent="0.25">
      <c r="A869" t="s">
        <v>2434</v>
      </c>
      <c r="B869" t="s">
        <v>77</v>
      </c>
      <c r="C869" t="s">
        <v>77</v>
      </c>
    </row>
    <row r="870" spans="1:3" x14ac:dyDescent="0.25">
      <c r="A870" t="s">
        <v>2435</v>
      </c>
      <c r="B870" t="s">
        <v>173</v>
      </c>
      <c r="C870" t="s">
        <v>3006</v>
      </c>
    </row>
    <row r="871" spans="1:3" x14ac:dyDescent="0.25">
      <c r="A871" t="s">
        <v>2436</v>
      </c>
      <c r="B871" t="s">
        <v>46</v>
      </c>
      <c r="C871" t="s">
        <v>46</v>
      </c>
    </row>
    <row r="872" spans="1:3" x14ac:dyDescent="0.25">
      <c r="A872" t="s">
        <v>2437</v>
      </c>
      <c r="B872" t="s">
        <v>46</v>
      </c>
      <c r="C872" t="s">
        <v>46</v>
      </c>
    </row>
    <row r="873" spans="1:3" x14ac:dyDescent="0.25">
      <c r="A873" t="s">
        <v>2438</v>
      </c>
      <c r="B873" t="s">
        <v>77</v>
      </c>
      <c r="C873" t="s">
        <v>77</v>
      </c>
    </row>
    <row r="874" spans="1:3" x14ac:dyDescent="0.25">
      <c r="A874" t="s">
        <v>2439</v>
      </c>
      <c r="B874" t="s">
        <v>77</v>
      </c>
      <c r="C874" t="s">
        <v>77</v>
      </c>
    </row>
    <row r="875" spans="1:3" x14ac:dyDescent="0.25">
      <c r="A875" t="s">
        <v>2440</v>
      </c>
      <c r="B875" t="s">
        <v>173</v>
      </c>
      <c r="C875" t="s">
        <v>3006</v>
      </c>
    </row>
    <row r="876" spans="1:3" x14ac:dyDescent="0.25">
      <c r="A876" t="s">
        <v>2441</v>
      </c>
      <c r="C876" t="s">
        <v>3006</v>
      </c>
    </row>
    <row r="877" spans="1:3" x14ac:dyDescent="0.25">
      <c r="A877" t="s">
        <v>2442</v>
      </c>
      <c r="B877" t="s">
        <v>46</v>
      </c>
      <c r="C877" t="s">
        <v>46</v>
      </c>
    </row>
    <row r="878" spans="1:3" x14ac:dyDescent="0.25">
      <c r="A878" t="s">
        <v>2443</v>
      </c>
      <c r="B878" t="s">
        <v>46</v>
      </c>
      <c r="C878" t="s">
        <v>46</v>
      </c>
    </row>
    <row r="879" spans="1:3" x14ac:dyDescent="0.25">
      <c r="A879" t="s">
        <v>2444</v>
      </c>
      <c r="B879" t="s">
        <v>77</v>
      </c>
      <c r="C879" t="s">
        <v>77</v>
      </c>
    </row>
    <row r="880" spans="1:3" x14ac:dyDescent="0.25">
      <c r="A880" t="s">
        <v>2445</v>
      </c>
      <c r="B880" t="s">
        <v>77</v>
      </c>
      <c r="C880" t="s">
        <v>77</v>
      </c>
    </row>
    <row r="881" spans="1:3" x14ac:dyDescent="0.25">
      <c r="A881" t="s">
        <v>2446</v>
      </c>
      <c r="B881" t="s">
        <v>173</v>
      </c>
      <c r="C881" t="s">
        <v>3006</v>
      </c>
    </row>
    <row r="882" spans="1:3" x14ac:dyDescent="0.25">
      <c r="A882" t="s">
        <v>2447</v>
      </c>
      <c r="B882" t="s">
        <v>46</v>
      </c>
      <c r="C882" t="s">
        <v>46</v>
      </c>
    </row>
    <row r="883" spans="1:3" x14ac:dyDescent="0.25">
      <c r="A883" t="s">
        <v>2448</v>
      </c>
      <c r="B883" t="s">
        <v>46</v>
      </c>
      <c r="C883" t="s">
        <v>46</v>
      </c>
    </row>
    <row r="884" spans="1:3" x14ac:dyDescent="0.25">
      <c r="A884" t="s">
        <v>2449</v>
      </c>
      <c r="B884" t="s">
        <v>77</v>
      </c>
      <c r="C884" t="s">
        <v>77</v>
      </c>
    </row>
    <row r="885" spans="1:3" x14ac:dyDescent="0.25">
      <c r="A885" t="s">
        <v>2450</v>
      </c>
      <c r="B885" t="s">
        <v>77</v>
      </c>
      <c r="C885" t="s">
        <v>77</v>
      </c>
    </row>
    <row r="886" spans="1:3" x14ac:dyDescent="0.25">
      <c r="A886" t="s">
        <v>2451</v>
      </c>
      <c r="B886" t="s">
        <v>173</v>
      </c>
      <c r="C886" t="s">
        <v>3006</v>
      </c>
    </row>
    <row r="887" spans="1:3" x14ac:dyDescent="0.25">
      <c r="A887" t="s">
        <v>2453</v>
      </c>
      <c r="B887" t="s">
        <v>341</v>
      </c>
      <c r="C887" t="s">
        <v>3004</v>
      </c>
    </row>
    <row r="888" spans="1:3" x14ac:dyDescent="0.25">
      <c r="A888" t="s">
        <v>2454</v>
      </c>
      <c r="B888" t="s">
        <v>341</v>
      </c>
      <c r="C888" t="s">
        <v>3004</v>
      </c>
    </row>
    <row r="889" spans="1:3" x14ac:dyDescent="0.25">
      <c r="A889" t="s">
        <v>2455</v>
      </c>
      <c r="B889" t="s">
        <v>87</v>
      </c>
      <c r="C889" t="s">
        <v>3002</v>
      </c>
    </row>
    <row r="890" spans="1:3" x14ac:dyDescent="0.25">
      <c r="A890" t="s">
        <v>2456</v>
      </c>
      <c r="B890" t="s">
        <v>173</v>
      </c>
      <c r="C890" t="s">
        <v>3006</v>
      </c>
    </row>
    <row r="891" spans="1:3" x14ac:dyDescent="0.25">
      <c r="A891" t="s">
        <v>2457</v>
      </c>
      <c r="B891" t="s">
        <v>173</v>
      </c>
      <c r="C891" t="s">
        <v>3006</v>
      </c>
    </row>
    <row r="892" spans="1:3" x14ac:dyDescent="0.25">
      <c r="A892" t="s">
        <v>2460</v>
      </c>
      <c r="B892" t="s">
        <v>87</v>
      </c>
      <c r="C892" t="s">
        <v>3002</v>
      </c>
    </row>
    <row r="893" spans="1:3" x14ac:dyDescent="0.25">
      <c r="A893" t="s">
        <v>2461</v>
      </c>
      <c r="B893" t="s">
        <v>87</v>
      </c>
      <c r="C893" t="s">
        <v>3002</v>
      </c>
    </row>
    <row r="894" spans="1:3" x14ac:dyDescent="0.25">
      <c r="A894" t="s">
        <v>595</v>
      </c>
      <c r="B894" t="s">
        <v>77</v>
      </c>
      <c r="C894" t="s">
        <v>77</v>
      </c>
    </row>
    <row r="895" spans="1:3" x14ac:dyDescent="0.25">
      <c r="A895" t="s">
        <v>2462</v>
      </c>
      <c r="B895" t="s">
        <v>87</v>
      </c>
      <c r="C895" t="s">
        <v>3002</v>
      </c>
    </row>
    <row r="896" spans="1:3" x14ac:dyDescent="0.25">
      <c r="A896" t="s">
        <v>2379</v>
      </c>
      <c r="B896" t="s">
        <v>341</v>
      </c>
      <c r="C896" t="s">
        <v>3004</v>
      </c>
    </row>
    <row r="897" spans="1:3" x14ac:dyDescent="0.25">
      <c r="A897" t="s">
        <v>2463</v>
      </c>
      <c r="C897" t="s">
        <v>3006</v>
      </c>
    </row>
    <row r="898" spans="1:3" x14ac:dyDescent="0.25">
      <c r="A898" t="s">
        <v>2464</v>
      </c>
      <c r="B898" t="s">
        <v>95</v>
      </c>
      <c r="C898" t="s">
        <v>3003</v>
      </c>
    </row>
    <row r="899" spans="1:3" x14ac:dyDescent="0.25">
      <c r="A899" t="s">
        <v>2465</v>
      </c>
      <c r="B899" t="s">
        <v>16</v>
      </c>
      <c r="C899" t="s">
        <v>3005</v>
      </c>
    </row>
    <row r="900" spans="1:3" x14ac:dyDescent="0.25">
      <c r="A900" t="s">
        <v>2466</v>
      </c>
      <c r="B900" t="s">
        <v>16</v>
      </c>
      <c r="C900" t="s">
        <v>3005</v>
      </c>
    </row>
    <row r="901" spans="1:3" x14ac:dyDescent="0.25">
      <c r="A901" t="s">
        <v>2467</v>
      </c>
      <c r="B901" t="s">
        <v>173</v>
      </c>
      <c r="C901" t="s">
        <v>3006</v>
      </c>
    </row>
    <row r="902" spans="1:3" x14ac:dyDescent="0.25">
      <c r="A902" t="s">
        <v>2470</v>
      </c>
      <c r="B902" t="s">
        <v>173</v>
      </c>
      <c r="C902" t="s">
        <v>3006</v>
      </c>
    </row>
    <row r="903" spans="1:3" x14ac:dyDescent="0.25">
      <c r="A903" t="s">
        <v>2471</v>
      </c>
      <c r="B903" t="s">
        <v>341</v>
      </c>
      <c r="C903" t="s">
        <v>3004</v>
      </c>
    </row>
    <row r="904" spans="1:3" x14ac:dyDescent="0.25">
      <c r="A904" t="s">
        <v>2474</v>
      </c>
      <c r="B904" t="s">
        <v>87</v>
      </c>
      <c r="C904" t="s">
        <v>3002</v>
      </c>
    </row>
    <row r="905" spans="1:3" x14ac:dyDescent="0.25">
      <c r="A905" t="s">
        <v>2475</v>
      </c>
      <c r="B905" t="s">
        <v>87</v>
      </c>
      <c r="C905" t="s">
        <v>3002</v>
      </c>
    </row>
    <row r="906" spans="1:3" x14ac:dyDescent="0.25">
      <c r="A906" t="s">
        <v>2476</v>
      </c>
      <c r="B906" t="s">
        <v>87</v>
      </c>
      <c r="C906" t="s">
        <v>3002</v>
      </c>
    </row>
    <row r="907" spans="1:3" x14ac:dyDescent="0.25">
      <c r="A907" t="s">
        <v>2477</v>
      </c>
      <c r="B907" t="s">
        <v>95</v>
      </c>
      <c r="C907" t="s">
        <v>3003</v>
      </c>
    </row>
    <row r="908" spans="1:3" x14ac:dyDescent="0.25">
      <c r="A908" t="s">
        <v>2028</v>
      </c>
      <c r="B908" t="s">
        <v>87</v>
      </c>
      <c r="C908" t="s">
        <v>3002</v>
      </c>
    </row>
    <row r="909" spans="1:3" x14ac:dyDescent="0.25">
      <c r="A909" t="s">
        <v>2478</v>
      </c>
      <c r="B909" t="s">
        <v>87</v>
      </c>
      <c r="C909" t="s">
        <v>3002</v>
      </c>
    </row>
    <row r="910" spans="1:3" x14ac:dyDescent="0.25">
      <c r="A910" t="s">
        <v>2479</v>
      </c>
      <c r="B910" t="s">
        <v>87</v>
      </c>
      <c r="C910" t="s">
        <v>3002</v>
      </c>
    </row>
    <row r="911" spans="1:3" x14ac:dyDescent="0.25">
      <c r="A911" t="s">
        <v>2483</v>
      </c>
      <c r="B911" t="s">
        <v>87</v>
      </c>
      <c r="C911" t="s">
        <v>3002</v>
      </c>
    </row>
    <row r="912" spans="1:3" x14ac:dyDescent="0.25">
      <c r="A912" t="s">
        <v>2484</v>
      </c>
      <c r="B912" t="s">
        <v>341</v>
      </c>
      <c r="C912" t="s">
        <v>3004</v>
      </c>
    </row>
    <row r="913" spans="1:3" x14ac:dyDescent="0.25">
      <c r="A913" t="s">
        <v>2487</v>
      </c>
      <c r="B913" t="s">
        <v>87</v>
      </c>
      <c r="C913" t="s">
        <v>3002</v>
      </c>
    </row>
    <row r="914" spans="1:3" x14ac:dyDescent="0.25">
      <c r="A914" t="s">
        <v>2488</v>
      </c>
      <c r="B914" t="s">
        <v>87</v>
      </c>
      <c r="C914" t="s">
        <v>3002</v>
      </c>
    </row>
    <row r="915" spans="1:3" x14ac:dyDescent="0.25">
      <c r="A915" t="s">
        <v>2489</v>
      </c>
      <c r="B915" t="s">
        <v>87</v>
      </c>
      <c r="C915" t="s">
        <v>3002</v>
      </c>
    </row>
    <row r="916" spans="1:3" x14ac:dyDescent="0.25">
      <c r="A916" t="s">
        <v>2491</v>
      </c>
      <c r="B916" t="s">
        <v>87</v>
      </c>
      <c r="C916" t="s">
        <v>3002</v>
      </c>
    </row>
    <row r="917" spans="1:3" x14ac:dyDescent="0.25">
      <c r="A917" t="s">
        <v>2493</v>
      </c>
      <c r="B917" t="s">
        <v>87</v>
      </c>
      <c r="C917" t="s">
        <v>3002</v>
      </c>
    </row>
    <row r="918" spans="1:3" x14ac:dyDescent="0.25">
      <c r="A918" t="s">
        <v>2494</v>
      </c>
      <c r="B918" t="s">
        <v>341</v>
      </c>
      <c r="C918" t="s">
        <v>3004</v>
      </c>
    </row>
    <row r="919" spans="1:3" x14ac:dyDescent="0.25">
      <c r="A919" t="s">
        <v>2502</v>
      </c>
      <c r="B919" t="s">
        <v>173</v>
      </c>
      <c r="C919" t="s">
        <v>3006</v>
      </c>
    </row>
    <row r="920" spans="1:3" x14ac:dyDescent="0.25">
      <c r="A920" t="s">
        <v>2159</v>
      </c>
      <c r="B920" t="s">
        <v>341</v>
      </c>
      <c r="C920" t="s">
        <v>3004</v>
      </c>
    </row>
    <row r="921" spans="1:3" x14ac:dyDescent="0.25">
      <c r="A921" t="s">
        <v>2505</v>
      </c>
      <c r="B921" t="s">
        <v>173</v>
      </c>
      <c r="C921" t="s">
        <v>3006</v>
      </c>
    </row>
    <row r="922" spans="1:3" x14ac:dyDescent="0.25">
      <c r="A922" t="s">
        <v>2506</v>
      </c>
      <c r="B922" t="s">
        <v>87</v>
      </c>
      <c r="C922" t="s">
        <v>3002</v>
      </c>
    </row>
    <row r="923" spans="1:3" x14ac:dyDescent="0.25">
      <c r="A923" t="s">
        <v>2507</v>
      </c>
      <c r="B923" t="s">
        <v>87</v>
      </c>
      <c r="C923" t="s">
        <v>3002</v>
      </c>
    </row>
    <row r="924" spans="1:3" x14ac:dyDescent="0.25">
      <c r="A924" t="s">
        <v>2519</v>
      </c>
      <c r="B924" t="s">
        <v>48</v>
      </c>
      <c r="C924" t="s">
        <v>3005</v>
      </c>
    </row>
    <row r="925" spans="1:3" x14ac:dyDescent="0.25">
      <c r="A925" t="s">
        <v>2520</v>
      </c>
      <c r="B925" t="s">
        <v>48</v>
      </c>
      <c r="C925" t="s">
        <v>3005</v>
      </c>
    </row>
    <row r="926" spans="1:3" x14ac:dyDescent="0.25">
      <c r="A926" t="s">
        <v>2522</v>
      </c>
      <c r="B926" t="s">
        <v>16</v>
      </c>
      <c r="C926" t="s">
        <v>3005</v>
      </c>
    </row>
    <row r="927" spans="1:3" x14ac:dyDescent="0.25">
      <c r="A927" t="s">
        <v>2217</v>
      </c>
      <c r="B927" t="s">
        <v>77</v>
      </c>
      <c r="C927" t="s">
        <v>77</v>
      </c>
    </row>
    <row r="928" spans="1:3" x14ac:dyDescent="0.25">
      <c r="A928" t="s">
        <v>2523</v>
      </c>
      <c r="C928" t="s">
        <v>3006</v>
      </c>
    </row>
    <row r="929" spans="1:3" x14ac:dyDescent="0.25">
      <c r="A929" t="s">
        <v>2528</v>
      </c>
      <c r="B929" t="s">
        <v>341</v>
      </c>
      <c r="C929" t="s">
        <v>3004</v>
      </c>
    </row>
    <row r="930" spans="1:3" x14ac:dyDescent="0.25">
      <c r="A930" t="s">
        <v>2534</v>
      </c>
      <c r="B930" t="s">
        <v>173</v>
      </c>
      <c r="C930" t="s">
        <v>3006</v>
      </c>
    </row>
    <row r="931" spans="1:3" x14ac:dyDescent="0.25">
      <c r="A931" t="s">
        <v>2541</v>
      </c>
      <c r="B931" t="s">
        <v>46</v>
      </c>
      <c r="C931" t="s">
        <v>46</v>
      </c>
    </row>
    <row r="932" spans="1:3" x14ac:dyDescent="0.25">
      <c r="A932" t="s">
        <v>2543</v>
      </c>
      <c r="B932" t="s">
        <v>173</v>
      </c>
      <c r="C932" t="s">
        <v>3006</v>
      </c>
    </row>
    <row r="933" spans="1:3" x14ac:dyDescent="0.25">
      <c r="A933" t="s">
        <v>2552</v>
      </c>
      <c r="B933" t="s">
        <v>173</v>
      </c>
      <c r="C933" t="s">
        <v>3006</v>
      </c>
    </row>
    <row r="934" spans="1:3" x14ac:dyDescent="0.25">
      <c r="A934" t="s">
        <v>2555</v>
      </c>
      <c r="C934" t="s">
        <v>3006</v>
      </c>
    </row>
    <row r="935" spans="1:3" x14ac:dyDescent="0.25">
      <c r="A935" t="s">
        <v>2556</v>
      </c>
      <c r="C935" t="s">
        <v>3006</v>
      </c>
    </row>
    <row r="936" spans="1:3" x14ac:dyDescent="0.25">
      <c r="A936" t="s">
        <v>2557</v>
      </c>
      <c r="B936" t="s">
        <v>87</v>
      </c>
      <c r="C936" t="s">
        <v>3002</v>
      </c>
    </row>
    <row r="937" spans="1:3" x14ac:dyDescent="0.25">
      <c r="A937" t="s">
        <v>2558</v>
      </c>
      <c r="B937" t="s">
        <v>173</v>
      </c>
      <c r="C937" t="s">
        <v>3006</v>
      </c>
    </row>
    <row r="938" spans="1:3" x14ac:dyDescent="0.25">
      <c r="A938" t="s">
        <v>2563</v>
      </c>
      <c r="B938" t="s">
        <v>173</v>
      </c>
      <c r="C938" t="s">
        <v>3006</v>
      </c>
    </row>
    <row r="939" spans="1:3" x14ac:dyDescent="0.25">
      <c r="A939" t="s">
        <v>2573</v>
      </c>
      <c r="B939" t="s">
        <v>16</v>
      </c>
      <c r="C939" t="s">
        <v>3005</v>
      </c>
    </row>
    <row r="940" spans="1:3" x14ac:dyDescent="0.25">
      <c r="A940" t="s">
        <v>2574</v>
      </c>
      <c r="B940" t="s">
        <v>341</v>
      </c>
      <c r="C940" t="s">
        <v>3004</v>
      </c>
    </row>
    <row r="941" spans="1:3" x14ac:dyDescent="0.25">
      <c r="A941" t="s">
        <v>2575</v>
      </c>
      <c r="B941" t="s">
        <v>341</v>
      </c>
      <c r="C941" t="s">
        <v>3004</v>
      </c>
    </row>
    <row r="942" spans="1:3" x14ac:dyDescent="0.25">
      <c r="A942" t="s">
        <v>2576</v>
      </c>
      <c r="B942" t="s">
        <v>214</v>
      </c>
      <c r="C942" t="s">
        <v>3008</v>
      </c>
    </row>
    <row r="943" spans="1:3" x14ac:dyDescent="0.25">
      <c r="A943" t="s">
        <v>2577</v>
      </c>
      <c r="B943" t="s">
        <v>95</v>
      </c>
      <c r="C943" t="s">
        <v>3003</v>
      </c>
    </row>
    <row r="944" spans="1:3" x14ac:dyDescent="0.25">
      <c r="A944" t="s">
        <v>2578</v>
      </c>
      <c r="B944" t="s">
        <v>87</v>
      </c>
      <c r="C944" t="s">
        <v>3002</v>
      </c>
    </row>
    <row r="945" spans="1:3" x14ac:dyDescent="0.25">
      <c r="A945" t="s">
        <v>2579</v>
      </c>
      <c r="B945" t="s">
        <v>87</v>
      </c>
      <c r="C945" t="s">
        <v>3002</v>
      </c>
    </row>
    <row r="946" spans="1:3" x14ac:dyDescent="0.25">
      <c r="A946" t="s">
        <v>2580</v>
      </c>
      <c r="B946" t="s">
        <v>173</v>
      </c>
      <c r="C946" t="s">
        <v>3006</v>
      </c>
    </row>
    <row r="947" spans="1:3" x14ac:dyDescent="0.25">
      <c r="A947" t="s">
        <v>2581</v>
      </c>
      <c r="B947" t="s">
        <v>87</v>
      </c>
      <c r="C947" t="s">
        <v>3002</v>
      </c>
    </row>
    <row r="948" spans="1:3" x14ac:dyDescent="0.25">
      <c r="A948" t="s">
        <v>2588</v>
      </c>
      <c r="B948" t="s">
        <v>2217</v>
      </c>
      <c r="C948" t="s">
        <v>3007</v>
      </c>
    </row>
    <row r="949" spans="1:3" x14ac:dyDescent="0.25">
      <c r="A949" t="s">
        <v>1377</v>
      </c>
      <c r="B949" t="s">
        <v>173</v>
      </c>
      <c r="C949" t="s">
        <v>3006</v>
      </c>
    </row>
    <row r="950" spans="1:3" x14ac:dyDescent="0.25">
      <c r="A950" t="s">
        <v>2601</v>
      </c>
      <c r="B950" t="s">
        <v>173</v>
      </c>
      <c r="C950" t="s">
        <v>3006</v>
      </c>
    </row>
    <row r="951" spans="1:3" x14ac:dyDescent="0.25">
      <c r="A951" t="s">
        <v>2603</v>
      </c>
      <c r="B951" t="s">
        <v>16</v>
      </c>
      <c r="C951" t="s">
        <v>3005</v>
      </c>
    </row>
    <row r="952" spans="1:3" x14ac:dyDescent="0.25">
      <c r="A952" t="s">
        <v>2604</v>
      </c>
      <c r="B952" t="s">
        <v>48</v>
      </c>
      <c r="C952" t="s">
        <v>3005</v>
      </c>
    </row>
    <row r="953" spans="1:3" x14ac:dyDescent="0.25">
      <c r="A953" t="s">
        <v>2605</v>
      </c>
      <c r="B953" t="s">
        <v>48</v>
      </c>
      <c r="C953" t="s">
        <v>3005</v>
      </c>
    </row>
    <row r="954" spans="1:3" x14ac:dyDescent="0.25">
      <c r="A954" t="s">
        <v>2609</v>
      </c>
      <c r="B954" t="s">
        <v>341</v>
      </c>
      <c r="C954" t="s">
        <v>3004</v>
      </c>
    </row>
    <row r="955" spans="1:3" x14ac:dyDescent="0.25">
      <c r="A955" t="s">
        <v>2612</v>
      </c>
      <c r="B955" t="s">
        <v>87</v>
      </c>
      <c r="C955" t="s">
        <v>3002</v>
      </c>
    </row>
    <row r="956" spans="1:3" x14ac:dyDescent="0.25">
      <c r="A956" t="s">
        <v>2195</v>
      </c>
      <c r="B956" t="s">
        <v>87</v>
      </c>
      <c r="C956" t="s">
        <v>3002</v>
      </c>
    </row>
    <row r="957" spans="1:3" x14ac:dyDescent="0.25">
      <c r="A957" t="s">
        <v>2625</v>
      </c>
      <c r="B957" t="s">
        <v>20</v>
      </c>
      <c r="C957" t="s">
        <v>20</v>
      </c>
    </row>
    <row r="958" spans="1:3" x14ac:dyDescent="0.25">
      <c r="A958" t="s">
        <v>2323</v>
      </c>
      <c r="B958" t="s">
        <v>173</v>
      </c>
      <c r="C958" t="s">
        <v>3006</v>
      </c>
    </row>
    <row r="959" spans="1:3" x14ac:dyDescent="0.25">
      <c r="A959" t="s">
        <v>2629</v>
      </c>
      <c r="B959" t="s">
        <v>87</v>
      </c>
      <c r="C959" t="s">
        <v>3002</v>
      </c>
    </row>
    <row r="960" spans="1:3" x14ac:dyDescent="0.25">
      <c r="A960" t="s">
        <v>2632</v>
      </c>
      <c r="B960" t="s">
        <v>173</v>
      </c>
      <c r="C960" t="s">
        <v>3006</v>
      </c>
    </row>
    <row r="961" spans="1:3" x14ac:dyDescent="0.25">
      <c r="A961" t="s">
        <v>2633</v>
      </c>
      <c r="B961" t="s">
        <v>173</v>
      </c>
      <c r="C961" t="s">
        <v>3006</v>
      </c>
    </row>
    <row r="962" spans="1:3" x14ac:dyDescent="0.25">
      <c r="A962" t="s">
        <v>2634</v>
      </c>
      <c r="B962" t="s">
        <v>173</v>
      </c>
      <c r="C962" t="s">
        <v>3006</v>
      </c>
    </row>
    <row r="963" spans="1:3" x14ac:dyDescent="0.25">
      <c r="A963" t="s">
        <v>2641</v>
      </c>
      <c r="B963" t="s">
        <v>173</v>
      </c>
      <c r="C963" t="s">
        <v>3006</v>
      </c>
    </row>
    <row r="964" spans="1:3" x14ac:dyDescent="0.25">
      <c r="A964" t="s">
        <v>2528</v>
      </c>
      <c r="B964" t="s">
        <v>87</v>
      </c>
      <c r="C964" t="s">
        <v>3002</v>
      </c>
    </row>
    <row r="965" spans="1:3" x14ac:dyDescent="0.25">
      <c r="A965" t="s">
        <v>2649</v>
      </c>
      <c r="B965" t="s">
        <v>87</v>
      </c>
      <c r="C965" t="s">
        <v>3002</v>
      </c>
    </row>
    <row r="966" spans="1:3" x14ac:dyDescent="0.25">
      <c r="A966" t="s">
        <v>2650</v>
      </c>
      <c r="B966" t="s">
        <v>341</v>
      </c>
      <c r="C966" t="s">
        <v>3004</v>
      </c>
    </row>
    <row r="967" spans="1:3" x14ac:dyDescent="0.25">
      <c r="A967" t="s">
        <v>2651</v>
      </c>
      <c r="C967" t="s">
        <v>3006</v>
      </c>
    </row>
    <row r="968" spans="1:3" x14ac:dyDescent="0.25">
      <c r="A968" t="s">
        <v>2652</v>
      </c>
      <c r="B968" t="s">
        <v>87</v>
      </c>
      <c r="C968" t="s">
        <v>3002</v>
      </c>
    </row>
    <row r="969" spans="1:3" x14ac:dyDescent="0.25">
      <c r="A969" t="s">
        <v>2653</v>
      </c>
      <c r="B969" t="s">
        <v>87</v>
      </c>
      <c r="C969" t="s">
        <v>3002</v>
      </c>
    </row>
    <row r="970" spans="1:3" x14ac:dyDescent="0.25">
      <c r="A970" t="s">
        <v>2659</v>
      </c>
      <c r="B970" t="s">
        <v>87</v>
      </c>
      <c r="C970" t="s">
        <v>3002</v>
      </c>
    </row>
    <row r="971" spans="1:3" x14ac:dyDescent="0.25">
      <c r="A971" t="s">
        <v>2660</v>
      </c>
      <c r="B971" t="s">
        <v>87</v>
      </c>
      <c r="C971" t="s">
        <v>3002</v>
      </c>
    </row>
    <row r="972" spans="1:3" x14ac:dyDescent="0.25">
      <c r="A972" t="s">
        <v>1287</v>
      </c>
      <c r="B972" t="s">
        <v>341</v>
      </c>
      <c r="C972" t="s">
        <v>3004</v>
      </c>
    </row>
    <row r="973" spans="1:3" x14ac:dyDescent="0.25">
      <c r="A973" t="s">
        <v>2662</v>
      </c>
      <c r="B973" t="s">
        <v>87</v>
      </c>
      <c r="C973" t="s">
        <v>3002</v>
      </c>
    </row>
    <row r="974" spans="1:3" x14ac:dyDescent="0.25">
      <c r="A974" t="s">
        <v>2217</v>
      </c>
      <c r="C974" t="s">
        <v>3006</v>
      </c>
    </row>
    <row r="975" spans="1:3" x14ac:dyDescent="0.25">
      <c r="A975" t="s">
        <v>2390</v>
      </c>
      <c r="B975" t="s">
        <v>341</v>
      </c>
      <c r="C975" t="s">
        <v>3004</v>
      </c>
    </row>
    <row r="976" spans="1:3" x14ac:dyDescent="0.25">
      <c r="A976" t="s">
        <v>2671</v>
      </c>
      <c r="B976" t="s">
        <v>87</v>
      </c>
      <c r="C976" t="s">
        <v>3002</v>
      </c>
    </row>
    <row r="977" spans="1:3" x14ac:dyDescent="0.25">
      <c r="A977" t="s">
        <v>2676</v>
      </c>
      <c r="B977" t="s">
        <v>341</v>
      </c>
      <c r="C977" t="s">
        <v>3004</v>
      </c>
    </row>
    <row r="978" spans="1:3" x14ac:dyDescent="0.25">
      <c r="A978" t="s">
        <v>2677</v>
      </c>
      <c r="B978" t="s">
        <v>341</v>
      </c>
      <c r="C978" t="s">
        <v>3004</v>
      </c>
    </row>
    <row r="979" spans="1:3" x14ac:dyDescent="0.25">
      <c r="A979" t="s">
        <v>2678</v>
      </c>
      <c r="B979" t="s">
        <v>341</v>
      </c>
      <c r="C979" t="s">
        <v>3004</v>
      </c>
    </row>
    <row r="980" spans="1:3" x14ac:dyDescent="0.25">
      <c r="A980" t="s">
        <v>2679</v>
      </c>
      <c r="B980" t="s">
        <v>341</v>
      </c>
      <c r="C980" t="s">
        <v>3004</v>
      </c>
    </row>
    <row r="981" spans="1:3" x14ac:dyDescent="0.25">
      <c r="A981" t="s">
        <v>2680</v>
      </c>
      <c r="B981" t="s">
        <v>87</v>
      </c>
      <c r="C981" t="s">
        <v>3002</v>
      </c>
    </row>
    <row r="982" spans="1:3" x14ac:dyDescent="0.25">
      <c r="A982" t="s">
        <v>2681</v>
      </c>
      <c r="B982" t="s">
        <v>87</v>
      </c>
      <c r="C982" t="s">
        <v>3002</v>
      </c>
    </row>
    <row r="983" spans="1:3" x14ac:dyDescent="0.25">
      <c r="A983" t="s">
        <v>2682</v>
      </c>
      <c r="B983" t="s">
        <v>341</v>
      </c>
      <c r="C983" t="s">
        <v>3004</v>
      </c>
    </row>
    <row r="984" spans="1:3" x14ac:dyDescent="0.25">
      <c r="A984" t="s">
        <v>2688</v>
      </c>
      <c r="B984" t="s">
        <v>77</v>
      </c>
      <c r="C984" t="s">
        <v>77</v>
      </c>
    </row>
    <row r="985" spans="1:3" x14ac:dyDescent="0.25">
      <c r="A985" t="s">
        <v>2690</v>
      </c>
      <c r="B985" t="s">
        <v>173</v>
      </c>
      <c r="C985" t="s">
        <v>3006</v>
      </c>
    </row>
    <row r="986" spans="1:3" x14ac:dyDescent="0.25">
      <c r="A986" t="s">
        <v>2693</v>
      </c>
      <c r="B986" t="s">
        <v>341</v>
      </c>
      <c r="C986" t="s">
        <v>3004</v>
      </c>
    </row>
    <row r="987" spans="1:3" x14ac:dyDescent="0.25">
      <c r="A987" t="s">
        <v>2701</v>
      </c>
      <c r="B987" t="s">
        <v>87</v>
      </c>
      <c r="C987" t="s">
        <v>3002</v>
      </c>
    </row>
    <row r="988" spans="1:3" x14ac:dyDescent="0.25">
      <c r="A988" t="s">
        <v>2702</v>
      </c>
      <c r="B988" t="s">
        <v>341</v>
      </c>
      <c r="C988" t="s">
        <v>3004</v>
      </c>
    </row>
    <row r="989" spans="1:3" x14ac:dyDescent="0.25">
      <c r="A989" t="s">
        <v>2706</v>
      </c>
      <c r="C989" t="s">
        <v>3006</v>
      </c>
    </row>
    <row r="990" spans="1:3" x14ac:dyDescent="0.25">
      <c r="A990" t="s">
        <v>2707</v>
      </c>
      <c r="B990" t="s">
        <v>341</v>
      </c>
      <c r="C990" t="s">
        <v>3004</v>
      </c>
    </row>
    <row r="991" spans="1:3" x14ac:dyDescent="0.25">
      <c r="A991" t="s">
        <v>2711</v>
      </c>
      <c r="B991" t="s">
        <v>341</v>
      </c>
      <c r="C991" t="s">
        <v>3004</v>
      </c>
    </row>
    <row r="992" spans="1:3" x14ac:dyDescent="0.25">
      <c r="A992" t="s">
        <v>2712</v>
      </c>
      <c r="B992" t="s">
        <v>173</v>
      </c>
      <c r="C992" t="s">
        <v>3006</v>
      </c>
    </row>
    <row r="993" spans="1:3" x14ac:dyDescent="0.25">
      <c r="A993" t="s">
        <v>2722</v>
      </c>
      <c r="B993" t="s">
        <v>173</v>
      </c>
      <c r="C993" t="s">
        <v>3006</v>
      </c>
    </row>
    <row r="994" spans="1:3" x14ac:dyDescent="0.25">
      <c r="A994" t="s">
        <v>2723</v>
      </c>
      <c r="B994" t="s">
        <v>173</v>
      </c>
      <c r="C994" t="s">
        <v>3006</v>
      </c>
    </row>
    <row r="995" spans="1:3" x14ac:dyDescent="0.25">
      <c r="A995" t="s">
        <v>2724</v>
      </c>
      <c r="B995" t="s">
        <v>173</v>
      </c>
      <c r="C995" t="s">
        <v>3006</v>
      </c>
    </row>
    <row r="996" spans="1:3" x14ac:dyDescent="0.25">
      <c r="A996" t="s">
        <v>2725</v>
      </c>
      <c r="B996" t="s">
        <v>173</v>
      </c>
      <c r="C996" t="s">
        <v>3006</v>
      </c>
    </row>
    <row r="997" spans="1:3" x14ac:dyDescent="0.25">
      <c r="A997" t="s">
        <v>1462</v>
      </c>
      <c r="B997" t="s">
        <v>341</v>
      </c>
      <c r="C997" t="s">
        <v>3004</v>
      </c>
    </row>
    <row r="998" spans="1:3" x14ac:dyDescent="0.25">
      <c r="A998" t="s">
        <v>2731</v>
      </c>
      <c r="B998" t="s">
        <v>173</v>
      </c>
      <c r="C998" t="s">
        <v>3006</v>
      </c>
    </row>
    <row r="999" spans="1:3" x14ac:dyDescent="0.25">
      <c r="A999" t="s">
        <v>2734</v>
      </c>
      <c r="B999" t="s">
        <v>87</v>
      </c>
      <c r="C999" t="s">
        <v>3002</v>
      </c>
    </row>
    <row r="1000" spans="1:3" x14ac:dyDescent="0.25">
      <c r="A1000" t="s">
        <v>2735</v>
      </c>
      <c r="B1000" t="s">
        <v>87</v>
      </c>
      <c r="C1000" t="s">
        <v>3002</v>
      </c>
    </row>
    <row r="1001" spans="1:3" x14ac:dyDescent="0.25">
      <c r="A1001" t="s">
        <v>2736</v>
      </c>
      <c r="B1001" t="s">
        <v>95</v>
      </c>
      <c r="C1001" t="s">
        <v>3003</v>
      </c>
    </row>
    <row r="1002" spans="1:3" x14ac:dyDescent="0.25">
      <c r="A1002" t="s">
        <v>2737</v>
      </c>
      <c r="B1002" t="s">
        <v>46</v>
      </c>
      <c r="C1002" t="s">
        <v>46</v>
      </c>
    </row>
    <row r="1003" spans="1:3" x14ac:dyDescent="0.25">
      <c r="A1003" t="s">
        <v>2738</v>
      </c>
      <c r="B1003" t="s">
        <v>341</v>
      </c>
      <c r="C1003" t="s">
        <v>3004</v>
      </c>
    </row>
    <row r="1004" spans="1:3" x14ac:dyDescent="0.25">
      <c r="A1004" t="s">
        <v>2745</v>
      </c>
      <c r="B1004" t="s">
        <v>173</v>
      </c>
      <c r="C1004" t="s">
        <v>3006</v>
      </c>
    </row>
    <row r="1005" spans="1:3" x14ac:dyDescent="0.25">
      <c r="A1005" t="s">
        <v>2746</v>
      </c>
      <c r="B1005" t="s">
        <v>173</v>
      </c>
      <c r="C1005" t="s">
        <v>3006</v>
      </c>
    </row>
    <row r="1006" spans="1:3" x14ac:dyDescent="0.25">
      <c r="A1006" t="s">
        <v>2748</v>
      </c>
      <c r="B1006" t="s">
        <v>173</v>
      </c>
      <c r="C1006" t="s">
        <v>3006</v>
      </c>
    </row>
    <row r="1007" spans="1:3" x14ac:dyDescent="0.25">
      <c r="A1007" t="s">
        <v>2754</v>
      </c>
      <c r="B1007" t="s">
        <v>87</v>
      </c>
      <c r="C1007" t="s">
        <v>3002</v>
      </c>
    </row>
    <row r="1008" spans="1:3" x14ac:dyDescent="0.25">
      <c r="A1008" t="s">
        <v>2755</v>
      </c>
      <c r="C1008" t="s">
        <v>3006</v>
      </c>
    </row>
    <row r="1009" spans="1:3" x14ac:dyDescent="0.25">
      <c r="A1009" t="s">
        <v>2756</v>
      </c>
      <c r="B1009" t="s">
        <v>173</v>
      </c>
      <c r="C1009" t="s">
        <v>3006</v>
      </c>
    </row>
    <row r="1010" spans="1:3" x14ac:dyDescent="0.25">
      <c r="A1010" t="s">
        <v>2757</v>
      </c>
      <c r="B1010" t="s">
        <v>173</v>
      </c>
      <c r="C1010" t="s">
        <v>3006</v>
      </c>
    </row>
    <row r="1011" spans="1:3" x14ac:dyDescent="0.25">
      <c r="A1011" t="s">
        <v>2758</v>
      </c>
      <c r="B1011" t="s">
        <v>173</v>
      </c>
      <c r="C1011" t="s">
        <v>3006</v>
      </c>
    </row>
    <row r="1012" spans="1:3" x14ac:dyDescent="0.25">
      <c r="A1012" t="s">
        <v>2761</v>
      </c>
      <c r="B1012" t="s">
        <v>173</v>
      </c>
      <c r="C1012" t="s">
        <v>3006</v>
      </c>
    </row>
    <row r="1013" spans="1:3" x14ac:dyDescent="0.25">
      <c r="A1013" t="s">
        <v>2762</v>
      </c>
      <c r="B1013" t="s">
        <v>87</v>
      </c>
      <c r="C1013" t="s">
        <v>3002</v>
      </c>
    </row>
    <row r="1014" spans="1:3" x14ac:dyDescent="0.25">
      <c r="A1014" t="s">
        <v>2763</v>
      </c>
      <c r="B1014" t="s">
        <v>87</v>
      </c>
      <c r="C1014" t="s">
        <v>3002</v>
      </c>
    </row>
    <row r="1015" spans="1:3" x14ac:dyDescent="0.25">
      <c r="A1015" t="s">
        <v>2764</v>
      </c>
      <c r="B1015" t="s">
        <v>87</v>
      </c>
      <c r="C1015" t="s">
        <v>3002</v>
      </c>
    </row>
    <row r="1016" spans="1:3" x14ac:dyDescent="0.25">
      <c r="A1016" t="s">
        <v>2765</v>
      </c>
      <c r="B1016" t="s">
        <v>341</v>
      </c>
      <c r="C1016" t="s">
        <v>3004</v>
      </c>
    </row>
    <row r="1017" spans="1:3" x14ac:dyDescent="0.25">
      <c r="A1017" t="s">
        <v>2766</v>
      </c>
      <c r="B1017" t="s">
        <v>173</v>
      </c>
      <c r="C1017" t="s">
        <v>3006</v>
      </c>
    </row>
    <row r="1018" spans="1:3" x14ac:dyDescent="0.25">
      <c r="A1018" t="s">
        <v>2767</v>
      </c>
      <c r="B1018" t="s">
        <v>173</v>
      </c>
      <c r="C1018" t="s">
        <v>3006</v>
      </c>
    </row>
    <row r="1019" spans="1:3" x14ac:dyDescent="0.25">
      <c r="A1019" t="s">
        <v>519</v>
      </c>
      <c r="B1019" t="s">
        <v>341</v>
      </c>
      <c r="C1019" t="s">
        <v>3004</v>
      </c>
    </row>
    <row r="1020" spans="1:3" x14ac:dyDescent="0.25">
      <c r="A1020" t="s">
        <v>2777</v>
      </c>
      <c r="B1020" t="s">
        <v>173</v>
      </c>
      <c r="C1020" t="s">
        <v>3006</v>
      </c>
    </row>
    <row r="1021" spans="1:3" x14ac:dyDescent="0.25">
      <c r="A1021" t="s">
        <v>2778</v>
      </c>
      <c r="B1021" t="s">
        <v>173</v>
      </c>
      <c r="C1021" t="s">
        <v>3006</v>
      </c>
    </row>
    <row r="1022" spans="1:3" x14ac:dyDescent="0.25">
      <c r="A1022" t="s">
        <v>2782</v>
      </c>
      <c r="B1022" t="s">
        <v>341</v>
      </c>
      <c r="C1022" t="s">
        <v>3004</v>
      </c>
    </row>
    <row r="1023" spans="1:3" x14ac:dyDescent="0.25">
      <c r="A1023" t="s">
        <v>2784</v>
      </c>
      <c r="B1023" t="s">
        <v>87</v>
      </c>
      <c r="C1023" t="s">
        <v>3002</v>
      </c>
    </row>
    <row r="1024" spans="1:3" x14ac:dyDescent="0.25">
      <c r="A1024" t="s">
        <v>2792</v>
      </c>
      <c r="B1024" t="s">
        <v>341</v>
      </c>
      <c r="C1024" t="s">
        <v>3004</v>
      </c>
    </row>
    <row r="1025" spans="1:3" x14ac:dyDescent="0.25">
      <c r="A1025" t="s">
        <v>2793</v>
      </c>
      <c r="B1025" t="s">
        <v>341</v>
      </c>
      <c r="C1025" t="s">
        <v>3004</v>
      </c>
    </row>
    <row r="1026" spans="1:3" x14ac:dyDescent="0.25">
      <c r="A1026" t="s">
        <v>2795</v>
      </c>
      <c r="B1026" t="s">
        <v>341</v>
      </c>
      <c r="C1026" t="s">
        <v>3004</v>
      </c>
    </row>
    <row r="1027" spans="1:3" x14ac:dyDescent="0.25">
      <c r="A1027" t="s">
        <v>2737</v>
      </c>
      <c r="B1027" t="s">
        <v>173</v>
      </c>
      <c r="C1027" t="s">
        <v>3006</v>
      </c>
    </row>
    <row r="1028" spans="1:3" x14ac:dyDescent="0.25">
      <c r="A1028" t="s">
        <v>2801</v>
      </c>
      <c r="B1028" t="s">
        <v>87</v>
      </c>
      <c r="C1028" t="s">
        <v>3002</v>
      </c>
    </row>
    <row r="1029" spans="1:3" x14ac:dyDescent="0.25">
      <c r="A1029" t="s">
        <v>2802</v>
      </c>
      <c r="B1029" t="s">
        <v>87</v>
      </c>
      <c r="C1029" t="s">
        <v>3002</v>
      </c>
    </row>
    <row r="1030" spans="1:3" x14ac:dyDescent="0.25">
      <c r="A1030" t="s">
        <v>1491</v>
      </c>
      <c r="B1030" t="s">
        <v>341</v>
      </c>
      <c r="C1030" t="s">
        <v>3004</v>
      </c>
    </row>
    <row r="1031" spans="1:3" x14ac:dyDescent="0.25">
      <c r="A1031" t="s">
        <v>2810</v>
      </c>
      <c r="B1031" t="s">
        <v>87</v>
      </c>
      <c r="C1031" t="s">
        <v>3002</v>
      </c>
    </row>
    <row r="1032" spans="1:3" x14ac:dyDescent="0.25">
      <c r="A1032" t="s">
        <v>2811</v>
      </c>
      <c r="B1032" t="s">
        <v>87</v>
      </c>
      <c r="C1032" t="s">
        <v>3002</v>
      </c>
    </row>
    <row r="1033" spans="1:3" x14ac:dyDescent="0.25">
      <c r="A1033" t="s">
        <v>2813</v>
      </c>
      <c r="B1033" t="s">
        <v>87</v>
      </c>
      <c r="C1033" t="s">
        <v>3002</v>
      </c>
    </row>
    <row r="1034" spans="1:3" x14ac:dyDescent="0.25">
      <c r="A1034" t="s">
        <v>2820</v>
      </c>
      <c r="B1034" t="s">
        <v>173</v>
      </c>
      <c r="C1034" t="s">
        <v>3006</v>
      </c>
    </row>
    <row r="1035" spans="1:3" x14ac:dyDescent="0.25">
      <c r="A1035" t="s">
        <v>2821</v>
      </c>
      <c r="B1035" t="s">
        <v>173</v>
      </c>
      <c r="C1035" t="s">
        <v>3006</v>
      </c>
    </row>
    <row r="1036" spans="1:3" x14ac:dyDescent="0.25">
      <c r="A1036" t="s">
        <v>2827</v>
      </c>
      <c r="B1036" t="s">
        <v>173</v>
      </c>
      <c r="C1036" t="s">
        <v>3006</v>
      </c>
    </row>
    <row r="1037" spans="1:3" x14ac:dyDescent="0.25">
      <c r="A1037" t="s">
        <v>2836</v>
      </c>
      <c r="B1037" t="s">
        <v>16</v>
      </c>
      <c r="C1037" t="s">
        <v>3005</v>
      </c>
    </row>
    <row r="1038" spans="1:3" x14ac:dyDescent="0.25">
      <c r="A1038" t="s">
        <v>2841</v>
      </c>
      <c r="B1038" t="s">
        <v>173</v>
      </c>
      <c r="C1038" t="s">
        <v>3006</v>
      </c>
    </row>
    <row r="1039" spans="1:3" x14ac:dyDescent="0.25">
      <c r="A1039" t="s">
        <v>2844</v>
      </c>
      <c r="B1039" t="s">
        <v>16</v>
      </c>
      <c r="C1039" t="s">
        <v>3005</v>
      </c>
    </row>
    <row r="1040" spans="1:3" x14ac:dyDescent="0.25">
      <c r="A1040" t="s">
        <v>2845</v>
      </c>
      <c r="B1040" t="s">
        <v>16</v>
      </c>
      <c r="C1040" t="s">
        <v>3005</v>
      </c>
    </row>
    <row r="1041" spans="1:3" x14ac:dyDescent="0.25">
      <c r="A1041" t="s">
        <v>2851</v>
      </c>
      <c r="B1041" t="s">
        <v>87</v>
      </c>
      <c r="C1041" t="s">
        <v>3002</v>
      </c>
    </row>
    <row r="1042" spans="1:3" x14ac:dyDescent="0.25">
      <c r="A1042" t="s">
        <v>2853</v>
      </c>
      <c r="B1042" t="s">
        <v>341</v>
      </c>
      <c r="C1042" t="s">
        <v>3004</v>
      </c>
    </row>
    <row r="1043" spans="1:3" x14ac:dyDescent="0.25">
      <c r="A1043" t="s">
        <v>2854</v>
      </c>
      <c r="B1043" t="s">
        <v>341</v>
      </c>
      <c r="C1043" t="s">
        <v>3004</v>
      </c>
    </row>
    <row r="1044" spans="1:3" x14ac:dyDescent="0.25">
      <c r="A1044" t="s">
        <v>2861</v>
      </c>
      <c r="C1044" t="s">
        <v>3006</v>
      </c>
    </row>
    <row r="1045" spans="1:3" x14ac:dyDescent="0.25">
      <c r="A1045" t="s">
        <v>2862</v>
      </c>
      <c r="C1045" t="s">
        <v>3006</v>
      </c>
    </row>
    <row r="1046" spans="1:3" x14ac:dyDescent="0.25">
      <c r="A1046" t="s">
        <v>2863</v>
      </c>
      <c r="B1046" t="s">
        <v>16</v>
      </c>
      <c r="C1046" t="s">
        <v>3005</v>
      </c>
    </row>
    <row r="1047" spans="1:3" x14ac:dyDescent="0.25">
      <c r="A1047" t="s">
        <v>2866</v>
      </c>
      <c r="B1047" t="s">
        <v>95</v>
      </c>
      <c r="C1047" t="s">
        <v>3003</v>
      </c>
    </row>
    <row r="1048" spans="1:3" x14ac:dyDescent="0.25">
      <c r="A1048" t="s">
        <v>2869</v>
      </c>
      <c r="B1048" t="s">
        <v>173</v>
      </c>
      <c r="C1048" t="s">
        <v>3006</v>
      </c>
    </row>
    <row r="1049" spans="1:3" x14ac:dyDescent="0.25">
      <c r="A1049" t="s">
        <v>2870</v>
      </c>
      <c r="B1049" t="s">
        <v>173</v>
      </c>
      <c r="C1049" t="s">
        <v>3006</v>
      </c>
    </row>
    <row r="1050" spans="1:3" x14ac:dyDescent="0.25">
      <c r="A1050" t="s">
        <v>2871</v>
      </c>
      <c r="B1050" t="s">
        <v>173</v>
      </c>
      <c r="C1050" t="s">
        <v>3006</v>
      </c>
    </row>
    <row r="1051" spans="1:3" x14ac:dyDescent="0.25">
      <c r="A1051" t="s">
        <v>2872</v>
      </c>
      <c r="B1051" t="s">
        <v>173</v>
      </c>
      <c r="C1051" t="s">
        <v>3006</v>
      </c>
    </row>
    <row r="1052" spans="1:3" x14ac:dyDescent="0.25">
      <c r="A1052" t="s">
        <v>2873</v>
      </c>
      <c r="B1052" t="s">
        <v>173</v>
      </c>
      <c r="C1052" t="s">
        <v>3006</v>
      </c>
    </row>
    <row r="1053" spans="1:3" x14ac:dyDescent="0.25">
      <c r="A1053" t="s">
        <v>2874</v>
      </c>
      <c r="B1053" t="s">
        <v>87</v>
      </c>
      <c r="C1053" t="s">
        <v>3002</v>
      </c>
    </row>
    <row r="1054" spans="1:3" x14ac:dyDescent="0.25">
      <c r="A1054" t="s">
        <v>2875</v>
      </c>
      <c r="B1054" t="s">
        <v>87</v>
      </c>
      <c r="C1054" t="s">
        <v>3002</v>
      </c>
    </row>
    <row r="1055" spans="1:3" x14ac:dyDescent="0.25">
      <c r="A1055" t="s">
        <v>1782</v>
      </c>
      <c r="B1055" t="s">
        <v>173</v>
      </c>
      <c r="C1055" t="s">
        <v>3006</v>
      </c>
    </row>
    <row r="1056" spans="1:3" x14ac:dyDescent="0.25">
      <c r="A1056" t="s">
        <v>2876</v>
      </c>
      <c r="B1056" t="s">
        <v>16</v>
      </c>
      <c r="C1056" t="s">
        <v>3005</v>
      </c>
    </row>
    <row r="1057" spans="1:3" x14ac:dyDescent="0.25">
      <c r="A1057" t="s">
        <v>2877</v>
      </c>
      <c r="B1057" t="s">
        <v>341</v>
      </c>
      <c r="C1057" t="s">
        <v>3004</v>
      </c>
    </row>
    <row r="1058" spans="1:3" x14ac:dyDescent="0.25">
      <c r="A1058" t="s">
        <v>2880</v>
      </c>
      <c r="B1058" t="s">
        <v>341</v>
      </c>
      <c r="C1058" t="s">
        <v>3004</v>
      </c>
    </row>
    <row r="1059" spans="1:3" x14ac:dyDescent="0.25">
      <c r="A1059" t="s">
        <v>2887</v>
      </c>
      <c r="B1059" t="s">
        <v>95</v>
      </c>
      <c r="C1059" t="s">
        <v>3003</v>
      </c>
    </row>
    <row r="1060" spans="1:3" x14ac:dyDescent="0.25">
      <c r="A1060" t="s">
        <v>2893</v>
      </c>
      <c r="B1060" t="s">
        <v>87</v>
      </c>
      <c r="C1060" t="s">
        <v>3002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33"/>
  <sheetViews>
    <sheetView tabSelected="1" zoomScale="115" zoomScaleNormal="115" workbookViewId="0">
      <selection activeCell="C2" sqref="C2"/>
    </sheetView>
  </sheetViews>
  <sheetFormatPr defaultRowHeight="15" x14ac:dyDescent="0.25"/>
  <cols>
    <col min="1" max="1" width="13.140625" customWidth="1"/>
    <col min="2" max="2" width="14.5703125" customWidth="1"/>
    <col min="3" max="3" width="9" customWidth="1"/>
    <col min="4" max="4" width="9.42578125" customWidth="1"/>
    <col min="5" max="5" width="12.85546875" customWidth="1"/>
    <col min="6" max="6" width="12.28515625" bestFit="1" customWidth="1"/>
    <col min="7" max="7" width="9.85546875" bestFit="1" customWidth="1"/>
    <col min="8" max="8" width="16.28515625" bestFit="1" customWidth="1"/>
    <col min="9" max="9" width="7.7109375" customWidth="1"/>
    <col min="10" max="10" width="13.42578125" bestFit="1" customWidth="1"/>
    <col min="11" max="11" width="12.42578125" bestFit="1" customWidth="1"/>
    <col min="12" max="12" width="7.5703125" customWidth="1"/>
    <col min="13" max="13" width="8" bestFit="1" customWidth="1"/>
    <col min="14" max="14" width="11.5703125" bestFit="1" customWidth="1"/>
    <col min="15" max="15" width="12.140625" bestFit="1" customWidth="1"/>
    <col min="16" max="16" width="7.42578125" customWidth="1"/>
    <col min="18" max="18" width="16.28515625" bestFit="1" customWidth="1"/>
    <col min="19" max="19" width="13.140625" bestFit="1" customWidth="1"/>
    <col min="21" max="21" width="16.140625" bestFit="1" customWidth="1"/>
    <col min="23" max="23" width="8.5703125" customWidth="1"/>
    <col min="26" max="26" width="7.7109375" bestFit="1" customWidth="1"/>
    <col min="27" max="27" width="12.42578125" bestFit="1" customWidth="1"/>
    <col min="28" max="28" width="13.140625" bestFit="1" customWidth="1"/>
    <col min="29" max="29" width="16.28515625" bestFit="1" customWidth="1"/>
    <col min="30" max="30" width="16.140625" bestFit="1" customWidth="1"/>
    <col min="31" max="31" width="13.42578125" bestFit="1" customWidth="1"/>
    <col min="32" max="32" width="9.7109375" bestFit="1" customWidth="1"/>
    <col min="33" max="33" width="11.5703125" bestFit="1" customWidth="1"/>
    <col min="34" max="34" width="12.140625" bestFit="1" customWidth="1"/>
  </cols>
  <sheetData>
    <row r="1" spans="1:19" x14ac:dyDescent="0.25">
      <c r="A1" t="s">
        <v>0</v>
      </c>
      <c r="B1" t="s">
        <v>1</v>
      </c>
      <c r="C1" t="s">
        <v>48</v>
      </c>
      <c r="D1" t="s">
        <v>7</v>
      </c>
      <c r="E1" t="s">
        <v>3012</v>
      </c>
      <c r="F1" t="s">
        <v>5</v>
      </c>
      <c r="G1" t="s">
        <v>6</v>
      </c>
      <c r="H1" t="s">
        <v>4</v>
      </c>
      <c r="I1" t="s">
        <v>10</v>
      </c>
      <c r="J1" t="s">
        <v>16</v>
      </c>
      <c r="K1" t="s">
        <v>11</v>
      </c>
      <c r="L1" t="s">
        <v>3</v>
      </c>
      <c r="M1" t="s">
        <v>8</v>
      </c>
      <c r="N1" t="s">
        <v>17</v>
      </c>
      <c r="O1" t="s">
        <v>18</v>
      </c>
      <c r="P1" t="s">
        <v>2</v>
      </c>
      <c r="Q1" t="s">
        <v>15</v>
      </c>
      <c r="R1" t="s">
        <v>14</v>
      </c>
      <c r="S1" t="s">
        <v>12</v>
      </c>
    </row>
    <row r="2" spans="1:19" x14ac:dyDescent="0.25">
      <c r="A2" t="s">
        <v>19</v>
      </c>
      <c r="B2" t="s">
        <v>20</v>
      </c>
      <c r="C2" t="str">
        <f>IF(ISBLANK(Table4[[#This Row],[Region]]),Table4[[#This Row],[Node Type]],Table4[[#This Row],[Region]])</f>
        <v/>
      </c>
      <c r="E2" t="str">
        <f>IF(ISERROR(SEARCH("Node",Table4[[#This Row],[Type]])),IF(ISERROR(SEARCH("Iliac",Table4[[#This Row],[Type]])),"",Table4[[#This Row],[Type]]),Table4[[#This Row],[Type]])</f>
        <v/>
      </c>
      <c r="G2" t="s">
        <v>21</v>
      </c>
      <c r="L2" t="s">
        <v>20</v>
      </c>
    </row>
    <row r="3" spans="1:19" x14ac:dyDescent="0.25">
      <c r="A3" t="s">
        <v>22</v>
      </c>
      <c r="B3" t="s">
        <v>20</v>
      </c>
      <c r="C3" t="str">
        <f>IF(ISBLANK(Table4[[#This Row],[Region]]),Table4[[#This Row],[Node Type]],Table4[[#This Row],[Region]])</f>
        <v/>
      </c>
      <c r="E3" t="str">
        <f>IF(ISERROR(SEARCH("Node",Table4[[#This Row],[Type]])),IF(ISERROR(SEARCH("Iliac",Table4[[#This Row],[Type]])),"",Table4[[#This Row],[Type]]),Table4[[#This Row],[Type]])</f>
        <v/>
      </c>
      <c r="G3" t="s">
        <v>23</v>
      </c>
      <c r="L3" t="s">
        <v>20</v>
      </c>
    </row>
    <row r="4" spans="1:19" x14ac:dyDescent="0.25">
      <c r="A4" t="s">
        <v>24</v>
      </c>
      <c r="B4" t="s">
        <v>20</v>
      </c>
      <c r="C4" t="str">
        <f>IF(ISBLANK(Table4[[#This Row],[Region]]),Table4[[#This Row],[Node Type]],Table4[[#This Row],[Region]])</f>
        <v/>
      </c>
      <c r="E4" t="str">
        <f>IF(ISERROR(SEARCH("Node",Table4[[#This Row],[Type]])),IF(ISERROR(SEARCH("Iliac",Table4[[#This Row],[Type]])),"",Table4[[#This Row],[Type]]),Table4[[#This Row],[Type]])</f>
        <v/>
      </c>
      <c r="G4" t="s">
        <v>25</v>
      </c>
      <c r="L4" t="s">
        <v>20</v>
      </c>
    </row>
    <row r="5" spans="1:19" x14ac:dyDescent="0.25">
      <c r="A5" t="s">
        <v>26</v>
      </c>
      <c r="B5" t="s">
        <v>20</v>
      </c>
      <c r="C5" t="str">
        <f>IF(ISBLANK(Table4[[#This Row],[Region]]),Table4[[#This Row],[Node Type]],Table4[[#This Row],[Region]])</f>
        <v/>
      </c>
      <c r="E5" t="str">
        <f>IF(ISERROR(SEARCH("Node",Table4[[#This Row],[Type]])),IF(ISERROR(SEARCH("Iliac",Table4[[#This Row],[Type]])),"",Table4[[#This Row],[Type]]),Table4[[#This Row],[Type]])</f>
        <v/>
      </c>
      <c r="G5" t="s">
        <v>27</v>
      </c>
      <c r="L5" t="s">
        <v>20</v>
      </c>
    </row>
    <row r="6" spans="1:19" x14ac:dyDescent="0.25">
      <c r="A6" t="s">
        <v>28</v>
      </c>
      <c r="B6" t="s">
        <v>20</v>
      </c>
      <c r="C6" t="str">
        <f>IF(ISBLANK(Table4[[#This Row],[Region]]),Table4[[#This Row],[Node Type]],Table4[[#This Row],[Region]])</f>
        <v/>
      </c>
      <c r="E6" t="str">
        <f>IF(ISERROR(SEARCH("Node",Table4[[#This Row],[Type]])),IF(ISERROR(SEARCH("Iliac",Table4[[#This Row],[Type]])),"",Table4[[#This Row],[Type]]),Table4[[#This Row],[Type]])</f>
        <v/>
      </c>
      <c r="G6" t="s">
        <v>29</v>
      </c>
      <c r="L6" t="s">
        <v>20</v>
      </c>
    </row>
    <row r="7" spans="1:19" x14ac:dyDescent="0.25">
      <c r="A7" t="s">
        <v>30</v>
      </c>
      <c r="B7" t="s">
        <v>20</v>
      </c>
      <c r="C7" t="str">
        <f>IF(ISBLANK(Table4[[#This Row],[Region]]),Table4[[#This Row],[Node Type]],Table4[[#This Row],[Region]])</f>
        <v/>
      </c>
      <c r="E7" t="str">
        <f>IF(ISERROR(SEARCH("Node",Table4[[#This Row],[Type]])),IF(ISERROR(SEARCH("Iliac",Table4[[#This Row],[Type]])),"",Table4[[#This Row],[Type]]),Table4[[#This Row],[Type]])</f>
        <v/>
      </c>
      <c r="G7" t="s">
        <v>31</v>
      </c>
      <c r="L7" t="s">
        <v>20</v>
      </c>
    </row>
    <row r="8" spans="1:19" x14ac:dyDescent="0.25">
      <c r="A8" t="s">
        <v>32</v>
      </c>
      <c r="B8" t="s">
        <v>20</v>
      </c>
      <c r="C8" t="str">
        <f>IF(ISBLANK(Table4[[#This Row],[Region]]),Table4[[#This Row],[Node Type]],Table4[[#This Row],[Region]])</f>
        <v/>
      </c>
      <c r="E8" t="str">
        <f>IF(ISERROR(SEARCH("Node",Table4[[#This Row],[Type]])),IF(ISERROR(SEARCH("Iliac",Table4[[#This Row],[Type]])),"",Table4[[#This Row],[Type]]),Table4[[#This Row],[Type]])</f>
        <v/>
      </c>
      <c r="G8" t="s">
        <v>33</v>
      </c>
      <c r="L8" t="s">
        <v>20</v>
      </c>
    </row>
    <row r="9" spans="1:19" x14ac:dyDescent="0.25">
      <c r="A9" t="s">
        <v>34</v>
      </c>
      <c r="B9" t="s">
        <v>20</v>
      </c>
      <c r="C9" t="str">
        <f>IF(ISBLANK(Table4[[#This Row],[Region]]),Table4[[#This Row],[Node Type]],Table4[[#This Row],[Region]])</f>
        <v/>
      </c>
      <c r="E9" t="str">
        <f>IF(ISERROR(SEARCH("Node",Table4[[#This Row],[Type]])),IF(ISERROR(SEARCH("Iliac",Table4[[#This Row],[Type]])),"",Table4[[#This Row],[Type]]),Table4[[#This Row],[Type]])</f>
        <v/>
      </c>
      <c r="G9" t="s">
        <v>35</v>
      </c>
      <c r="L9" t="s">
        <v>20</v>
      </c>
    </row>
    <row r="10" spans="1:19" x14ac:dyDescent="0.25">
      <c r="A10" t="s">
        <v>36</v>
      </c>
      <c r="B10" t="s">
        <v>20</v>
      </c>
      <c r="C10" t="str">
        <f>IF(ISBLANK(Table4[[#This Row],[Region]]),Table4[[#This Row],[Node Type]],Table4[[#This Row],[Region]])</f>
        <v/>
      </c>
      <c r="E10" t="str">
        <f>IF(ISERROR(SEARCH("Node",Table4[[#This Row],[Type]])),IF(ISERROR(SEARCH("Iliac",Table4[[#This Row],[Type]])),"",Table4[[#This Row],[Type]]),Table4[[#This Row],[Type]])</f>
        <v/>
      </c>
      <c r="G10" t="s">
        <v>37</v>
      </c>
      <c r="L10" t="s">
        <v>20</v>
      </c>
    </row>
    <row r="11" spans="1:19" x14ac:dyDescent="0.25">
      <c r="A11" t="s">
        <v>38</v>
      </c>
      <c r="B11" t="s">
        <v>20</v>
      </c>
      <c r="C11" t="str">
        <f>IF(ISBLANK(Table4[[#This Row],[Region]]),Table4[[#This Row],[Node Type]],Table4[[#This Row],[Region]])</f>
        <v/>
      </c>
      <c r="E11" t="str">
        <f>IF(ISERROR(SEARCH("Node",Table4[[#This Row],[Type]])),IF(ISERROR(SEARCH("Iliac",Table4[[#This Row],[Type]])),"",Table4[[#This Row],[Type]]),Table4[[#This Row],[Type]])</f>
        <v/>
      </c>
      <c r="G11" t="s">
        <v>39</v>
      </c>
      <c r="L11" t="s">
        <v>20</v>
      </c>
    </row>
    <row r="12" spans="1:19" x14ac:dyDescent="0.25">
      <c r="A12" t="s">
        <v>40</v>
      </c>
      <c r="B12" t="s">
        <v>20</v>
      </c>
      <c r="C12" t="str">
        <f>IF(ISBLANK(Table4[[#This Row],[Region]]),Table4[[#This Row],[Node Type]],Table4[[#This Row],[Region]])</f>
        <v/>
      </c>
      <c r="E12" t="str">
        <f>IF(ISERROR(SEARCH("Node",Table4[[#This Row],[Type]])),IF(ISERROR(SEARCH("Iliac",Table4[[#This Row],[Type]])),"",Table4[[#This Row],[Type]]),Table4[[#This Row],[Type]])</f>
        <v/>
      </c>
      <c r="G12" t="s">
        <v>41</v>
      </c>
      <c r="L12" t="s">
        <v>20</v>
      </c>
    </row>
    <row r="13" spans="1:19" x14ac:dyDescent="0.25">
      <c r="A13" t="s">
        <v>42</v>
      </c>
      <c r="B13" t="s">
        <v>20</v>
      </c>
      <c r="C13" t="str">
        <f>IF(ISBLANK(Table4[[#This Row],[Region]]),Table4[[#This Row],[Node Type]],Table4[[#This Row],[Region]])</f>
        <v/>
      </c>
      <c r="E13" t="str">
        <f>IF(ISERROR(SEARCH("Node",Table4[[#This Row],[Type]])),IF(ISERROR(SEARCH("Iliac",Table4[[#This Row],[Type]])),"",Table4[[#This Row],[Type]]),Table4[[#This Row],[Type]])</f>
        <v/>
      </c>
      <c r="G13" t="s">
        <v>43</v>
      </c>
      <c r="L13" t="s">
        <v>20</v>
      </c>
    </row>
    <row r="14" spans="1:19" x14ac:dyDescent="0.25">
      <c r="A14" t="s">
        <v>44</v>
      </c>
      <c r="B14" t="s">
        <v>20</v>
      </c>
      <c r="C14" t="str">
        <f>IF(ISBLANK(Table4[[#This Row],[Region]]),Table4[[#This Row],[Node Type]],Table4[[#This Row],[Region]])</f>
        <v/>
      </c>
      <c r="E14" t="str">
        <f>IF(ISERROR(SEARCH("Node",Table4[[#This Row],[Type]])),IF(ISERROR(SEARCH("Iliac",Table4[[#This Row],[Type]])),"",Table4[[#This Row],[Type]]),Table4[[#This Row],[Type]])</f>
        <v/>
      </c>
      <c r="L14" t="s">
        <v>44</v>
      </c>
    </row>
    <row r="15" spans="1:19" x14ac:dyDescent="0.25">
      <c r="A15" t="s">
        <v>45</v>
      </c>
      <c r="B15" t="s">
        <v>46</v>
      </c>
      <c r="C15" t="str">
        <f>IF(ISBLANK(Table4[[#This Row],[Region]]),Table4[[#This Row],[Node Type]],Table4[[#This Row],[Region]])</f>
        <v/>
      </c>
      <c r="E15" t="str">
        <f>IF(ISERROR(SEARCH("Node",Table4[[#This Row],[Type]])),IF(ISERROR(SEARCH("Iliac",Table4[[#This Row],[Type]])),"",Table4[[#This Row],[Type]]),Table4[[#This Row],[Type]])</f>
        <v/>
      </c>
      <c r="L15" t="s">
        <v>45</v>
      </c>
    </row>
    <row r="16" spans="1:19" x14ac:dyDescent="0.25">
      <c r="A16" t="s">
        <v>47</v>
      </c>
      <c r="B16" t="s">
        <v>48</v>
      </c>
      <c r="C16" t="str">
        <f>IF(ISBLANK(Table4[[#This Row],[Region]]),Table4[[#This Row],[Node Type]],Table4[[#This Row],[Region]])</f>
        <v>Subpyloric</v>
      </c>
      <c r="D16" t="s">
        <v>50</v>
      </c>
      <c r="E16" t="str">
        <f>IF(ISERROR(SEARCH("Node",Table4[[#This Row],[Type]])),IF(ISERROR(SEARCH("Iliac",Table4[[#This Row],[Type]])),"",Table4[[#This Row],[Type]]),Table4[[#This Row],[Type]])</f>
        <v>Node</v>
      </c>
      <c r="L16" t="s">
        <v>49</v>
      </c>
    </row>
    <row r="17" spans="1:16" x14ac:dyDescent="0.25">
      <c r="A17" t="s">
        <v>51</v>
      </c>
      <c r="B17" t="s">
        <v>48</v>
      </c>
      <c r="C17" t="str">
        <f>IF(ISBLANK(Table4[[#This Row],[Region]]),Table4[[#This Row],[Node Type]],Table4[[#This Row],[Region]])</f>
        <v>Hepatoduod</v>
      </c>
      <c r="D17" t="s">
        <v>52</v>
      </c>
      <c r="E17" t="str">
        <f>IF(ISERROR(SEARCH("Node",Table4[[#This Row],[Type]])),IF(ISERROR(SEARCH("Iliac",Table4[[#This Row],[Type]])),"",Table4[[#This Row],[Type]]),Table4[[#This Row],[Type]])</f>
        <v>Node</v>
      </c>
      <c r="L17" t="s">
        <v>49</v>
      </c>
    </row>
    <row r="18" spans="1:16" x14ac:dyDescent="0.25">
      <c r="A18" t="s">
        <v>53</v>
      </c>
      <c r="B18" t="s">
        <v>48</v>
      </c>
      <c r="C18" t="str">
        <f>IF(ISBLANK(Table4[[#This Row],[Region]]),Table4[[#This Row],[Node Type]],Table4[[#This Row],[Region]])</f>
        <v>Hepatogastr</v>
      </c>
      <c r="D18" t="s">
        <v>54</v>
      </c>
      <c r="E18" t="str">
        <f>IF(ISERROR(SEARCH("Node",Table4[[#This Row],[Type]])),IF(ISERROR(SEARCH("Iliac",Table4[[#This Row],[Type]])),"",Table4[[#This Row],[Type]]),Table4[[#This Row],[Type]])</f>
        <v>Node</v>
      </c>
      <c r="L18" t="s">
        <v>49</v>
      </c>
    </row>
    <row r="19" spans="1:16" x14ac:dyDescent="0.25">
      <c r="A19" t="s">
        <v>55</v>
      </c>
      <c r="B19" t="s">
        <v>48</v>
      </c>
      <c r="C19" t="str">
        <f>IF(ISBLANK(Table4[[#This Row],[Region]]),Table4[[#This Row],[Node Type]],Table4[[#This Row],[Region]])</f>
        <v>Para-Aortic</v>
      </c>
      <c r="D19" t="s">
        <v>56</v>
      </c>
      <c r="E19" t="str">
        <f>IF(ISERROR(SEARCH("Node",Table4[[#This Row],[Type]])),IF(ISERROR(SEARCH("Iliac",Table4[[#This Row],[Type]])),"",Table4[[#This Row],[Type]]),Table4[[#This Row],[Type]])</f>
        <v>Node</v>
      </c>
      <c r="L19" t="s">
        <v>49</v>
      </c>
    </row>
    <row r="20" spans="1:16" x14ac:dyDescent="0.25">
      <c r="A20" t="s">
        <v>57</v>
      </c>
      <c r="B20" t="s">
        <v>48</v>
      </c>
      <c r="C20" t="str">
        <f>IF(ISBLANK(Table4[[#This Row],[Region]]),Table4[[#This Row],[Node Type]],Table4[[#This Row],[Region]])</f>
        <v>Pancreatic</v>
      </c>
      <c r="D20" t="s">
        <v>58</v>
      </c>
      <c r="E20" t="str">
        <f>IF(ISERROR(SEARCH("Node",Table4[[#This Row],[Type]])),IF(ISERROR(SEARCH("Iliac",Table4[[#This Row],[Type]])),"",Table4[[#This Row],[Type]]),Table4[[#This Row],[Type]])</f>
        <v>Node</v>
      </c>
      <c r="L20" t="s">
        <v>49</v>
      </c>
    </row>
    <row r="21" spans="1:16" x14ac:dyDescent="0.25">
      <c r="A21" t="s">
        <v>59</v>
      </c>
      <c r="B21" t="s">
        <v>48</v>
      </c>
      <c r="C21" t="str">
        <f>IF(ISBLANK(Table4[[#This Row],[Region]]),Table4[[#This Row],[Node Type]],Table4[[#This Row],[Region]])</f>
        <v>Celiac</v>
      </c>
      <c r="D21" t="s">
        <v>60</v>
      </c>
      <c r="E21" t="str">
        <f>IF(ISERROR(SEARCH("Node",Table4[[#This Row],[Type]])),IF(ISERROR(SEARCH("Iliac",Table4[[#This Row],[Type]])),"",Table4[[#This Row],[Type]]),Table4[[#This Row],[Type]])</f>
        <v>Node</v>
      </c>
      <c r="L21" t="s">
        <v>49</v>
      </c>
    </row>
    <row r="22" spans="1:16" x14ac:dyDescent="0.25">
      <c r="A22" t="s">
        <v>61</v>
      </c>
      <c r="B22" t="s">
        <v>48</v>
      </c>
      <c r="C22" t="str">
        <f>IF(ISBLANK(Table4[[#This Row],[Region]]),Table4[[#This Row],[Node Type]],Table4[[#This Row],[Region]])</f>
        <v>Hepatic</v>
      </c>
      <c r="D22" t="s">
        <v>62</v>
      </c>
      <c r="E22" t="str">
        <f>IF(ISERROR(SEARCH("Node",Table4[[#This Row],[Type]])),IF(ISERROR(SEARCH("Iliac",Table4[[#This Row],[Type]])),"",Table4[[#This Row],[Type]]),Table4[[#This Row],[Type]])</f>
        <v>Node</v>
      </c>
      <c r="L22" t="s">
        <v>49</v>
      </c>
    </row>
    <row r="23" spans="1:16" x14ac:dyDescent="0.25">
      <c r="A23" t="s">
        <v>63</v>
      </c>
      <c r="B23" t="s">
        <v>48</v>
      </c>
      <c r="C23" t="str">
        <f>IF(ISBLANK(Table4[[#This Row],[Region]]),Table4[[#This Row],[Node Type]],Table4[[#This Row],[Region]])</f>
        <v>Gastric</v>
      </c>
      <c r="D23" t="s">
        <v>64</v>
      </c>
      <c r="E23" t="str">
        <f>IF(ISERROR(SEARCH("Node",Table4[[#This Row],[Type]])),IF(ISERROR(SEARCH("Iliac",Table4[[#This Row],[Type]])),"",Table4[[#This Row],[Type]]),Table4[[#This Row],[Type]])</f>
        <v>Node</v>
      </c>
      <c r="L23" t="s">
        <v>49</v>
      </c>
    </row>
    <row r="24" spans="1:16" x14ac:dyDescent="0.25">
      <c r="A24" t="s">
        <v>65</v>
      </c>
      <c r="B24" t="s">
        <v>48</v>
      </c>
      <c r="C24" t="str">
        <f>IF(ISBLANK(Table4[[#This Row],[Region]]),Table4[[#This Row],[Node Type]],Table4[[#This Row],[Region]])</f>
        <v>Pyloric</v>
      </c>
      <c r="D24" t="s">
        <v>66</v>
      </c>
      <c r="E24" t="str">
        <f>IF(ISERROR(SEARCH("Node",Table4[[#This Row],[Type]])),IF(ISERROR(SEARCH("Iliac",Table4[[#This Row],[Type]])),"",Table4[[#This Row],[Type]]),Table4[[#This Row],[Type]])</f>
        <v>Node</v>
      </c>
      <c r="L24" t="s">
        <v>49</v>
      </c>
    </row>
    <row r="25" spans="1:16" x14ac:dyDescent="0.25">
      <c r="A25" t="s">
        <v>67</v>
      </c>
      <c r="B25" t="s">
        <v>48</v>
      </c>
      <c r="C25" t="str">
        <f>IF(ISBLANK(Table4[[#This Row],[Region]]),Table4[[#This Row],[Node Type]],Table4[[#This Row],[Region]])</f>
        <v>Splenic</v>
      </c>
      <c r="D25" t="s">
        <v>68</v>
      </c>
      <c r="E25" t="str">
        <f>IF(ISERROR(SEARCH("Node",Table4[[#This Row],[Type]])),IF(ISERROR(SEARCH("Iliac",Table4[[#This Row],[Type]])),"",Table4[[#This Row],[Type]]),Table4[[#This Row],[Type]])</f>
        <v>Node</v>
      </c>
      <c r="L25" t="s">
        <v>49</v>
      </c>
    </row>
    <row r="26" spans="1:16" x14ac:dyDescent="0.25">
      <c r="A26" t="s">
        <v>20</v>
      </c>
      <c r="B26" t="s">
        <v>20</v>
      </c>
      <c r="C26" t="str">
        <f>IF(ISBLANK(Table4[[#This Row],[Region]]),Table4[[#This Row],[Node Type]],Table4[[#This Row],[Region]])</f>
        <v/>
      </c>
      <c r="E26" t="str">
        <f>IF(ISERROR(SEARCH("Node",Table4[[#This Row],[Type]])),IF(ISERROR(SEARCH("Iliac",Table4[[#This Row],[Type]])),"",Table4[[#This Row],[Type]]),Table4[[#This Row],[Type]])</f>
        <v/>
      </c>
      <c r="L26" t="s">
        <v>20</v>
      </c>
    </row>
    <row r="27" spans="1:16" x14ac:dyDescent="0.25">
      <c r="A27" t="s">
        <v>46</v>
      </c>
      <c r="B27" t="s">
        <v>46</v>
      </c>
      <c r="C27" t="str">
        <f>IF(ISBLANK(Table4[[#This Row],[Region]]),Table4[[#This Row],[Node Type]],Table4[[#This Row],[Region]])</f>
        <v/>
      </c>
      <c r="E27" t="str">
        <f>IF(ISERROR(SEARCH("Node",Table4[[#This Row],[Type]])),IF(ISERROR(SEARCH("Iliac",Table4[[#This Row],[Type]])),"",Table4[[#This Row],[Type]]),Table4[[#This Row],[Type]])</f>
        <v/>
      </c>
      <c r="L27" t="s">
        <v>46</v>
      </c>
    </row>
    <row r="28" spans="1:16" x14ac:dyDescent="0.25">
      <c r="A28" t="s">
        <v>77</v>
      </c>
      <c r="B28" t="s">
        <v>77</v>
      </c>
      <c r="C28" t="str">
        <f>IF(ISBLANK(Table4[[#This Row],[Region]]),Table4[[#This Row],[Node Type]],Table4[[#This Row],[Region]])</f>
        <v/>
      </c>
      <c r="E28" t="str">
        <f>IF(ISERROR(SEARCH("Node",Table4[[#This Row],[Type]])),IF(ISERROR(SEARCH("Iliac",Table4[[#This Row],[Type]])),"",Table4[[#This Row],[Type]]),Table4[[#This Row],[Type]])</f>
        <v/>
      </c>
      <c r="L28" t="s">
        <v>77</v>
      </c>
    </row>
    <row r="29" spans="1:16" x14ac:dyDescent="0.25">
      <c r="A29" t="s">
        <v>78</v>
      </c>
      <c r="B29" t="s">
        <v>48</v>
      </c>
      <c r="C29" t="str">
        <f>IF(ISBLANK(Table4[[#This Row],[Region]]),Table4[[#This Row],[Node Type]],Table4[[#This Row],[Region]])</f>
        <v/>
      </c>
      <c r="E29" t="str">
        <f>IF(ISERROR(SEARCH("Node",Table4[[#This Row],[Type]])),IF(ISERROR(SEARCH("Iliac",Table4[[#This Row],[Type]])),"",Table4[[#This Row],[Type]]),Table4[[#This Row],[Type]])</f>
        <v/>
      </c>
      <c r="L29" t="s">
        <v>20</v>
      </c>
      <c r="M29" t="s">
        <v>79</v>
      </c>
    </row>
    <row r="30" spans="1:16" x14ac:dyDescent="0.25">
      <c r="A30" t="s">
        <v>80</v>
      </c>
      <c r="B30" t="s">
        <v>46</v>
      </c>
      <c r="C30" t="str">
        <f>IF(ISBLANK(Table4[[#This Row],[Region]]),Table4[[#This Row],[Node Type]],Table4[[#This Row],[Region]])</f>
        <v/>
      </c>
      <c r="E30" t="str">
        <f>IF(ISERROR(SEARCH("Node",Table4[[#This Row],[Type]])),IF(ISERROR(SEARCH("Iliac",Table4[[#This Row],[Type]])),"",Table4[[#This Row],[Type]]),Table4[[#This Row],[Type]])</f>
        <v/>
      </c>
      <c r="I30">
        <v>5250</v>
      </c>
      <c r="L30" t="s">
        <v>46</v>
      </c>
    </row>
    <row r="31" spans="1:16" x14ac:dyDescent="0.25">
      <c r="A31" t="s">
        <v>81</v>
      </c>
      <c r="B31" t="s">
        <v>77</v>
      </c>
      <c r="C31" t="str">
        <f>IF(ISBLANK(Table4[[#This Row],[Region]]),Table4[[#This Row],[Node Type]],Table4[[#This Row],[Region]])</f>
        <v/>
      </c>
      <c r="E31" t="str">
        <f>IF(ISERROR(SEARCH("Node",Table4[[#This Row],[Type]])),IF(ISERROR(SEARCH("Iliac",Table4[[#This Row],[Type]])),"",Table4[[#This Row],[Type]]),Table4[[#This Row],[Type]])</f>
        <v/>
      </c>
      <c r="I31">
        <v>5250</v>
      </c>
      <c r="L31" t="s">
        <v>77</v>
      </c>
    </row>
    <row r="32" spans="1:16" x14ac:dyDescent="0.25">
      <c r="A32" t="s">
        <v>82</v>
      </c>
      <c r="B32" t="s">
        <v>77</v>
      </c>
      <c r="C32" t="str">
        <f>IF(ISBLANK(Table4[[#This Row],[Region]]),Table4[[#This Row],[Node Type]],Table4[[#This Row],[Region]])</f>
        <v/>
      </c>
      <c r="E32" t="str">
        <f>IF(ISERROR(SEARCH("Node",Table4[[#This Row],[Type]])),IF(ISERROR(SEARCH("Iliac",Table4[[#This Row],[Type]])),"",Table4[[#This Row],[Type]]),Table4[[#This Row],[Type]])</f>
        <v/>
      </c>
      <c r="I32">
        <v>5250</v>
      </c>
      <c r="L32" t="s">
        <v>77</v>
      </c>
      <c r="P32" t="s">
        <v>83</v>
      </c>
    </row>
    <row r="33" spans="1:16" x14ac:dyDescent="0.25">
      <c r="A33" t="s">
        <v>84</v>
      </c>
      <c r="B33" t="s">
        <v>77</v>
      </c>
      <c r="C33" t="str">
        <f>IF(ISBLANK(Table4[[#This Row],[Region]]),Table4[[#This Row],[Node Type]],Table4[[#This Row],[Region]])</f>
        <v/>
      </c>
      <c r="E33" t="str">
        <f>IF(ISERROR(SEARCH("Node",Table4[[#This Row],[Type]])),IF(ISERROR(SEARCH("Iliac",Table4[[#This Row],[Type]])),"",Table4[[#This Row],[Type]]),Table4[[#This Row],[Type]])</f>
        <v/>
      </c>
      <c r="I33">
        <v>5250</v>
      </c>
      <c r="L33" t="s">
        <v>77</v>
      </c>
      <c r="P33" t="s">
        <v>85</v>
      </c>
    </row>
    <row r="34" spans="1:16" x14ac:dyDescent="0.25">
      <c r="A34" t="s">
        <v>100</v>
      </c>
      <c r="B34" t="s">
        <v>46</v>
      </c>
      <c r="C34" t="str">
        <f>IF(ISBLANK(Table4[[#This Row],[Region]]),Table4[[#This Row],[Node Type]],Table4[[#This Row],[Region]])</f>
        <v/>
      </c>
      <c r="E34" t="str">
        <f>IF(ISERROR(SEARCH("Node",Table4[[#This Row],[Type]])),IF(ISERROR(SEARCH("Iliac",Table4[[#This Row],[Type]])),"",Table4[[#This Row],[Type]]),Table4[[#This Row],[Type]])</f>
        <v/>
      </c>
      <c r="I34">
        <v>66</v>
      </c>
      <c r="L34" t="s">
        <v>46</v>
      </c>
    </row>
    <row r="35" spans="1:16" x14ac:dyDescent="0.25">
      <c r="A35" t="s">
        <v>101</v>
      </c>
      <c r="B35" t="s">
        <v>77</v>
      </c>
      <c r="C35" t="str">
        <f>IF(ISBLANK(Table4[[#This Row],[Region]]),Table4[[#This Row],[Node Type]],Table4[[#This Row],[Region]])</f>
        <v/>
      </c>
      <c r="E35" t="str">
        <f>IF(ISERROR(SEARCH("Node",Table4[[#This Row],[Type]])),IF(ISERROR(SEARCH("Iliac",Table4[[#This Row],[Type]])),"",Table4[[#This Row],[Type]]),Table4[[#This Row],[Type]])</f>
        <v/>
      </c>
      <c r="I35">
        <v>66</v>
      </c>
      <c r="L35" t="s">
        <v>77</v>
      </c>
    </row>
    <row r="36" spans="1:16" x14ac:dyDescent="0.25">
      <c r="A36" t="s">
        <v>102</v>
      </c>
      <c r="B36" t="s">
        <v>77</v>
      </c>
      <c r="C36" t="str">
        <f>IF(ISBLANK(Table4[[#This Row],[Region]]),Table4[[#This Row],[Node Type]],Table4[[#This Row],[Region]])</f>
        <v/>
      </c>
      <c r="E36" t="str">
        <f>IF(ISERROR(SEARCH("Node",Table4[[#This Row],[Type]])),IF(ISERROR(SEARCH("Iliac",Table4[[#This Row],[Type]])),"",Table4[[#This Row],[Type]]),Table4[[#This Row],[Type]])</f>
        <v/>
      </c>
      <c r="L36" t="s">
        <v>77</v>
      </c>
      <c r="P36" t="s">
        <v>83</v>
      </c>
    </row>
    <row r="37" spans="1:16" x14ac:dyDescent="0.25">
      <c r="A37" t="s">
        <v>103</v>
      </c>
      <c r="B37" t="s">
        <v>77</v>
      </c>
      <c r="C37" t="str">
        <f>IF(ISBLANK(Table4[[#This Row],[Region]]),Table4[[#This Row],[Node Type]],Table4[[#This Row],[Region]])</f>
        <v/>
      </c>
      <c r="E37" t="str">
        <f>IF(ISERROR(SEARCH("Node",Table4[[#This Row],[Type]])),IF(ISERROR(SEARCH("Iliac",Table4[[#This Row],[Type]])),"",Table4[[#This Row],[Type]]),Table4[[#This Row],[Type]])</f>
        <v/>
      </c>
      <c r="I37">
        <v>66</v>
      </c>
      <c r="L37" t="s">
        <v>77</v>
      </c>
      <c r="P37" t="s">
        <v>85</v>
      </c>
    </row>
    <row r="38" spans="1:16" x14ac:dyDescent="0.25">
      <c r="A38" t="s">
        <v>104</v>
      </c>
      <c r="B38" t="s">
        <v>48</v>
      </c>
      <c r="C38" t="str">
        <f>IF(ISBLANK(Table4[[#This Row],[Region]]),Table4[[#This Row],[Node Type]],Table4[[#This Row],[Region]])</f>
        <v>Int iliac</v>
      </c>
      <c r="D38" t="s">
        <v>105</v>
      </c>
      <c r="E38" t="str">
        <f>IF(ISERROR(SEARCH("Node",Table4[[#This Row],[Type]])),IF(ISERROR(SEARCH("Iliac",Table4[[#This Row],[Type]])),"",Table4[[#This Row],[Type]]),Table4[[#This Row],[Type]])</f>
        <v>Node</v>
      </c>
      <c r="L38" t="s">
        <v>49</v>
      </c>
      <c r="N38" t="s">
        <v>106</v>
      </c>
    </row>
    <row r="39" spans="1:16" x14ac:dyDescent="0.25">
      <c r="A39" t="s">
        <v>107</v>
      </c>
      <c r="B39" t="s">
        <v>48</v>
      </c>
      <c r="C39" t="str">
        <f>IF(ISBLANK(Table4[[#This Row],[Region]]),Table4[[#This Row],[Node Type]],Table4[[#This Row],[Region]])</f>
        <v>Int iliac</v>
      </c>
      <c r="D39" t="s">
        <v>105</v>
      </c>
      <c r="E39" t="str">
        <f>IF(ISERROR(SEARCH("Node",Table4[[#This Row],[Type]])),IF(ISERROR(SEARCH("Iliac",Table4[[#This Row],[Type]])),"",Table4[[#This Row],[Type]]),Table4[[#This Row],[Type]])</f>
        <v>Node</v>
      </c>
      <c r="L39" t="s">
        <v>49</v>
      </c>
      <c r="N39" t="s">
        <v>108</v>
      </c>
    </row>
    <row r="40" spans="1:16" x14ac:dyDescent="0.25">
      <c r="A40" t="s">
        <v>109</v>
      </c>
      <c r="B40" t="s">
        <v>48</v>
      </c>
      <c r="C40" t="str">
        <f>IF(ISBLANK(Table4[[#This Row],[Region]]),Table4[[#This Row],[Node Type]],Table4[[#This Row],[Region]])</f>
        <v>ext iliac</v>
      </c>
      <c r="D40" t="s">
        <v>110</v>
      </c>
      <c r="E40" t="str">
        <f>IF(ISERROR(SEARCH("Node",Table4[[#This Row],[Type]])),IF(ISERROR(SEARCH("Iliac",Table4[[#This Row],[Type]])),"",Table4[[#This Row],[Type]]),Table4[[#This Row],[Type]])</f>
        <v>Node</v>
      </c>
      <c r="L40" t="s">
        <v>49</v>
      </c>
      <c r="N40" t="s">
        <v>106</v>
      </c>
    </row>
    <row r="41" spans="1:16" x14ac:dyDescent="0.25">
      <c r="A41" t="s">
        <v>111</v>
      </c>
      <c r="B41" t="s">
        <v>48</v>
      </c>
      <c r="C41" t="str">
        <f>IF(ISBLANK(Table4[[#This Row],[Region]]),Table4[[#This Row],[Node Type]],Table4[[#This Row],[Region]])</f>
        <v>ext iliac</v>
      </c>
      <c r="D41" t="s">
        <v>110</v>
      </c>
      <c r="E41" t="str">
        <f>IF(ISERROR(SEARCH("Node",Table4[[#This Row],[Type]])),IF(ISERROR(SEARCH("Iliac",Table4[[#This Row],[Type]])),"",Table4[[#This Row],[Type]]),Table4[[#This Row],[Type]])</f>
        <v>Node</v>
      </c>
      <c r="L41" t="s">
        <v>49</v>
      </c>
      <c r="N41" t="s">
        <v>108</v>
      </c>
    </row>
    <row r="42" spans="1:16" x14ac:dyDescent="0.25">
      <c r="A42" t="s">
        <v>127</v>
      </c>
      <c r="B42" t="s">
        <v>48</v>
      </c>
      <c r="C42" t="str">
        <f>IF(ISBLANK(Table4[[#This Row],[Region]]),Table4[[#This Row],[Node Type]],Table4[[#This Row],[Region]])</f>
        <v>Axilla 1</v>
      </c>
      <c r="D42" t="s">
        <v>128</v>
      </c>
      <c r="E42" t="str">
        <f>IF(ISERROR(SEARCH("Node",Table4[[#This Row],[Type]])),IF(ISERROR(SEARCH("Iliac",Table4[[#This Row],[Type]])),"",Table4[[#This Row],[Type]]),Table4[[#This Row],[Type]])</f>
        <v>Nodes</v>
      </c>
      <c r="L42" t="s">
        <v>48</v>
      </c>
    </row>
    <row r="43" spans="1:16" x14ac:dyDescent="0.25">
      <c r="A43" t="s">
        <v>129</v>
      </c>
      <c r="B43" t="s">
        <v>48</v>
      </c>
      <c r="C43" t="str">
        <f>IF(ISBLANK(Table4[[#This Row],[Region]]),Table4[[#This Row],[Node Type]],Table4[[#This Row],[Region]])</f>
        <v>Axilla 2</v>
      </c>
      <c r="D43" t="s">
        <v>130</v>
      </c>
      <c r="E43" t="str">
        <f>IF(ISERROR(SEARCH("Node",Table4[[#This Row],[Type]])),IF(ISERROR(SEARCH("Iliac",Table4[[#This Row],[Type]])),"",Table4[[#This Row],[Type]]),Table4[[#This Row],[Type]])</f>
        <v>Nodes</v>
      </c>
      <c r="L43" t="s">
        <v>48</v>
      </c>
    </row>
    <row r="44" spans="1:16" x14ac:dyDescent="0.25">
      <c r="A44" t="s">
        <v>131</v>
      </c>
      <c r="B44" t="s">
        <v>48</v>
      </c>
      <c r="C44" t="str">
        <f>IF(ISBLANK(Table4[[#This Row],[Region]]),Table4[[#This Row],[Node Type]],Table4[[#This Row],[Region]])</f>
        <v>Axilla 3</v>
      </c>
      <c r="D44" t="s">
        <v>132</v>
      </c>
      <c r="E44" t="str">
        <f>IF(ISERROR(SEARCH("Node",Table4[[#This Row],[Type]])),IF(ISERROR(SEARCH("Iliac",Table4[[#This Row],[Type]])),"",Table4[[#This Row],[Type]]),Table4[[#This Row],[Type]])</f>
        <v>Nodes</v>
      </c>
      <c r="L44" t="s">
        <v>48</v>
      </c>
    </row>
    <row r="45" spans="1:16" x14ac:dyDescent="0.25">
      <c r="A45" t="s">
        <v>133</v>
      </c>
      <c r="B45" t="s">
        <v>48</v>
      </c>
      <c r="C45" t="str">
        <f>IF(ISBLANK(Table4[[#This Row],[Region]]),Table4[[#This Row],[Node Type]],Table4[[#This Row],[Region]])</f>
        <v>IMC</v>
      </c>
      <c r="D45" t="s">
        <v>134</v>
      </c>
      <c r="E45" t="str">
        <f>IF(ISERROR(SEARCH("Node",Table4[[#This Row],[Type]])),IF(ISERROR(SEARCH("Iliac",Table4[[#This Row],[Type]])),"",Table4[[#This Row],[Type]]),Table4[[#This Row],[Type]])</f>
        <v>Nodes</v>
      </c>
      <c r="L45" t="s">
        <v>48</v>
      </c>
    </row>
    <row r="46" spans="1:16" x14ac:dyDescent="0.25">
      <c r="A46" t="s">
        <v>135</v>
      </c>
      <c r="B46" t="s">
        <v>48</v>
      </c>
      <c r="C46" t="str">
        <f>IF(ISBLANK(Table4[[#This Row],[Region]]),Table4[[#This Row],[Node Type]],Table4[[#This Row],[Region]])</f>
        <v>SC</v>
      </c>
      <c r="D46" t="s">
        <v>136</v>
      </c>
      <c r="E46" t="str">
        <f>IF(ISERROR(SEARCH("Node",Table4[[#This Row],[Type]])),IF(ISERROR(SEARCH("Iliac",Table4[[#This Row],[Type]])),"",Table4[[#This Row],[Type]]),Table4[[#This Row],[Type]])</f>
        <v>Nodes</v>
      </c>
      <c r="L46" t="s">
        <v>48</v>
      </c>
    </row>
    <row r="47" spans="1:16" x14ac:dyDescent="0.25">
      <c r="A47" t="s">
        <v>137</v>
      </c>
      <c r="B47" t="s">
        <v>20</v>
      </c>
      <c r="C47" t="str">
        <f>IF(ISBLANK(Table4[[#This Row],[Region]]),Table4[[#This Row],[Node Type]],Table4[[#This Row],[Region]])</f>
        <v/>
      </c>
      <c r="E47" t="str">
        <f>IF(ISERROR(SEARCH("Node",Table4[[#This Row],[Type]])),IF(ISERROR(SEARCH("Iliac",Table4[[#This Row],[Type]])),"",Table4[[#This Row],[Type]]),Table4[[#This Row],[Type]])</f>
        <v/>
      </c>
      <c r="L47" t="s">
        <v>137</v>
      </c>
    </row>
    <row r="48" spans="1:16" x14ac:dyDescent="0.25">
      <c r="A48" t="s">
        <v>138</v>
      </c>
      <c r="B48" t="s">
        <v>46</v>
      </c>
      <c r="C48" t="str">
        <f>IF(ISBLANK(Table4[[#This Row],[Region]]),Table4[[#This Row],[Node Type]],Table4[[#This Row],[Region]])</f>
        <v/>
      </c>
      <c r="E48" t="str">
        <f>IF(ISERROR(SEARCH("Node",Table4[[#This Row],[Type]])),IF(ISERROR(SEARCH("Iliac",Table4[[#This Row],[Type]])),"",Table4[[#This Row],[Type]]),Table4[[#This Row],[Type]])</f>
        <v/>
      </c>
      <c r="L48" t="s">
        <v>46</v>
      </c>
      <c r="M48" t="s">
        <v>137</v>
      </c>
    </row>
    <row r="49" spans="1:16" x14ac:dyDescent="0.25">
      <c r="A49" t="s">
        <v>139</v>
      </c>
      <c r="B49" t="s">
        <v>48</v>
      </c>
      <c r="C49" t="str">
        <f>IF(ISBLANK(Table4[[#This Row],[Region]]),Table4[[#This Row],[Node Type]],Table4[[#This Row],[Region]])</f>
        <v/>
      </c>
      <c r="E49" t="str">
        <f>IF(ISERROR(SEARCH("Node",Table4[[#This Row],[Type]])),IF(ISERROR(SEARCH("Iliac",Table4[[#This Row],[Type]])),"",Table4[[#This Row],[Type]]),Table4[[#This Row],[Type]])</f>
        <v/>
      </c>
      <c r="L49" t="s">
        <v>46</v>
      </c>
      <c r="M49" t="s">
        <v>79</v>
      </c>
    </row>
    <row r="50" spans="1:16" x14ac:dyDescent="0.25">
      <c r="A50" t="s">
        <v>140</v>
      </c>
      <c r="B50" t="s">
        <v>77</v>
      </c>
      <c r="C50" t="str">
        <f>IF(ISBLANK(Table4[[#This Row],[Region]]),Table4[[#This Row],[Node Type]],Table4[[#This Row],[Region]])</f>
        <v/>
      </c>
      <c r="E50" t="str">
        <f>IF(ISERROR(SEARCH("Node",Table4[[#This Row],[Type]])),IF(ISERROR(SEARCH("Iliac",Table4[[#This Row],[Type]])),"",Table4[[#This Row],[Type]]),Table4[[#This Row],[Type]])</f>
        <v/>
      </c>
      <c r="L50" t="s">
        <v>77</v>
      </c>
      <c r="M50" t="s">
        <v>137</v>
      </c>
    </row>
    <row r="51" spans="1:16" x14ac:dyDescent="0.25">
      <c r="A51" t="s">
        <v>141</v>
      </c>
      <c r="B51" t="s">
        <v>77</v>
      </c>
      <c r="C51" t="str">
        <f>IF(ISBLANK(Table4[[#This Row],[Region]]),Table4[[#This Row],[Node Type]],Table4[[#This Row],[Region]])</f>
        <v/>
      </c>
      <c r="E51" t="str">
        <f>IF(ISERROR(SEARCH("Node",Table4[[#This Row],[Type]])),IF(ISERROR(SEARCH("Iliac",Table4[[#This Row],[Type]])),"",Table4[[#This Row],[Type]]),Table4[[#This Row],[Type]])</f>
        <v/>
      </c>
      <c r="L51" t="s">
        <v>77</v>
      </c>
      <c r="M51" t="s">
        <v>79</v>
      </c>
    </row>
    <row r="52" spans="1:16" x14ac:dyDescent="0.25">
      <c r="A52" t="s">
        <v>150</v>
      </c>
      <c r="B52" t="s">
        <v>48</v>
      </c>
      <c r="C52" t="str">
        <f>IF(ISBLANK(Table4[[#This Row],[Region]]),Table4[[#This Row],[Node Type]],Table4[[#This Row],[Region]])</f>
        <v>Axilla I</v>
      </c>
      <c r="D52" t="s">
        <v>151</v>
      </c>
      <c r="E52" t="str">
        <f>IF(ISERROR(SEARCH("Node",Table4[[#This Row],[Type]])),IF(ISERROR(SEARCH("Iliac",Table4[[#This Row],[Type]])),"",Table4[[#This Row],[Type]]),Table4[[#This Row],[Type]])</f>
        <v>Nodes</v>
      </c>
      <c r="L52" t="s">
        <v>48</v>
      </c>
    </row>
    <row r="53" spans="1:16" x14ac:dyDescent="0.25">
      <c r="A53" t="s">
        <v>152</v>
      </c>
      <c r="B53" t="s">
        <v>48</v>
      </c>
      <c r="C53" t="str">
        <f>IF(ISBLANK(Table4[[#This Row],[Region]]),Table4[[#This Row],[Node Type]],Table4[[#This Row],[Region]])</f>
        <v>Axilla II</v>
      </c>
      <c r="D53" t="s">
        <v>153</v>
      </c>
      <c r="E53" t="str">
        <f>IF(ISERROR(SEARCH("Node",Table4[[#This Row],[Type]])),IF(ISERROR(SEARCH("Iliac",Table4[[#This Row],[Type]])),"",Table4[[#This Row],[Type]]),Table4[[#This Row],[Type]])</f>
        <v>Nodes</v>
      </c>
      <c r="L53" t="s">
        <v>48</v>
      </c>
    </row>
    <row r="54" spans="1:16" x14ac:dyDescent="0.25">
      <c r="A54" t="s">
        <v>154</v>
      </c>
      <c r="B54" t="s">
        <v>48</v>
      </c>
      <c r="C54" t="str">
        <f>IF(ISBLANK(Table4[[#This Row],[Region]]),Table4[[#This Row],[Node Type]],Table4[[#This Row],[Region]])</f>
        <v>Axilla III</v>
      </c>
      <c r="D54" t="s">
        <v>155</v>
      </c>
      <c r="E54" t="str">
        <f>IF(ISERROR(SEARCH("Node",Table4[[#This Row],[Type]])),IF(ISERROR(SEARCH("Iliac",Table4[[#This Row],[Type]])),"",Table4[[#This Row],[Type]]),Table4[[#This Row],[Type]])</f>
        <v>Nodes</v>
      </c>
      <c r="L54" t="s">
        <v>48</v>
      </c>
    </row>
    <row r="55" spans="1:16" x14ac:dyDescent="0.25">
      <c r="A55" t="s">
        <v>174</v>
      </c>
      <c r="B55" t="s">
        <v>20</v>
      </c>
      <c r="C55" t="str">
        <f>IF(ISBLANK(Table4[[#This Row],[Region]]),Table4[[#This Row],[Node Type]],Table4[[#This Row],[Region]])</f>
        <v/>
      </c>
      <c r="E55" t="str">
        <f>IF(ISERROR(SEARCH("Node",Table4[[#This Row],[Type]])),IF(ISERROR(SEARCH("Iliac",Table4[[#This Row],[Type]])),"",Table4[[#This Row],[Type]]),Table4[[#This Row],[Type]])</f>
        <v/>
      </c>
      <c r="F55" t="s">
        <v>175</v>
      </c>
      <c r="L55" t="s">
        <v>20</v>
      </c>
    </row>
    <row r="56" spans="1:16" x14ac:dyDescent="0.25">
      <c r="A56" t="s">
        <v>184</v>
      </c>
      <c r="B56" t="s">
        <v>77</v>
      </c>
      <c r="C56" t="str">
        <f>IF(ISBLANK(Table4[[#This Row],[Region]]),Table4[[#This Row],[Node Type]],Table4[[#This Row],[Region]])</f>
        <v/>
      </c>
      <c r="E56" t="str">
        <f>IF(ISERROR(SEARCH("Node",Table4[[#This Row],[Type]])),IF(ISERROR(SEARCH("Iliac",Table4[[#This Row],[Type]])),"",Table4[[#This Row],[Type]]),Table4[[#This Row],[Type]])</f>
        <v/>
      </c>
      <c r="L56" t="s">
        <v>77</v>
      </c>
      <c r="P56" t="s">
        <v>85</v>
      </c>
    </row>
    <row r="57" spans="1:16" x14ac:dyDescent="0.25">
      <c r="A57" t="s">
        <v>186</v>
      </c>
      <c r="B57" t="s">
        <v>46</v>
      </c>
      <c r="C57" t="str">
        <f>IF(ISBLANK(Table4[[#This Row],[Region]]),Table4[[#This Row],[Node Type]],Table4[[#This Row],[Region]])</f>
        <v/>
      </c>
      <c r="E57" t="str">
        <f>IF(ISERROR(SEARCH("Node",Table4[[#This Row],[Type]])),IF(ISERROR(SEARCH("Iliac",Table4[[#This Row],[Type]])),"",Table4[[#This Row],[Type]]),Table4[[#This Row],[Type]])</f>
        <v/>
      </c>
      <c r="L57" t="s">
        <v>46</v>
      </c>
      <c r="M57" t="s">
        <v>187</v>
      </c>
      <c r="N57" t="s">
        <v>106</v>
      </c>
    </row>
    <row r="58" spans="1:16" x14ac:dyDescent="0.25">
      <c r="A58" t="s">
        <v>188</v>
      </c>
      <c r="B58" t="s">
        <v>46</v>
      </c>
      <c r="C58" t="str">
        <f>IF(ISBLANK(Table4[[#This Row],[Region]]),Table4[[#This Row],[Node Type]],Table4[[#This Row],[Region]])</f>
        <v/>
      </c>
      <c r="E58" t="str">
        <f>IF(ISERROR(SEARCH("Node",Table4[[#This Row],[Type]])),IF(ISERROR(SEARCH("Iliac",Table4[[#This Row],[Type]])),"",Table4[[#This Row],[Type]]),Table4[[#This Row],[Type]])</f>
        <v/>
      </c>
      <c r="L58" t="s">
        <v>46</v>
      </c>
      <c r="M58" t="s">
        <v>187</v>
      </c>
      <c r="N58" t="s">
        <v>108</v>
      </c>
    </row>
    <row r="59" spans="1:16" x14ac:dyDescent="0.25">
      <c r="A59" t="s">
        <v>189</v>
      </c>
      <c r="B59" t="s">
        <v>46</v>
      </c>
      <c r="C59" t="str">
        <f>IF(ISBLANK(Table4[[#This Row],[Region]]),Table4[[#This Row],[Node Type]],Table4[[#This Row],[Region]])</f>
        <v/>
      </c>
      <c r="E59" t="str">
        <f>IF(ISERROR(SEARCH("Node",Table4[[#This Row],[Type]])),IF(ISERROR(SEARCH("Iliac",Table4[[#This Row],[Type]])),"",Table4[[#This Row],[Type]]),Table4[[#This Row],[Type]])</f>
        <v/>
      </c>
      <c r="L59" t="s">
        <v>46</v>
      </c>
      <c r="M59" t="s">
        <v>190</v>
      </c>
      <c r="N59" t="s">
        <v>106</v>
      </c>
    </row>
    <row r="60" spans="1:16" x14ac:dyDescent="0.25">
      <c r="A60" t="s">
        <v>191</v>
      </c>
      <c r="B60" t="s">
        <v>46</v>
      </c>
      <c r="C60" t="str">
        <f>IF(ISBLANK(Table4[[#This Row],[Region]]),Table4[[#This Row],[Node Type]],Table4[[#This Row],[Region]])</f>
        <v/>
      </c>
      <c r="E60" t="str">
        <f>IF(ISERROR(SEARCH("Node",Table4[[#This Row],[Type]])),IF(ISERROR(SEARCH("Iliac",Table4[[#This Row],[Type]])),"",Table4[[#This Row],[Type]]),Table4[[#This Row],[Type]])</f>
        <v/>
      </c>
      <c r="L60" t="s">
        <v>46</v>
      </c>
      <c r="M60" t="s">
        <v>190</v>
      </c>
      <c r="N60" t="s">
        <v>108</v>
      </c>
    </row>
    <row r="61" spans="1:16" x14ac:dyDescent="0.25">
      <c r="A61" t="s">
        <v>192</v>
      </c>
      <c r="B61" t="s">
        <v>46</v>
      </c>
      <c r="C61" t="str">
        <f>IF(ISBLANK(Table4[[#This Row],[Region]]),Table4[[#This Row],[Node Type]],Table4[[#This Row],[Region]])</f>
        <v/>
      </c>
      <c r="E61" t="str">
        <f>IF(ISERROR(SEARCH("Node",Table4[[#This Row],[Type]])),IF(ISERROR(SEARCH("Iliac",Table4[[#This Row],[Type]])),"",Table4[[#This Row],[Type]]),Table4[[#This Row],[Type]])</f>
        <v/>
      </c>
      <c r="L61" t="s">
        <v>192</v>
      </c>
    </row>
    <row r="62" spans="1:16" x14ac:dyDescent="0.25">
      <c r="A62" t="s">
        <v>203</v>
      </c>
      <c r="B62" t="s">
        <v>20</v>
      </c>
      <c r="C62" t="str">
        <f>IF(ISBLANK(Table4[[#This Row],[Region]]),Table4[[#This Row],[Node Type]],Table4[[#This Row],[Region]])</f>
        <v/>
      </c>
      <c r="E62" t="str">
        <f>IF(ISERROR(SEARCH("Node",Table4[[#This Row],[Type]])),IF(ISERROR(SEARCH("Iliac",Table4[[#This Row],[Type]])),"",Table4[[#This Row],[Type]]),Table4[[#This Row],[Type]])</f>
        <v/>
      </c>
      <c r="F62" t="s">
        <v>204</v>
      </c>
      <c r="L62" t="s">
        <v>20</v>
      </c>
    </row>
    <row r="63" spans="1:16" x14ac:dyDescent="0.25">
      <c r="A63" t="s">
        <v>210</v>
      </c>
      <c r="B63" t="s">
        <v>20</v>
      </c>
      <c r="C63" t="str">
        <f>IF(ISBLANK(Table4[[#This Row],[Region]]),Table4[[#This Row],[Node Type]],Table4[[#This Row],[Region]])</f>
        <v/>
      </c>
      <c r="E63" t="str">
        <f>IF(ISERROR(SEARCH("Node",Table4[[#This Row],[Type]])),IF(ISERROR(SEARCH("Iliac",Table4[[#This Row],[Type]])),"",Table4[[#This Row],[Type]]),Table4[[#This Row],[Type]])</f>
        <v/>
      </c>
      <c r="K63" t="s">
        <v>211</v>
      </c>
      <c r="L63" t="s">
        <v>20</v>
      </c>
    </row>
    <row r="64" spans="1:16" x14ac:dyDescent="0.25">
      <c r="A64" t="s">
        <v>212</v>
      </c>
      <c r="B64" t="s">
        <v>77</v>
      </c>
      <c r="C64" t="str">
        <f>IF(ISBLANK(Table4[[#This Row],[Region]]),Table4[[#This Row],[Node Type]],Table4[[#This Row],[Region]])</f>
        <v/>
      </c>
      <c r="E64" t="str">
        <f>IF(ISERROR(SEARCH("Node",Table4[[#This Row],[Type]])),IF(ISERROR(SEARCH("Iliac",Table4[[#This Row],[Type]])),"",Table4[[#This Row],[Type]]),Table4[[#This Row],[Type]])</f>
        <v/>
      </c>
      <c r="K64" t="s">
        <v>211</v>
      </c>
      <c r="L64" t="s">
        <v>77</v>
      </c>
    </row>
    <row r="65" spans="1:19" x14ac:dyDescent="0.25">
      <c r="A65" t="s">
        <v>213</v>
      </c>
      <c r="B65" t="s">
        <v>214</v>
      </c>
      <c r="C65" t="str">
        <f>IF(ISBLANK(Table4[[#This Row],[Region]]),Table4[[#This Row],[Node Type]],Table4[[#This Row],[Region]])</f>
        <v/>
      </c>
      <c r="E65" t="str">
        <f>IF(ISERROR(SEARCH("Node",Table4[[#This Row],[Type]])),IF(ISERROR(SEARCH("Iliac",Table4[[#This Row],[Type]])),"",Table4[[#This Row],[Type]]),Table4[[#This Row],[Type]])</f>
        <v/>
      </c>
      <c r="L65" t="s">
        <v>77</v>
      </c>
      <c r="R65" t="s">
        <v>215</v>
      </c>
      <c r="S65">
        <v>15</v>
      </c>
    </row>
    <row r="66" spans="1:19" x14ac:dyDescent="0.25">
      <c r="A66" t="s">
        <v>221</v>
      </c>
      <c r="B66" t="s">
        <v>20</v>
      </c>
      <c r="C66" t="str">
        <f>IF(ISBLANK(Table4[[#This Row],[Region]]),Table4[[#This Row],[Node Type]],Table4[[#This Row],[Region]])</f>
        <v/>
      </c>
      <c r="E66" t="str">
        <f>IF(ISERROR(SEARCH("Node",Table4[[#This Row],[Type]])),IF(ISERROR(SEARCH("Iliac",Table4[[#This Row],[Type]])),"",Table4[[#This Row],[Type]]),Table4[[#This Row],[Type]])</f>
        <v/>
      </c>
      <c r="H66">
        <v>1</v>
      </c>
      <c r="L66" t="s">
        <v>20</v>
      </c>
    </row>
    <row r="67" spans="1:19" x14ac:dyDescent="0.25">
      <c r="A67" t="s">
        <v>222</v>
      </c>
      <c r="B67" t="s">
        <v>20</v>
      </c>
      <c r="C67" t="str">
        <f>IF(ISBLANK(Table4[[#This Row],[Region]]),Table4[[#This Row],[Node Type]],Table4[[#This Row],[Region]])</f>
        <v/>
      </c>
      <c r="E67" t="str">
        <f>IF(ISERROR(SEARCH("Node",Table4[[#This Row],[Type]])),IF(ISERROR(SEARCH("Iliac",Table4[[#This Row],[Type]])),"",Table4[[#This Row],[Type]]),Table4[[#This Row],[Type]])</f>
        <v/>
      </c>
      <c r="H67">
        <v>2</v>
      </c>
      <c r="L67" t="s">
        <v>20</v>
      </c>
    </row>
    <row r="68" spans="1:19" x14ac:dyDescent="0.25">
      <c r="A68" t="s">
        <v>223</v>
      </c>
      <c r="B68" t="s">
        <v>20</v>
      </c>
      <c r="C68" t="str">
        <f>IF(ISBLANK(Table4[[#This Row],[Region]]),Table4[[#This Row],[Node Type]],Table4[[#This Row],[Region]])</f>
        <v/>
      </c>
      <c r="E68" t="str">
        <f>IF(ISERROR(SEARCH("Node",Table4[[#This Row],[Type]])),IF(ISERROR(SEARCH("Iliac",Table4[[#This Row],[Type]])),"",Table4[[#This Row],[Type]]),Table4[[#This Row],[Type]])</f>
        <v/>
      </c>
      <c r="H68">
        <v>3</v>
      </c>
      <c r="L68" t="s">
        <v>20</v>
      </c>
    </row>
    <row r="69" spans="1:19" x14ac:dyDescent="0.25">
      <c r="A69" t="s">
        <v>224</v>
      </c>
      <c r="B69" t="s">
        <v>20</v>
      </c>
      <c r="C69" t="str">
        <f>IF(ISBLANK(Table4[[#This Row],[Region]]),Table4[[#This Row],[Node Type]],Table4[[#This Row],[Region]])</f>
        <v/>
      </c>
      <c r="E69" t="str">
        <f>IF(ISERROR(SEARCH("Node",Table4[[#This Row],[Type]])),IF(ISERROR(SEARCH("Iliac",Table4[[#This Row],[Type]])),"",Table4[[#This Row],[Type]]),Table4[[#This Row],[Type]])</f>
        <v/>
      </c>
      <c r="H69">
        <v>4</v>
      </c>
      <c r="L69" t="s">
        <v>20</v>
      </c>
    </row>
    <row r="70" spans="1:19" x14ac:dyDescent="0.25">
      <c r="A70" t="s">
        <v>225</v>
      </c>
      <c r="B70" t="s">
        <v>20</v>
      </c>
      <c r="C70" t="str">
        <f>IF(ISBLANK(Table4[[#This Row],[Region]]),Table4[[#This Row],[Node Type]],Table4[[#This Row],[Region]])</f>
        <v/>
      </c>
      <c r="E70" t="str">
        <f>IF(ISERROR(SEARCH("Node",Table4[[#This Row],[Type]])),IF(ISERROR(SEARCH("Iliac",Table4[[#This Row],[Type]])),"",Table4[[#This Row],[Type]]),Table4[[#This Row],[Type]])</f>
        <v/>
      </c>
      <c r="H70">
        <v>5</v>
      </c>
      <c r="L70" t="s">
        <v>20</v>
      </c>
    </row>
    <row r="71" spans="1:19" x14ac:dyDescent="0.25">
      <c r="A71" t="s">
        <v>226</v>
      </c>
      <c r="B71" t="s">
        <v>20</v>
      </c>
      <c r="C71" t="str">
        <f>IF(ISBLANK(Table4[[#This Row],[Region]]),Table4[[#This Row],[Node Type]],Table4[[#This Row],[Region]])</f>
        <v/>
      </c>
      <c r="E71" t="str">
        <f>IF(ISERROR(SEARCH("Node",Table4[[#This Row],[Type]])),IF(ISERROR(SEARCH("Iliac",Table4[[#This Row],[Type]])),"",Table4[[#This Row],[Type]]),Table4[[#This Row],[Type]])</f>
        <v/>
      </c>
      <c r="L71" t="s">
        <v>226</v>
      </c>
    </row>
    <row r="72" spans="1:19" x14ac:dyDescent="0.25">
      <c r="A72" t="s">
        <v>227</v>
      </c>
      <c r="B72" t="s">
        <v>20</v>
      </c>
      <c r="C72" t="str">
        <f>IF(ISBLANK(Table4[[#This Row],[Region]]),Table4[[#This Row],[Node Type]],Table4[[#This Row],[Region]])</f>
        <v/>
      </c>
      <c r="E72" t="str">
        <f>IF(ISERROR(SEARCH("Node",Table4[[#This Row],[Type]])),IF(ISERROR(SEARCH("Iliac",Table4[[#This Row],[Type]])),"",Table4[[#This Row],[Type]]),Table4[[#This Row],[Type]])</f>
        <v/>
      </c>
      <c r="L72" t="s">
        <v>20</v>
      </c>
      <c r="M72" t="s">
        <v>228</v>
      </c>
    </row>
    <row r="73" spans="1:19" x14ac:dyDescent="0.25">
      <c r="A73" t="s">
        <v>229</v>
      </c>
      <c r="B73" t="s">
        <v>20</v>
      </c>
      <c r="C73" t="str">
        <f>IF(ISBLANK(Table4[[#This Row],[Region]]),Table4[[#This Row],[Node Type]],Table4[[#This Row],[Region]])</f>
        <v/>
      </c>
      <c r="E73" t="str">
        <f>IF(ISERROR(SEARCH("Node",Table4[[#This Row],[Type]])),IF(ISERROR(SEARCH("Iliac",Table4[[#This Row],[Type]])),"",Table4[[#This Row],[Type]]),Table4[[#This Row],[Type]])</f>
        <v/>
      </c>
      <c r="F73" t="s">
        <v>230</v>
      </c>
      <c r="L73" t="s">
        <v>20</v>
      </c>
    </row>
    <row r="74" spans="1:19" x14ac:dyDescent="0.25">
      <c r="A74" t="s">
        <v>233</v>
      </c>
      <c r="B74" t="s">
        <v>46</v>
      </c>
      <c r="C74" t="str">
        <f>IF(ISBLANK(Table4[[#This Row],[Region]]),Table4[[#This Row],[Node Type]],Table4[[#This Row],[Region]])</f>
        <v/>
      </c>
      <c r="E74" t="str">
        <f>IF(ISERROR(SEARCH("Node",Table4[[#This Row],[Type]])),IF(ISERROR(SEARCH("Iliac",Table4[[#This Row],[Type]])),"",Table4[[#This Row],[Type]]),Table4[[#This Row],[Type]])</f>
        <v/>
      </c>
      <c r="I74">
        <v>45</v>
      </c>
      <c r="L74" t="s">
        <v>46</v>
      </c>
    </row>
    <row r="75" spans="1:19" x14ac:dyDescent="0.25">
      <c r="A75" t="s">
        <v>234</v>
      </c>
      <c r="B75" t="s">
        <v>46</v>
      </c>
      <c r="C75" t="str">
        <f>IF(ISBLANK(Table4[[#This Row],[Region]]),Table4[[#This Row],[Node Type]],Table4[[#This Row],[Region]])</f>
        <v/>
      </c>
      <c r="E75" t="str">
        <f>IF(ISERROR(SEARCH("Node",Table4[[#This Row],[Type]])),IF(ISERROR(SEARCH("Iliac",Table4[[#This Row],[Type]])),"",Table4[[#This Row],[Type]]),Table4[[#This Row],[Type]])</f>
        <v/>
      </c>
      <c r="L75" t="s">
        <v>46</v>
      </c>
      <c r="M75" t="s">
        <v>235</v>
      </c>
    </row>
    <row r="76" spans="1:19" x14ac:dyDescent="0.25">
      <c r="A76" t="s">
        <v>238</v>
      </c>
      <c r="B76" t="s">
        <v>46</v>
      </c>
      <c r="C76" t="str">
        <f>IF(ISBLANK(Table4[[#This Row],[Region]]),Table4[[#This Row],[Node Type]],Table4[[#This Row],[Region]])</f>
        <v/>
      </c>
      <c r="E76" t="str">
        <f>IF(ISERROR(SEARCH("Node",Table4[[#This Row],[Type]])),IF(ISERROR(SEARCH("Iliac",Table4[[#This Row],[Type]])),"",Table4[[#This Row],[Type]]),Table4[[#This Row],[Type]])</f>
        <v/>
      </c>
      <c r="J76" t="s">
        <v>239</v>
      </c>
      <c r="L76" t="s">
        <v>45</v>
      </c>
    </row>
    <row r="77" spans="1:19" x14ac:dyDescent="0.25">
      <c r="A77" t="s">
        <v>243</v>
      </c>
      <c r="B77" t="s">
        <v>77</v>
      </c>
      <c r="C77" t="str">
        <f>IF(ISBLANK(Table4[[#This Row],[Region]]),Table4[[#This Row],[Node Type]],Table4[[#This Row],[Region]])</f>
        <v/>
      </c>
      <c r="E77" t="str">
        <f>IF(ISERROR(SEARCH("Node",Table4[[#This Row],[Type]])),IF(ISERROR(SEARCH("Iliac",Table4[[#This Row],[Type]])),"",Table4[[#This Row],[Type]]),Table4[[#This Row],[Type]])</f>
        <v/>
      </c>
      <c r="I77">
        <v>45</v>
      </c>
      <c r="L77" t="s">
        <v>77</v>
      </c>
    </row>
    <row r="78" spans="1:19" x14ac:dyDescent="0.25">
      <c r="A78" t="s">
        <v>244</v>
      </c>
      <c r="B78" t="s">
        <v>77</v>
      </c>
      <c r="C78" t="str">
        <f>IF(ISBLANK(Table4[[#This Row],[Region]]),Table4[[#This Row],[Node Type]],Table4[[#This Row],[Region]])</f>
        <v/>
      </c>
      <c r="E78" t="str">
        <f>IF(ISERROR(SEARCH("Node",Table4[[#This Row],[Type]])),IF(ISERROR(SEARCH("Iliac",Table4[[#This Row],[Type]])),"",Table4[[#This Row],[Type]]),Table4[[#This Row],[Type]])</f>
        <v/>
      </c>
      <c r="L78" t="s">
        <v>77</v>
      </c>
      <c r="M78" t="s">
        <v>235</v>
      </c>
    </row>
    <row r="79" spans="1:19" x14ac:dyDescent="0.25">
      <c r="A79" t="s">
        <v>247</v>
      </c>
      <c r="B79" t="s">
        <v>77</v>
      </c>
      <c r="C79" t="str">
        <f>IF(ISBLANK(Table4[[#This Row],[Region]]),Table4[[#This Row],[Node Type]],Table4[[#This Row],[Region]])</f>
        <v/>
      </c>
      <c r="E79" t="str">
        <f>IF(ISERROR(SEARCH("Node",Table4[[#This Row],[Type]])),IF(ISERROR(SEARCH("Iliac",Table4[[#This Row],[Type]])),"",Table4[[#This Row],[Type]]),Table4[[#This Row],[Type]])</f>
        <v/>
      </c>
      <c r="I79">
        <v>45</v>
      </c>
      <c r="L79" t="s">
        <v>77</v>
      </c>
      <c r="P79" t="s">
        <v>85</v>
      </c>
    </row>
    <row r="80" spans="1:19" x14ac:dyDescent="0.25">
      <c r="A80" t="s">
        <v>137</v>
      </c>
      <c r="B80" t="s">
        <v>46</v>
      </c>
      <c r="C80" t="str">
        <f>IF(ISBLANK(Table4[[#This Row],[Region]]),Table4[[#This Row],[Node Type]],Table4[[#This Row],[Region]])</f>
        <v/>
      </c>
      <c r="E80" t="str">
        <f>IF(ISERROR(SEARCH("Node",Table4[[#This Row],[Type]])),IF(ISERROR(SEARCH("Iliac",Table4[[#This Row],[Type]])),"",Table4[[#This Row],[Type]]),Table4[[#This Row],[Type]])</f>
        <v/>
      </c>
      <c r="L80" t="s">
        <v>137</v>
      </c>
    </row>
    <row r="81" spans="1:16" x14ac:dyDescent="0.25">
      <c r="A81" t="s">
        <v>248</v>
      </c>
      <c r="B81" t="s">
        <v>77</v>
      </c>
      <c r="C81" t="str">
        <f>IF(ISBLANK(Table4[[#This Row],[Region]]),Table4[[#This Row],[Node Type]],Table4[[#This Row],[Region]])</f>
        <v/>
      </c>
      <c r="E81" t="str">
        <f>IF(ISERROR(SEARCH("Node",Table4[[#This Row],[Type]])),IF(ISERROR(SEARCH("Iliac",Table4[[#This Row],[Type]])),"",Table4[[#This Row],[Type]]),Table4[[#This Row],[Type]])</f>
        <v/>
      </c>
      <c r="H81">
        <v>10</v>
      </c>
      <c r="L81" t="s">
        <v>77</v>
      </c>
      <c r="M81" t="s">
        <v>249</v>
      </c>
    </row>
    <row r="82" spans="1:16" x14ac:dyDescent="0.25">
      <c r="A82" t="s">
        <v>250</v>
      </c>
      <c r="B82" t="s">
        <v>77</v>
      </c>
      <c r="C82" t="str">
        <f>IF(ISBLANK(Table4[[#This Row],[Region]]),Table4[[#This Row],[Node Type]],Table4[[#This Row],[Region]])</f>
        <v/>
      </c>
      <c r="E82" t="str">
        <f>IF(ISERROR(SEARCH("Node",Table4[[#This Row],[Type]])),IF(ISERROR(SEARCH("Iliac",Table4[[#This Row],[Type]])),"",Table4[[#This Row],[Type]]),Table4[[#This Row],[Type]])</f>
        <v/>
      </c>
      <c r="H82">
        <v>10</v>
      </c>
      <c r="L82" t="s">
        <v>77</v>
      </c>
      <c r="M82" t="s">
        <v>249</v>
      </c>
      <c r="P82" t="s">
        <v>83</v>
      </c>
    </row>
    <row r="83" spans="1:16" x14ac:dyDescent="0.25">
      <c r="A83" t="s">
        <v>251</v>
      </c>
      <c r="B83" t="s">
        <v>77</v>
      </c>
      <c r="C83" t="str">
        <f>IF(ISBLANK(Table4[[#This Row],[Region]]),Table4[[#This Row],[Node Type]],Table4[[#This Row],[Region]])</f>
        <v/>
      </c>
      <c r="E83" t="str">
        <f>IF(ISERROR(SEARCH("Node",Table4[[#This Row],[Type]])),IF(ISERROR(SEARCH("Iliac",Table4[[#This Row],[Type]])),"",Table4[[#This Row],[Type]]),Table4[[#This Row],[Type]])</f>
        <v/>
      </c>
      <c r="H83">
        <v>15</v>
      </c>
      <c r="L83" t="s">
        <v>77</v>
      </c>
      <c r="M83" t="s">
        <v>249</v>
      </c>
    </row>
    <row r="84" spans="1:16" x14ac:dyDescent="0.25">
      <c r="A84" t="s">
        <v>252</v>
      </c>
      <c r="B84" t="s">
        <v>77</v>
      </c>
      <c r="C84" t="str">
        <f>IF(ISBLANK(Table4[[#This Row],[Region]]),Table4[[#This Row],[Node Type]],Table4[[#This Row],[Region]])</f>
        <v/>
      </c>
      <c r="E84" t="str">
        <f>IF(ISERROR(SEARCH("Node",Table4[[#This Row],[Type]])),IF(ISERROR(SEARCH("Iliac",Table4[[#This Row],[Type]])),"",Table4[[#This Row],[Type]]),Table4[[#This Row],[Type]])</f>
        <v/>
      </c>
      <c r="H84">
        <v>15</v>
      </c>
      <c r="L84" t="s">
        <v>77</v>
      </c>
      <c r="M84" t="s">
        <v>249</v>
      </c>
      <c r="P84" t="s">
        <v>83</v>
      </c>
    </row>
    <row r="85" spans="1:16" x14ac:dyDescent="0.25">
      <c r="A85" t="s">
        <v>253</v>
      </c>
      <c r="B85" t="s">
        <v>46</v>
      </c>
      <c r="C85" t="str">
        <f>IF(ISBLANK(Table4[[#This Row],[Region]]),Table4[[#This Row],[Node Type]],Table4[[#This Row],[Region]])</f>
        <v/>
      </c>
      <c r="E85" t="str">
        <f>IF(ISERROR(SEARCH("Node",Table4[[#This Row],[Type]])),IF(ISERROR(SEARCH("Iliac",Table4[[#This Row],[Type]])),"",Table4[[#This Row],[Type]]),Table4[[#This Row],[Type]])</f>
        <v/>
      </c>
      <c r="F85" t="s">
        <v>255</v>
      </c>
      <c r="L85" t="s">
        <v>254</v>
      </c>
    </row>
    <row r="86" spans="1:16" x14ac:dyDescent="0.25">
      <c r="A86" t="s">
        <v>258</v>
      </c>
      <c r="B86" t="s">
        <v>20</v>
      </c>
      <c r="C86" t="str">
        <f>IF(ISBLANK(Table4[[#This Row],[Region]]),Table4[[#This Row],[Node Type]],Table4[[#This Row],[Region]])</f>
        <v/>
      </c>
      <c r="E86" t="str">
        <f>IF(ISERROR(SEARCH("Node",Table4[[#This Row],[Type]])),IF(ISERROR(SEARCH("Iliac",Table4[[#This Row],[Type]])),"",Table4[[#This Row],[Type]]),Table4[[#This Row],[Type]])</f>
        <v/>
      </c>
      <c r="L86" t="s">
        <v>20</v>
      </c>
      <c r="M86" t="s">
        <v>259</v>
      </c>
    </row>
    <row r="87" spans="1:16" x14ac:dyDescent="0.25">
      <c r="A87" t="s">
        <v>260</v>
      </c>
      <c r="B87" t="s">
        <v>46</v>
      </c>
      <c r="C87" t="str">
        <f>IF(ISBLANK(Table4[[#This Row],[Region]]),Table4[[#This Row],[Node Type]],Table4[[#This Row],[Region]])</f>
        <v/>
      </c>
      <c r="E87" t="str">
        <f>IF(ISERROR(SEARCH("Node",Table4[[#This Row],[Type]])),IF(ISERROR(SEARCH("Iliac",Table4[[#This Row],[Type]])),"",Table4[[#This Row],[Type]]),Table4[[#This Row],[Type]])</f>
        <v/>
      </c>
      <c r="L87" t="s">
        <v>46</v>
      </c>
      <c r="M87" t="s">
        <v>261</v>
      </c>
    </row>
    <row r="88" spans="1:16" x14ac:dyDescent="0.25">
      <c r="A88" t="s">
        <v>262</v>
      </c>
      <c r="B88" t="s">
        <v>46</v>
      </c>
      <c r="C88" t="str">
        <f>IF(ISBLANK(Table4[[#This Row],[Region]]),Table4[[#This Row],[Node Type]],Table4[[#This Row],[Region]])</f>
        <v/>
      </c>
      <c r="E88" t="str">
        <f>IF(ISERROR(SEARCH("Node",Table4[[#This Row],[Type]])),IF(ISERROR(SEARCH("Iliac",Table4[[#This Row],[Type]])),"",Table4[[#This Row],[Type]]),Table4[[#This Row],[Type]])</f>
        <v/>
      </c>
      <c r="L88" t="s">
        <v>46</v>
      </c>
      <c r="M88" t="s">
        <v>263</v>
      </c>
    </row>
    <row r="89" spans="1:16" x14ac:dyDescent="0.25">
      <c r="A89" t="s">
        <v>278</v>
      </c>
      <c r="B89" t="s">
        <v>46</v>
      </c>
      <c r="C89" t="str">
        <f>IF(ISBLANK(Table4[[#This Row],[Region]]),Table4[[#This Row],[Node Type]],Table4[[#This Row],[Region]])</f>
        <v/>
      </c>
      <c r="E89" t="str">
        <f>IF(ISERROR(SEARCH("Node",Table4[[#This Row],[Type]])),IF(ISERROR(SEARCH("Iliac",Table4[[#This Row],[Type]])),"",Table4[[#This Row],[Type]]),Table4[[#This Row],[Type]])</f>
        <v/>
      </c>
      <c r="I89">
        <v>54</v>
      </c>
      <c r="L89" t="s">
        <v>46</v>
      </c>
      <c r="N89" t="s">
        <v>106</v>
      </c>
    </row>
    <row r="90" spans="1:16" x14ac:dyDescent="0.25">
      <c r="A90" t="s">
        <v>279</v>
      </c>
      <c r="B90" t="s">
        <v>46</v>
      </c>
      <c r="C90" t="str">
        <f>IF(ISBLANK(Table4[[#This Row],[Region]]),Table4[[#This Row],[Node Type]],Table4[[#This Row],[Region]])</f>
        <v/>
      </c>
      <c r="E90" t="str">
        <f>IF(ISERROR(SEARCH("Node",Table4[[#This Row],[Type]])),IF(ISERROR(SEARCH("Iliac",Table4[[#This Row],[Type]])),"",Table4[[#This Row],[Type]]),Table4[[#This Row],[Type]])</f>
        <v/>
      </c>
      <c r="I90">
        <v>54</v>
      </c>
      <c r="L90" t="s">
        <v>46</v>
      </c>
      <c r="N90" t="s">
        <v>108</v>
      </c>
    </row>
    <row r="91" spans="1:16" x14ac:dyDescent="0.25">
      <c r="A91" t="s">
        <v>280</v>
      </c>
      <c r="B91" t="s">
        <v>46</v>
      </c>
      <c r="C91" t="str">
        <f>IF(ISBLANK(Table4[[#This Row],[Region]]),Table4[[#This Row],[Node Type]],Table4[[#This Row],[Region]])</f>
        <v/>
      </c>
      <c r="E91" t="str">
        <f>IF(ISERROR(SEARCH("Node",Table4[[#This Row],[Type]])),IF(ISERROR(SEARCH("Iliac",Table4[[#This Row],[Type]])),"",Table4[[#This Row],[Type]]),Table4[[#This Row],[Type]])</f>
        <v/>
      </c>
      <c r="I91">
        <v>60</v>
      </c>
      <c r="L91" t="s">
        <v>46</v>
      </c>
      <c r="N91" t="s">
        <v>106</v>
      </c>
    </row>
    <row r="92" spans="1:16" x14ac:dyDescent="0.25">
      <c r="A92" t="s">
        <v>281</v>
      </c>
      <c r="B92" t="s">
        <v>46</v>
      </c>
      <c r="C92" t="str">
        <f>IF(ISBLANK(Table4[[#This Row],[Region]]),Table4[[#This Row],[Node Type]],Table4[[#This Row],[Region]])</f>
        <v/>
      </c>
      <c r="E92" t="str">
        <f>IF(ISERROR(SEARCH("Node",Table4[[#This Row],[Type]])),IF(ISERROR(SEARCH("Iliac",Table4[[#This Row],[Type]])),"",Table4[[#This Row],[Type]]),Table4[[#This Row],[Type]])</f>
        <v/>
      </c>
      <c r="I92">
        <v>60</v>
      </c>
      <c r="L92" t="s">
        <v>46</v>
      </c>
      <c r="N92" t="s">
        <v>108</v>
      </c>
    </row>
    <row r="93" spans="1:16" x14ac:dyDescent="0.25">
      <c r="A93" t="s">
        <v>286</v>
      </c>
      <c r="B93" t="s">
        <v>77</v>
      </c>
      <c r="C93" t="str">
        <f>IF(ISBLANK(Table4[[#This Row],[Region]]),Table4[[#This Row],[Node Type]],Table4[[#This Row],[Region]])</f>
        <v/>
      </c>
      <c r="E93" t="str">
        <f>IF(ISERROR(SEARCH("Node",Table4[[#This Row],[Type]])),IF(ISERROR(SEARCH("Iliac",Table4[[#This Row],[Type]])),"",Table4[[#This Row],[Type]]),Table4[[#This Row],[Type]])</f>
        <v/>
      </c>
      <c r="I93">
        <v>54</v>
      </c>
      <c r="L93" t="s">
        <v>77</v>
      </c>
    </row>
    <row r="94" spans="1:16" x14ac:dyDescent="0.25">
      <c r="A94" t="s">
        <v>287</v>
      </c>
      <c r="B94" t="s">
        <v>77</v>
      </c>
      <c r="C94" t="str">
        <f>IF(ISBLANK(Table4[[#This Row],[Region]]),Table4[[#This Row],[Node Type]],Table4[[#This Row],[Region]])</f>
        <v/>
      </c>
      <c r="E94" t="str">
        <f>IF(ISERROR(SEARCH("Node",Table4[[#This Row],[Type]])),IF(ISERROR(SEARCH("Iliac",Table4[[#This Row],[Type]])),"",Table4[[#This Row],[Type]]),Table4[[#This Row],[Type]])</f>
        <v/>
      </c>
      <c r="I94">
        <v>54</v>
      </c>
      <c r="L94" t="s">
        <v>77</v>
      </c>
      <c r="P94" t="s">
        <v>83</v>
      </c>
    </row>
    <row r="95" spans="1:16" x14ac:dyDescent="0.25">
      <c r="A95" t="s">
        <v>288</v>
      </c>
      <c r="B95" t="s">
        <v>77</v>
      </c>
      <c r="C95" t="str">
        <f>IF(ISBLANK(Table4[[#This Row],[Region]]),Table4[[#This Row],[Node Type]],Table4[[#This Row],[Region]])</f>
        <v/>
      </c>
      <c r="E95" t="str">
        <f>IF(ISERROR(SEARCH("Node",Table4[[#This Row],[Type]])),IF(ISERROR(SEARCH("Iliac",Table4[[#This Row],[Type]])),"",Table4[[#This Row],[Type]]),Table4[[#This Row],[Type]])</f>
        <v/>
      </c>
      <c r="I95">
        <v>54</v>
      </c>
      <c r="L95" t="s">
        <v>77</v>
      </c>
      <c r="N95" t="s">
        <v>106</v>
      </c>
    </row>
    <row r="96" spans="1:16" x14ac:dyDescent="0.25">
      <c r="A96" t="s">
        <v>289</v>
      </c>
      <c r="B96" t="s">
        <v>77</v>
      </c>
      <c r="C96" t="str">
        <f>IF(ISBLANK(Table4[[#This Row],[Region]]),Table4[[#This Row],[Node Type]],Table4[[#This Row],[Region]])</f>
        <v/>
      </c>
      <c r="E96" t="str">
        <f>IF(ISERROR(SEARCH("Node",Table4[[#This Row],[Type]])),IF(ISERROR(SEARCH("Iliac",Table4[[#This Row],[Type]])),"",Table4[[#This Row],[Type]]),Table4[[#This Row],[Type]])</f>
        <v/>
      </c>
      <c r="I96">
        <v>54</v>
      </c>
      <c r="L96" t="s">
        <v>77</v>
      </c>
      <c r="N96" t="s">
        <v>106</v>
      </c>
      <c r="O96" t="s">
        <v>290</v>
      </c>
      <c r="P96" t="s">
        <v>85</v>
      </c>
    </row>
    <row r="97" spans="1:16" x14ac:dyDescent="0.25">
      <c r="A97" t="s">
        <v>291</v>
      </c>
      <c r="B97" t="s">
        <v>77</v>
      </c>
      <c r="C97" t="str">
        <f>IF(ISBLANK(Table4[[#This Row],[Region]]),Table4[[#This Row],[Node Type]],Table4[[#This Row],[Region]])</f>
        <v/>
      </c>
      <c r="E97" t="str">
        <f>IF(ISERROR(SEARCH("Node",Table4[[#This Row],[Type]])),IF(ISERROR(SEARCH("Iliac",Table4[[#This Row],[Type]])),"",Table4[[#This Row],[Type]]),Table4[[#This Row],[Type]])</f>
        <v/>
      </c>
      <c r="I97">
        <v>54</v>
      </c>
      <c r="L97" t="s">
        <v>77</v>
      </c>
      <c r="N97" t="s">
        <v>106</v>
      </c>
      <c r="O97" t="s">
        <v>292</v>
      </c>
      <c r="P97" t="s">
        <v>85</v>
      </c>
    </row>
    <row r="98" spans="1:16" x14ac:dyDescent="0.25">
      <c r="A98" t="s">
        <v>293</v>
      </c>
      <c r="B98" t="s">
        <v>77</v>
      </c>
      <c r="C98" t="str">
        <f>IF(ISBLANK(Table4[[#This Row],[Region]]),Table4[[#This Row],[Node Type]],Table4[[#This Row],[Region]])</f>
        <v/>
      </c>
      <c r="E98" t="str">
        <f>IF(ISERROR(SEARCH("Node",Table4[[#This Row],[Type]])),IF(ISERROR(SEARCH("Iliac",Table4[[#This Row],[Type]])),"",Table4[[#This Row],[Type]]),Table4[[#This Row],[Type]])</f>
        <v/>
      </c>
      <c r="I98">
        <v>54</v>
      </c>
      <c r="L98" t="s">
        <v>77</v>
      </c>
      <c r="N98" t="s">
        <v>106</v>
      </c>
      <c r="O98" t="s">
        <v>294</v>
      </c>
      <c r="P98" t="s">
        <v>85</v>
      </c>
    </row>
    <row r="99" spans="1:16" x14ac:dyDescent="0.25">
      <c r="A99" t="s">
        <v>295</v>
      </c>
      <c r="B99" t="s">
        <v>77</v>
      </c>
      <c r="C99" t="str">
        <f>IF(ISBLANK(Table4[[#This Row],[Region]]),Table4[[#This Row],[Node Type]],Table4[[#This Row],[Region]])</f>
        <v/>
      </c>
      <c r="E99" t="str">
        <f>IF(ISERROR(SEARCH("Node",Table4[[#This Row],[Type]])),IF(ISERROR(SEARCH("Iliac",Table4[[#This Row],[Type]])),"",Table4[[#This Row],[Type]]),Table4[[#This Row],[Type]])</f>
        <v/>
      </c>
      <c r="I99">
        <v>54</v>
      </c>
      <c r="L99" t="s">
        <v>77</v>
      </c>
      <c r="N99" t="s">
        <v>108</v>
      </c>
    </row>
    <row r="100" spans="1:16" x14ac:dyDescent="0.25">
      <c r="A100" t="s">
        <v>296</v>
      </c>
      <c r="B100" t="s">
        <v>77</v>
      </c>
      <c r="C100" t="str">
        <f>IF(ISBLANK(Table4[[#This Row],[Region]]),Table4[[#This Row],[Node Type]],Table4[[#This Row],[Region]])</f>
        <v/>
      </c>
      <c r="E100" t="str">
        <f>IF(ISERROR(SEARCH("Node",Table4[[#This Row],[Type]])),IF(ISERROR(SEARCH("Iliac",Table4[[#This Row],[Type]])),"",Table4[[#This Row],[Type]]),Table4[[#This Row],[Type]])</f>
        <v/>
      </c>
      <c r="I100">
        <v>54</v>
      </c>
      <c r="L100" t="s">
        <v>77</v>
      </c>
      <c r="N100" t="s">
        <v>108</v>
      </c>
      <c r="O100" t="s">
        <v>290</v>
      </c>
      <c r="P100" t="s">
        <v>85</v>
      </c>
    </row>
    <row r="101" spans="1:16" x14ac:dyDescent="0.25">
      <c r="A101" t="s">
        <v>297</v>
      </c>
      <c r="B101" t="s">
        <v>77</v>
      </c>
      <c r="C101" t="str">
        <f>IF(ISBLANK(Table4[[#This Row],[Region]]),Table4[[#This Row],[Node Type]],Table4[[#This Row],[Region]])</f>
        <v/>
      </c>
      <c r="E101" t="str">
        <f>IF(ISERROR(SEARCH("Node",Table4[[#This Row],[Type]])),IF(ISERROR(SEARCH("Iliac",Table4[[#This Row],[Type]])),"",Table4[[#This Row],[Type]]),Table4[[#This Row],[Type]])</f>
        <v/>
      </c>
      <c r="I101">
        <v>54</v>
      </c>
      <c r="L101" t="s">
        <v>77</v>
      </c>
      <c r="N101" t="s">
        <v>108</v>
      </c>
      <c r="O101" t="s">
        <v>292</v>
      </c>
      <c r="P101" t="s">
        <v>85</v>
      </c>
    </row>
    <row r="102" spans="1:16" x14ac:dyDescent="0.25">
      <c r="A102" t="s">
        <v>298</v>
      </c>
      <c r="B102" t="s">
        <v>77</v>
      </c>
      <c r="C102" t="str">
        <f>IF(ISBLANK(Table4[[#This Row],[Region]]),Table4[[#This Row],[Node Type]],Table4[[#This Row],[Region]])</f>
        <v/>
      </c>
      <c r="E102" t="str">
        <f>IF(ISERROR(SEARCH("Node",Table4[[#This Row],[Type]])),IF(ISERROR(SEARCH("Iliac",Table4[[#This Row],[Type]])),"",Table4[[#This Row],[Type]]),Table4[[#This Row],[Type]])</f>
        <v/>
      </c>
      <c r="I102">
        <v>54</v>
      </c>
      <c r="L102" t="s">
        <v>77</v>
      </c>
      <c r="N102" t="s">
        <v>108</v>
      </c>
      <c r="O102" t="s">
        <v>294</v>
      </c>
      <c r="P102" t="s">
        <v>85</v>
      </c>
    </row>
    <row r="103" spans="1:16" x14ac:dyDescent="0.25">
      <c r="A103" t="s">
        <v>299</v>
      </c>
      <c r="B103" t="s">
        <v>77</v>
      </c>
      <c r="C103" t="str">
        <f>IF(ISBLANK(Table4[[#This Row],[Region]]),Table4[[#This Row],[Node Type]],Table4[[#This Row],[Region]])</f>
        <v/>
      </c>
      <c r="E103" t="str">
        <f>IF(ISERROR(SEARCH("Node",Table4[[#This Row],[Type]])),IF(ISERROR(SEARCH("Iliac",Table4[[#This Row],[Type]])),"",Table4[[#This Row],[Type]]),Table4[[#This Row],[Type]])</f>
        <v/>
      </c>
      <c r="I103">
        <v>60</v>
      </c>
      <c r="L103" t="s">
        <v>77</v>
      </c>
    </row>
    <row r="104" spans="1:16" x14ac:dyDescent="0.25">
      <c r="A104" t="s">
        <v>300</v>
      </c>
      <c r="B104" t="s">
        <v>77</v>
      </c>
      <c r="C104" t="str">
        <f>IF(ISBLANK(Table4[[#This Row],[Region]]),Table4[[#This Row],[Node Type]],Table4[[#This Row],[Region]])</f>
        <v/>
      </c>
      <c r="E104" t="str">
        <f>IF(ISERROR(SEARCH("Node",Table4[[#This Row],[Type]])),IF(ISERROR(SEARCH("Iliac",Table4[[#This Row],[Type]])),"",Table4[[#This Row],[Type]]),Table4[[#This Row],[Type]])</f>
        <v/>
      </c>
      <c r="I104">
        <v>60</v>
      </c>
      <c r="L104" t="s">
        <v>77</v>
      </c>
      <c r="O104" t="s">
        <v>290</v>
      </c>
      <c r="P104" t="s">
        <v>85</v>
      </c>
    </row>
    <row r="105" spans="1:16" x14ac:dyDescent="0.25">
      <c r="A105" t="s">
        <v>301</v>
      </c>
      <c r="B105" t="s">
        <v>77</v>
      </c>
      <c r="C105" t="str">
        <f>IF(ISBLANK(Table4[[#This Row],[Region]]),Table4[[#This Row],[Node Type]],Table4[[#This Row],[Region]])</f>
        <v/>
      </c>
      <c r="E105" t="str">
        <f>IF(ISERROR(SEARCH("Node",Table4[[#This Row],[Type]])),IF(ISERROR(SEARCH("Iliac",Table4[[#This Row],[Type]])),"",Table4[[#This Row],[Type]]),Table4[[#This Row],[Type]])</f>
        <v/>
      </c>
      <c r="I105">
        <v>60</v>
      </c>
      <c r="L105" t="s">
        <v>77</v>
      </c>
      <c r="O105" t="s">
        <v>292</v>
      </c>
      <c r="P105" t="s">
        <v>85</v>
      </c>
    </row>
    <row r="106" spans="1:16" x14ac:dyDescent="0.25">
      <c r="A106" t="s">
        <v>302</v>
      </c>
      <c r="B106" t="s">
        <v>77</v>
      </c>
      <c r="C106" t="str">
        <f>IF(ISBLANK(Table4[[#This Row],[Region]]),Table4[[#This Row],[Node Type]],Table4[[#This Row],[Region]])</f>
        <v/>
      </c>
      <c r="E106" t="str">
        <f>IF(ISERROR(SEARCH("Node",Table4[[#This Row],[Type]])),IF(ISERROR(SEARCH("Iliac",Table4[[#This Row],[Type]])),"",Table4[[#This Row],[Type]]),Table4[[#This Row],[Type]])</f>
        <v/>
      </c>
      <c r="I106">
        <v>60</v>
      </c>
      <c r="L106" t="s">
        <v>77</v>
      </c>
      <c r="P106" t="s">
        <v>83</v>
      </c>
    </row>
    <row r="107" spans="1:16" x14ac:dyDescent="0.25">
      <c r="A107" t="s">
        <v>303</v>
      </c>
      <c r="B107" t="s">
        <v>77</v>
      </c>
      <c r="C107" t="str">
        <f>IF(ISBLANK(Table4[[#This Row],[Region]]),Table4[[#This Row],[Node Type]],Table4[[#This Row],[Region]])</f>
        <v/>
      </c>
      <c r="E107" t="str">
        <f>IF(ISERROR(SEARCH("Node",Table4[[#This Row],[Type]])),IF(ISERROR(SEARCH("Iliac",Table4[[#This Row],[Type]])),"",Table4[[#This Row],[Type]]),Table4[[#This Row],[Type]])</f>
        <v/>
      </c>
      <c r="I107">
        <v>66</v>
      </c>
      <c r="L107" t="s">
        <v>77</v>
      </c>
      <c r="P107" t="s">
        <v>83</v>
      </c>
    </row>
    <row r="108" spans="1:16" x14ac:dyDescent="0.25">
      <c r="A108" t="s">
        <v>305</v>
      </c>
      <c r="B108" t="s">
        <v>46</v>
      </c>
      <c r="C108" t="str">
        <f>IF(ISBLANK(Table4[[#This Row],[Region]]),Table4[[#This Row],[Node Type]],Table4[[#This Row],[Region]])</f>
        <v/>
      </c>
      <c r="E108" t="str">
        <f>IF(ISERROR(SEARCH("Node",Table4[[#This Row],[Type]])),IF(ISERROR(SEARCH("Iliac",Table4[[#This Row],[Type]])),"",Table4[[#This Row],[Type]]),Table4[[#This Row],[Type]])</f>
        <v/>
      </c>
      <c r="I108">
        <v>56</v>
      </c>
      <c r="L108" t="s">
        <v>46</v>
      </c>
      <c r="N108" t="s">
        <v>106</v>
      </c>
    </row>
    <row r="109" spans="1:16" x14ac:dyDescent="0.25">
      <c r="A109" t="s">
        <v>306</v>
      </c>
      <c r="B109" t="s">
        <v>46</v>
      </c>
      <c r="C109" t="str">
        <f>IF(ISBLANK(Table4[[#This Row],[Region]]),Table4[[#This Row],[Node Type]],Table4[[#This Row],[Region]])</f>
        <v/>
      </c>
      <c r="E109" t="str">
        <f>IF(ISERROR(SEARCH("Node",Table4[[#This Row],[Type]])),IF(ISERROR(SEARCH("Iliac",Table4[[#This Row],[Type]])),"",Table4[[#This Row],[Type]]),Table4[[#This Row],[Type]])</f>
        <v/>
      </c>
      <c r="I109">
        <v>56</v>
      </c>
      <c r="L109" t="s">
        <v>46</v>
      </c>
      <c r="N109" t="s">
        <v>108</v>
      </c>
    </row>
    <row r="110" spans="1:16" x14ac:dyDescent="0.25">
      <c r="A110" t="s">
        <v>307</v>
      </c>
      <c r="B110" t="s">
        <v>46</v>
      </c>
      <c r="C110" t="str">
        <f>IF(ISBLANK(Table4[[#This Row],[Region]]),Table4[[#This Row],[Node Type]],Table4[[#This Row],[Region]])</f>
        <v/>
      </c>
      <c r="E110" t="str">
        <f>IF(ISERROR(SEARCH("Node",Table4[[#This Row],[Type]])),IF(ISERROR(SEARCH("Iliac",Table4[[#This Row],[Type]])),"",Table4[[#This Row],[Type]]),Table4[[#This Row],[Type]])</f>
        <v/>
      </c>
      <c r="I110">
        <v>63</v>
      </c>
      <c r="L110" t="s">
        <v>46</v>
      </c>
      <c r="N110" t="s">
        <v>106</v>
      </c>
    </row>
    <row r="111" spans="1:16" x14ac:dyDescent="0.25">
      <c r="A111" t="s">
        <v>308</v>
      </c>
      <c r="B111" t="s">
        <v>46</v>
      </c>
      <c r="C111" t="str">
        <f>IF(ISBLANK(Table4[[#This Row],[Region]]),Table4[[#This Row],[Node Type]],Table4[[#This Row],[Region]])</f>
        <v/>
      </c>
      <c r="E111" t="str">
        <f>IF(ISERROR(SEARCH("Node",Table4[[#This Row],[Type]])),IF(ISERROR(SEARCH("Iliac",Table4[[#This Row],[Type]])),"",Table4[[#This Row],[Type]]),Table4[[#This Row],[Type]])</f>
        <v/>
      </c>
      <c r="I111">
        <v>63</v>
      </c>
      <c r="L111" t="s">
        <v>46</v>
      </c>
      <c r="N111" t="s">
        <v>108</v>
      </c>
    </row>
    <row r="112" spans="1:16" x14ac:dyDescent="0.25">
      <c r="A112" t="s">
        <v>309</v>
      </c>
      <c r="B112" t="s">
        <v>46</v>
      </c>
      <c r="C112" t="str">
        <f>IF(ISBLANK(Table4[[#This Row],[Region]]),Table4[[#This Row],[Node Type]],Table4[[#This Row],[Region]])</f>
        <v/>
      </c>
      <c r="E112" t="str">
        <f>IF(ISERROR(SEARCH("Node",Table4[[#This Row],[Type]])),IF(ISERROR(SEARCH("Iliac",Table4[[#This Row],[Type]])),"",Table4[[#This Row],[Type]]),Table4[[#This Row],[Type]])</f>
        <v/>
      </c>
      <c r="I112">
        <v>70</v>
      </c>
      <c r="L112" t="s">
        <v>46</v>
      </c>
    </row>
    <row r="113" spans="1:16" x14ac:dyDescent="0.25">
      <c r="A113" t="s">
        <v>310</v>
      </c>
      <c r="B113" t="s">
        <v>77</v>
      </c>
      <c r="C113" t="str">
        <f>IF(ISBLANK(Table4[[#This Row],[Region]]),Table4[[#This Row],[Node Type]],Table4[[#This Row],[Region]])</f>
        <v/>
      </c>
      <c r="E113" t="str">
        <f>IF(ISERROR(SEARCH("Node",Table4[[#This Row],[Type]])),IF(ISERROR(SEARCH("Iliac",Table4[[#This Row],[Type]])),"",Table4[[#This Row],[Type]]),Table4[[#This Row],[Type]])</f>
        <v/>
      </c>
      <c r="I113">
        <v>56</v>
      </c>
      <c r="L113" t="s">
        <v>77</v>
      </c>
    </row>
    <row r="114" spans="1:16" x14ac:dyDescent="0.25">
      <c r="A114" t="s">
        <v>311</v>
      </c>
      <c r="B114" t="s">
        <v>77</v>
      </c>
      <c r="C114" t="str">
        <f>IF(ISBLANK(Table4[[#This Row],[Region]]),Table4[[#This Row],[Node Type]],Table4[[#This Row],[Region]])</f>
        <v/>
      </c>
      <c r="E114" t="str">
        <f>IF(ISERROR(SEARCH("Node",Table4[[#This Row],[Type]])),IF(ISERROR(SEARCH("Iliac",Table4[[#This Row],[Type]])),"",Table4[[#This Row],[Type]]),Table4[[#This Row],[Type]])</f>
        <v/>
      </c>
      <c r="I114">
        <v>56</v>
      </c>
      <c r="L114" t="s">
        <v>77</v>
      </c>
      <c r="P114" t="s">
        <v>83</v>
      </c>
    </row>
    <row r="115" spans="1:16" x14ac:dyDescent="0.25">
      <c r="A115" t="s">
        <v>312</v>
      </c>
      <c r="B115" t="s">
        <v>77</v>
      </c>
      <c r="C115" t="str">
        <f>IF(ISBLANK(Table4[[#This Row],[Region]]),Table4[[#This Row],[Node Type]],Table4[[#This Row],[Region]])</f>
        <v/>
      </c>
      <c r="E115" t="str">
        <f>IF(ISERROR(SEARCH("Node",Table4[[#This Row],[Type]])),IF(ISERROR(SEARCH("Iliac",Table4[[#This Row],[Type]])),"",Table4[[#This Row],[Type]]),Table4[[#This Row],[Type]])</f>
        <v/>
      </c>
      <c r="I115">
        <v>56</v>
      </c>
      <c r="L115" t="s">
        <v>77</v>
      </c>
      <c r="N115" t="s">
        <v>106</v>
      </c>
    </row>
    <row r="116" spans="1:16" x14ac:dyDescent="0.25">
      <c r="A116" t="s">
        <v>313</v>
      </c>
      <c r="B116" t="s">
        <v>77</v>
      </c>
      <c r="C116" t="str">
        <f>IF(ISBLANK(Table4[[#This Row],[Region]]),Table4[[#This Row],[Node Type]],Table4[[#This Row],[Region]])</f>
        <v/>
      </c>
      <c r="E116" t="str">
        <f>IF(ISERROR(SEARCH("Node",Table4[[#This Row],[Type]])),IF(ISERROR(SEARCH("Iliac",Table4[[#This Row],[Type]])),"",Table4[[#This Row],[Type]]),Table4[[#This Row],[Type]])</f>
        <v/>
      </c>
      <c r="I116">
        <v>56</v>
      </c>
      <c r="L116" t="s">
        <v>77</v>
      </c>
      <c r="N116" t="s">
        <v>106</v>
      </c>
      <c r="O116" t="s">
        <v>290</v>
      </c>
      <c r="P116" t="s">
        <v>85</v>
      </c>
    </row>
    <row r="117" spans="1:16" x14ac:dyDescent="0.25">
      <c r="A117" t="s">
        <v>314</v>
      </c>
      <c r="B117" t="s">
        <v>77</v>
      </c>
      <c r="C117" t="str">
        <f>IF(ISBLANK(Table4[[#This Row],[Region]]),Table4[[#This Row],[Node Type]],Table4[[#This Row],[Region]])</f>
        <v/>
      </c>
      <c r="E117" t="str">
        <f>IF(ISERROR(SEARCH("Node",Table4[[#This Row],[Type]])),IF(ISERROR(SEARCH("Iliac",Table4[[#This Row],[Type]])),"",Table4[[#This Row],[Type]]),Table4[[#This Row],[Type]])</f>
        <v/>
      </c>
      <c r="I117">
        <v>56</v>
      </c>
      <c r="L117" t="s">
        <v>77</v>
      </c>
      <c r="N117" t="s">
        <v>106</v>
      </c>
      <c r="O117" t="s">
        <v>292</v>
      </c>
      <c r="P117" t="s">
        <v>85</v>
      </c>
    </row>
    <row r="118" spans="1:16" x14ac:dyDescent="0.25">
      <c r="A118" t="s">
        <v>315</v>
      </c>
      <c r="B118" t="s">
        <v>77</v>
      </c>
      <c r="C118" t="str">
        <f>IF(ISBLANK(Table4[[#This Row],[Region]]),Table4[[#This Row],[Node Type]],Table4[[#This Row],[Region]])</f>
        <v/>
      </c>
      <c r="E118" t="str">
        <f>IF(ISERROR(SEARCH("Node",Table4[[#This Row],[Type]])),IF(ISERROR(SEARCH("Iliac",Table4[[#This Row],[Type]])),"",Table4[[#This Row],[Type]]),Table4[[#This Row],[Type]])</f>
        <v/>
      </c>
      <c r="I118">
        <v>56</v>
      </c>
      <c r="L118" t="s">
        <v>77</v>
      </c>
      <c r="N118" t="s">
        <v>106</v>
      </c>
      <c r="O118" t="s">
        <v>294</v>
      </c>
      <c r="P118" t="s">
        <v>85</v>
      </c>
    </row>
    <row r="119" spans="1:16" x14ac:dyDescent="0.25">
      <c r="A119" t="s">
        <v>316</v>
      </c>
      <c r="B119" t="s">
        <v>77</v>
      </c>
      <c r="C119" t="str">
        <f>IF(ISBLANK(Table4[[#This Row],[Region]]),Table4[[#This Row],[Node Type]],Table4[[#This Row],[Region]])</f>
        <v/>
      </c>
      <c r="E119" t="str">
        <f>IF(ISERROR(SEARCH("Node",Table4[[#This Row],[Type]])),IF(ISERROR(SEARCH("Iliac",Table4[[#This Row],[Type]])),"",Table4[[#This Row],[Type]]),Table4[[#This Row],[Type]])</f>
        <v/>
      </c>
      <c r="I119">
        <v>56</v>
      </c>
      <c r="L119" t="s">
        <v>77</v>
      </c>
      <c r="N119" t="s">
        <v>108</v>
      </c>
    </row>
    <row r="120" spans="1:16" x14ac:dyDescent="0.25">
      <c r="A120" t="s">
        <v>317</v>
      </c>
      <c r="B120" t="s">
        <v>77</v>
      </c>
      <c r="C120" t="str">
        <f>IF(ISBLANK(Table4[[#This Row],[Region]]),Table4[[#This Row],[Node Type]],Table4[[#This Row],[Region]])</f>
        <v/>
      </c>
      <c r="E120" t="str">
        <f>IF(ISERROR(SEARCH("Node",Table4[[#This Row],[Type]])),IF(ISERROR(SEARCH("Iliac",Table4[[#This Row],[Type]])),"",Table4[[#This Row],[Type]]),Table4[[#This Row],[Type]])</f>
        <v/>
      </c>
      <c r="I120">
        <v>56</v>
      </c>
      <c r="L120" t="s">
        <v>77</v>
      </c>
      <c r="N120" t="s">
        <v>108</v>
      </c>
      <c r="O120" t="s">
        <v>290</v>
      </c>
      <c r="P120" t="s">
        <v>85</v>
      </c>
    </row>
    <row r="121" spans="1:16" x14ac:dyDescent="0.25">
      <c r="A121" t="s">
        <v>318</v>
      </c>
      <c r="B121" t="s">
        <v>77</v>
      </c>
      <c r="C121" t="str">
        <f>IF(ISBLANK(Table4[[#This Row],[Region]]),Table4[[#This Row],[Node Type]],Table4[[#This Row],[Region]])</f>
        <v/>
      </c>
      <c r="E121" t="str">
        <f>IF(ISERROR(SEARCH("Node",Table4[[#This Row],[Type]])),IF(ISERROR(SEARCH("Iliac",Table4[[#This Row],[Type]])),"",Table4[[#This Row],[Type]]),Table4[[#This Row],[Type]])</f>
        <v/>
      </c>
      <c r="I121">
        <v>56</v>
      </c>
      <c r="L121" t="s">
        <v>77</v>
      </c>
      <c r="N121" t="s">
        <v>108</v>
      </c>
      <c r="O121" t="s">
        <v>292</v>
      </c>
      <c r="P121" t="s">
        <v>85</v>
      </c>
    </row>
    <row r="122" spans="1:16" x14ac:dyDescent="0.25">
      <c r="A122" t="s">
        <v>319</v>
      </c>
      <c r="B122" t="s">
        <v>77</v>
      </c>
      <c r="C122" t="str">
        <f>IF(ISBLANK(Table4[[#This Row],[Region]]),Table4[[#This Row],[Node Type]],Table4[[#This Row],[Region]])</f>
        <v/>
      </c>
      <c r="E122" t="str">
        <f>IF(ISERROR(SEARCH("Node",Table4[[#This Row],[Type]])),IF(ISERROR(SEARCH("Iliac",Table4[[#This Row],[Type]])),"",Table4[[#This Row],[Type]]),Table4[[#This Row],[Type]])</f>
        <v/>
      </c>
      <c r="I122">
        <v>56</v>
      </c>
      <c r="L122" t="s">
        <v>77</v>
      </c>
      <c r="N122" t="s">
        <v>108</v>
      </c>
      <c r="O122" t="s">
        <v>294</v>
      </c>
      <c r="P122" t="s">
        <v>85</v>
      </c>
    </row>
    <row r="123" spans="1:16" x14ac:dyDescent="0.25">
      <c r="A123" t="s">
        <v>320</v>
      </c>
      <c r="B123" t="s">
        <v>77</v>
      </c>
      <c r="C123" t="str">
        <f>IF(ISBLANK(Table4[[#This Row],[Region]]),Table4[[#This Row],[Node Type]],Table4[[#This Row],[Region]])</f>
        <v/>
      </c>
      <c r="E123" t="str">
        <f>IF(ISERROR(SEARCH("Node",Table4[[#This Row],[Type]])),IF(ISERROR(SEARCH("Iliac",Table4[[#This Row],[Type]])),"",Table4[[#This Row],[Type]]),Table4[[#This Row],[Type]])</f>
        <v/>
      </c>
      <c r="I123">
        <v>63</v>
      </c>
      <c r="L123" t="s">
        <v>77</v>
      </c>
    </row>
    <row r="124" spans="1:16" x14ac:dyDescent="0.25">
      <c r="A124" t="s">
        <v>321</v>
      </c>
      <c r="B124" t="s">
        <v>77</v>
      </c>
      <c r="C124" t="str">
        <f>IF(ISBLANK(Table4[[#This Row],[Region]]),Table4[[#This Row],[Node Type]],Table4[[#This Row],[Region]])</f>
        <v/>
      </c>
      <c r="E124" t="str">
        <f>IF(ISERROR(SEARCH("Node",Table4[[#This Row],[Type]])),IF(ISERROR(SEARCH("Iliac",Table4[[#This Row],[Type]])),"",Table4[[#This Row],[Type]]),Table4[[#This Row],[Type]])</f>
        <v/>
      </c>
      <c r="I124">
        <v>63</v>
      </c>
      <c r="L124" t="s">
        <v>77</v>
      </c>
      <c r="O124" t="s">
        <v>290</v>
      </c>
      <c r="P124" t="s">
        <v>85</v>
      </c>
    </row>
    <row r="125" spans="1:16" x14ac:dyDescent="0.25">
      <c r="A125" t="s">
        <v>322</v>
      </c>
      <c r="B125" t="s">
        <v>77</v>
      </c>
      <c r="C125" t="str">
        <f>IF(ISBLANK(Table4[[#This Row],[Region]]),Table4[[#This Row],[Node Type]],Table4[[#This Row],[Region]])</f>
        <v/>
      </c>
      <c r="E125" t="str">
        <f>IF(ISERROR(SEARCH("Node",Table4[[#This Row],[Type]])),IF(ISERROR(SEARCH("Iliac",Table4[[#This Row],[Type]])),"",Table4[[#This Row],[Type]]),Table4[[#This Row],[Type]])</f>
        <v/>
      </c>
      <c r="I125">
        <v>63</v>
      </c>
      <c r="L125" t="s">
        <v>77</v>
      </c>
      <c r="O125" t="s">
        <v>292</v>
      </c>
      <c r="P125" t="s">
        <v>85</v>
      </c>
    </row>
    <row r="126" spans="1:16" x14ac:dyDescent="0.25">
      <c r="A126" t="s">
        <v>323</v>
      </c>
      <c r="B126" t="s">
        <v>77</v>
      </c>
      <c r="C126" t="str">
        <f>IF(ISBLANK(Table4[[#This Row],[Region]]),Table4[[#This Row],[Node Type]],Table4[[#This Row],[Region]])</f>
        <v/>
      </c>
      <c r="E126" t="str">
        <f>IF(ISERROR(SEARCH("Node",Table4[[#This Row],[Type]])),IF(ISERROR(SEARCH("Iliac",Table4[[#This Row],[Type]])),"",Table4[[#This Row],[Type]]),Table4[[#This Row],[Type]])</f>
        <v/>
      </c>
      <c r="I126">
        <v>63</v>
      </c>
      <c r="L126" t="s">
        <v>77</v>
      </c>
      <c r="P126" t="s">
        <v>83</v>
      </c>
    </row>
    <row r="127" spans="1:16" x14ac:dyDescent="0.25">
      <c r="A127" t="s">
        <v>324</v>
      </c>
      <c r="B127" t="s">
        <v>77</v>
      </c>
      <c r="C127" t="str">
        <f>IF(ISBLANK(Table4[[#This Row],[Region]]),Table4[[#This Row],[Node Type]],Table4[[#This Row],[Region]])</f>
        <v/>
      </c>
      <c r="E127" t="str">
        <f>IF(ISERROR(SEARCH("Node",Table4[[#This Row],[Type]])),IF(ISERROR(SEARCH("Iliac",Table4[[#This Row],[Type]])),"",Table4[[#This Row],[Type]]),Table4[[#This Row],[Type]])</f>
        <v/>
      </c>
      <c r="I127">
        <v>70</v>
      </c>
      <c r="L127" t="s">
        <v>77</v>
      </c>
    </row>
    <row r="128" spans="1:16" x14ac:dyDescent="0.25">
      <c r="A128" t="s">
        <v>325</v>
      </c>
      <c r="B128" t="s">
        <v>77</v>
      </c>
      <c r="C128" t="str">
        <f>IF(ISBLANK(Table4[[#This Row],[Region]]),Table4[[#This Row],[Node Type]],Table4[[#This Row],[Region]])</f>
        <v/>
      </c>
      <c r="E128" t="str">
        <f>IF(ISERROR(SEARCH("Node",Table4[[#This Row],[Type]])),IF(ISERROR(SEARCH("Iliac",Table4[[#This Row],[Type]])),"",Table4[[#This Row],[Type]]),Table4[[#This Row],[Type]])</f>
        <v/>
      </c>
      <c r="I128">
        <v>70</v>
      </c>
      <c r="L128" t="s">
        <v>77</v>
      </c>
      <c r="P128" t="s">
        <v>83</v>
      </c>
    </row>
    <row r="129" spans="1:19" x14ac:dyDescent="0.25">
      <c r="A129" t="s">
        <v>326</v>
      </c>
      <c r="B129" t="s">
        <v>77</v>
      </c>
      <c r="C129" t="str">
        <f>IF(ISBLANK(Table4[[#This Row],[Region]]),Table4[[#This Row],[Node Type]],Table4[[#This Row],[Region]])</f>
        <v/>
      </c>
      <c r="E129" t="str">
        <f>IF(ISERROR(SEARCH("Node",Table4[[#This Row],[Type]])),IF(ISERROR(SEARCH("Iliac",Table4[[#This Row],[Type]])),"",Table4[[#This Row],[Type]]),Table4[[#This Row],[Type]])</f>
        <v/>
      </c>
      <c r="I129">
        <v>70</v>
      </c>
      <c r="L129" t="s">
        <v>77</v>
      </c>
      <c r="P129" t="s">
        <v>85</v>
      </c>
    </row>
    <row r="130" spans="1:19" x14ac:dyDescent="0.25">
      <c r="A130" t="s">
        <v>338</v>
      </c>
      <c r="B130" t="s">
        <v>87</v>
      </c>
      <c r="C130" t="str">
        <f>IF(ISBLANK(Table4[[#This Row],[Region]]),Table4[[#This Row],[Node Type]],Table4[[#This Row],[Region]])</f>
        <v/>
      </c>
      <c r="E130" t="str">
        <f>IF(ISERROR(SEARCH("Node",Table4[[#This Row],[Type]])),IF(ISERROR(SEARCH("Iliac",Table4[[#This Row],[Type]])),"",Table4[[#This Row],[Type]]),Table4[[#This Row],[Type]])</f>
        <v/>
      </c>
      <c r="L130" t="s">
        <v>77</v>
      </c>
      <c r="R130" t="s">
        <v>215</v>
      </c>
      <c r="S130">
        <v>20</v>
      </c>
    </row>
    <row r="131" spans="1:19" x14ac:dyDescent="0.25">
      <c r="A131" t="s">
        <v>345</v>
      </c>
      <c r="B131" t="s">
        <v>46</v>
      </c>
      <c r="C131" t="str">
        <f>IF(ISBLANK(Table4[[#This Row],[Region]]),Table4[[#This Row],[Node Type]],Table4[[#This Row],[Region]])</f>
        <v/>
      </c>
      <c r="E131" t="str">
        <f>IF(ISERROR(SEARCH("Node",Table4[[#This Row],[Type]])),IF(ISERROR(SEARCH("Iliac",Table4[[#This Row],[Type]])),"",Table4[[#This Row],[Type]]),Table4[[#This Row],[Type]])</f>
        <v/>
      </c>
      <c r="J131" t="s">
        <v>119</v>
      </c>
      <c r="L131" t="s">
        <v>46</v>
      </c>
    </row>
    <row r="132" spans="1:19" x14ac:dyDescent="0.25">
      <c r="A132" t="s">
        <v>346</v>
      </c>
      <c r="B132" t="s">
        <v>77</v>
      </c>
      <c r="C132" t="str">
        <f>IF(ISBLANK(Table4[[#This Row],[Region]]),Table4[[#This Row],[Node Type]],Table4[[#This Row],[Region]])</f>
        <v/>
      </c>
      <c r="E132" t="str">
        <f>IF(ISERROR(SEARCH("Node",Table4[[#This Row],[Type]])),IF(ISERROR(SEARCH("Iliac",Table4[[#This Row],[Type]])),"",Table4[[#This Row],[Type]]),Table4[[#This Row],[Type]])</f>
        <v/>
      </c>
      <c r="H132">
        <v>1</v>
      </c>
      <c r="L132" t="s">
        <v>77</v>
      </c>
    </row>
    <row r="133" spans="1:19" x14ac:dyDescent="0.25">
      <c r="A133" t="s">
        <v>347</v>
      </c>
      <c r="B133" t="s">
        <v>77</v>
      </c>
      <c r="C133" t="str">
        <f>IF(ISBLANK(Table4[[#This Row],[Region]]),Table4[[#This Row],[Node Type]],Table4[[#This Row],[Region]])</f>
        <v/>
      </c>
      <c r="E133" t="str">
        <f>IF(ISERROR(SEARCH("Node",Table4[[#This Row],[Type]])),IF(ISERROR(SEARCH("Iliac",Table4[[#This Row],[Type]])),"",Table4[[#This Row],[Type]]),Table4[[#This Row],[Type]])</f>
        <v/>
      </c>
      <c r="H133">
        <v>2</v>
      </c>
      <c r="L133" t="s">
        <v>77</v>
      </c>
    </row>
    <row r="134" spans="1:19" x14ac:dyDescent="0.25">
      <c r="A134" t="s">
        <v>348</v>
      </c>
      <c r="B134" t="s">
        <v>77</v>
      </c>
      <c r="C134" t="str">
        <f>IF(ISBLANK(Table4[[#This Row],[Region]]),Table4[[#This Row],[Node Type]],Table4[[#This Row],[Region]])</f>
        <v/>
      </c>
      <c r="E134" t="str">
        <f>IF(ISERROR(SEARCH("Node",Table4[[#This Row],[Type]])),IF(ISERROR(SEARCH("Iliac",Table4[[#This Row],[Type]])),"",Table4[[#This Row],[Type]]),Table4[[#This Row],[Type]])</f>
        <v/>
      </c>
      <c r="H134">
        <v>3</v>
      </c>
      <c r="L134" t="s">
        <v>77</v>
      </c>
    </row>
    <row r="135" spans="1:19" x14ac:dyDescent="0.25">
      <c r="A135" t="s">
        <v>349</v>
      </c>
      <c r="B135" t="s">
        <v>77</v>
      </c>
      <c r="C135" t="str">
        <f>IF(ISBLANK(Table4[[#This Row],[Region]]),Table4[[#This Row],[Node Type]],Table4[[#This Row],[Region]])</f>
        <v/>
      </c>
      <c r="E135" t="str">
        <f>IF(ISERROR(SEARCH("Node",Table4[[#This Row],[Type]])),IF(ISERROR(SEARCH("Iliac",Table4[[#This Row],[Type]])),"",Table4[[#This Row],[Type]]),Table4[[#This Row],[Type]])</f>
        <v/>
      </c>
      <c r="K135" t="s">
        <v>350</v>
      </c>
      <c r="L135" t="s">
        <v>77</v>
      </c>
    </row>
    <row r="136" spans="1:19" x14ac:dyDescent="0.25">
      <c r="A136" t="s">
        <v>366</v>
      </c>
      <c r="B136" t="s">
        <v>48</v>
      </c>
      <c r="C136" t="str">
        <f>IF(ISBLANK(Table4[[#This Row],[Region]]),Table4[[#This Row],[Node Type]],Table4[[#This Row],[Region]])</f>
        <v>Sacral</v>
      </c>
      <c r="D136" t="s">
        <v>367</v>
      </c>
      <c r="E136" t="str">
        <f>IF(ISERROR(SEARCH("Node",Table4[[#This Row],[Type]])),IF(ISERROR(SEARCH("Iliac",Table4[[#This Row],[Type]])),"",Table4[[#This Row],[Type]]),Table4[[#This Row],[Type]])</f>
        <v>Node</v>
      </c>
      <c r="L136" t="s">
        <v>49</v>
      </c>
    </row>
    <row r="137" spans="1:19" x14ac:dyDescent="0.25">
      <c r="A137" t="s">
        <v>368</v>
      </c>
      <c r="B137" t="s">
        <v>48</v>
      </c>
      <c r="C137" t="str">
        <f>IF(ISBLANK(Table4[[#This Row],[Region]]),Table4[[#This Row],[Node Type]],Table4[[#This Row],[Region]])</f>
        <v>Obturator</v>
      </c>
      <c r="D137" t="s">
        <v>369</v>
      </c>
      <c r="E137" t="str">
        <f>IF(ISERROR(SEARCH("Node",Table4[[#This Row],[Type]])),IF(ISERROR(SEARCH("Iliac",Table4[[#This Row],[Type]])),"",Table4[[#This Row],[Type]]),Table4[[#This Row],[Type]])</f>
        <v>Node</v>
      </c>
      <c r="L137" t="s">
        <v>49</v>
      </c>
    </row>
    <row r="138" spans="1:19" x14ac:dyDescent="0.25">
      <c r="A138" t="s">
        <v>370</v>
      </c>
      <c r="B138" t="s">
        <v>48</v>
      </c>
      <c r="C138" t="str">
        <f>IF(ISBLANK(Table4[[#This Row],[Region]]),Table4[[#This Row],[Node Type]],Table4[[#This Row],[Region]])</f>
        <v>Int iliac</v>
      </c>
      <c r="D138" t="s">
        <v>105</v>
      </c>
      <c r="E138" t="str">
        <f>IF(ISERROR(SEARCH("Node",Table4[[#This Row],[Type]])),IF(ISERROR(SEARCH("Iliac",Table4[[#This Row],[Type]])),"",Table4[[#This Row],[Type]]),Table4[[#This Row],[Type]])</f>
        <v>Node</v>
      </c>
      <c r="L138" t="s">
        <v>49</v>
      </c>
    </row>
    <row r="139" spans="1:19" x14ac:dyDescent="0.25">
      <c r="A139" t="s">
        <v>371</v>
      </c>
      <c r="B139" t="s">
        <v>48</v>
      </c>
      <c r="C139" t="str">
        <f>IF(ISBLANK(Table4[[#This Row],[Region]]),Table4[[#This Row],[Node Type]],Table4[[#This Row],[Region]])</f>
        <v>com iliac</v>
      </c>
      <c r="D139" t="s">
        <v>372</v>
      </c>
      <c r="E139" t="str">
        <f>IF(ISERROR(SEARCH("Node",Table4[[#This Row],[Type]])),IF(ISERROR(SEARCH("Iliac",Table4[[#This Row],[Type]])),"",Table4[[#This Row],[Type]]),Table4[[#This Row],[Type]])</f>
        <v>Node</v>
      </c>
      <c r="L139" t="s">
        <v>49</v>
      </c>
    </row>
    <row r="140" spans="1:19" x14ac:dyDescent="0.25">
      <c r="A140" t="s">
        <v>373</v>
      </c>
      <c r="B140" t="s">
        <v>48</v>
      </c>
      <c r="C140" t="str">
        <f>IF(ISBLANK(Table4[[#This Row],[Region]]),Table4[[#This Row],[Node Type]],Table4[[#This Row],[Region]])</f>
        <v>com iliac</v>
      </c>
      <c r="D140" t="s">
        <v>372</v>
      </c>
      <c r="E140" t="str">
        <f>IF(ISERROR(SEARCH("Node",Table4[[#This Row],[Type]])),IF(ISERROR(SEARCH("Iliac",Table4[[#This Row],[Type]])),"",Table4[[#This Row],[Type]]),Table4[[#This Row],[Type]])</f>
        <v>Node</v>
      </c>
      <c r="L140" t="s">
        <v>49</v>
      </c>
      <c r="N140" t="s">
        <v>106</v>
      </c>
    </row>
    <row r="141" spans="1:19" x14ac:dyDescent="0.25">
      <c r="A141" t="s">
        <v>374</v>
      </c>
      <c r="B141" t="s">
        <v>48</v>
      </c>
      <c r="C141" t="str">
        <f>IF(ISBLANK(Table4[[#This Row],[Region]]),Table4[[#This Row],[Node Type]],Table4[[#This Row],[Region]])</f>
        <v>com iliac</v>
      </c>
      <c r="D141" t="s">
        <v>372</v>
      </c>
      <c r="E141" t="str">
        <f>IF(ISERROR(SEARCH("Node",Table4[[#This Row],[Type]])),IF(ISERROR(SEARCH("Iliac",Table4[[#This Row],[Type]])),"",Table4[[#This Row],[Type]]),Table4[[#This Row],[Type]])</f>
        <v>Node</v>
      </c>
      <c r="L141" t="s">
        <v>49</v>
      </c>
      <c r="N141" t="s">
        <v>108</v>
      </c>
    </row>
    <row r="142" spans="1:19" x14ac:dyDescent="0.25">
      <c r="A142" t="s">
        <v>375</v>
      </c>
      <c r="B142" t="s">
        <v>48</v>
      </c>
      <c r="C142" t="str">
        <f>IF(ISBLANK(Table4[[#This Row],[Region]]),Table4[[#This Row],[Node Type]],Table4[[#This Row],[Region]])</f>
        <v>ext iliac</v>
      </c>
      <c r="D142" t="s">
        <v>110</v>
      </c>
      <c r="E142" t="str">
        <f>IF(ISERROR(SEARCH("Node",Table4[[#This Row],[Type]])),IF(ISERROR(SEARCH("Iliac",Table4[[#This Row],[Type]])),"",Table4[[#This Row],[Type]]),Table4[[#This Row],[Type]])</f>
        <v>Node</v>
      </c>
      <c r="L142" t="s">
        <v>49</v>
      </c>
    </row>
    <row r="143" spans="1:19" x14ac:dyDescent="0.25">
      <c r="A143" t="s">
        <v>376</v>
      </c>
      <c r="B143" t="s">
        <v>46</v>
      </c>
      <c r="C143" t="str">
        <f>IF(ISBLANK(Table4[[#This Row],[Region]]),Table4[[#This Row],[Node Type]],Table4[[#This Row],[Region]])</f>
        <v>Iliac Vessels</v>
      </c>
      <c r="E143" t="str">
        <f>IF(ISERROR(SEARCH("Node",Table4[[#This Row],[Type]])),IF(ISERROR(SEARCH("Iliac",Table4[[#This Row],[Type]])),"",Table4[[#This Row],[Type]]),Table4[[#This Row],[Type]])</f>
        <v>Iliac Vessels</v>
      </c>
      <c r="L143" t="s">
        <v>377</v>
      </c>
      <c r="N143" t="s">
        <v>106</v>
      </c>
    </row>
    <row r="144" spans="1:19" x14ac:dyDescent="0.25">
      <c r="A144" t="s">
        <v>378</v>
      </c>
      <c r="B144" t="s">
        <v>46</v>
      </c>
      <c r="C144" t="str">
        <f>IF(ISBLANK(Table4[[#This Row],[Region]]),Table4[[#This Row],[Node Type]],Table4[[#This Row],[Region]])</f>
        <v>Iliac Vessels</v>
      </c>
      <c r="E144" t="str">
        <f>IF(ISERROR(SEARCH("Node",Table4[[#This Row],[Type]])),IF(ISERROR(SEARCH("Iliac",Table4[[#This Row],[Type]])),"",Table4[[#This Row],[Type]]),Table4[[#This Row],[Type]])</f>
        <v>Iliac Vessels</v>
      </c>
      <c r="L144" t="s">
        <v>377</v>
      </c>
      <c r="N144" t="s">
        <v>108</v>
      </c>
    </row>
    <row r="145" spans="1:16" x14ac:dyDescent="0.25">
      <c r="A145" t="s">
        <v>379</v>
      </c>
      <c r="B145" t="s">
        <v>46</v>
      </c>
      <c r="C145" t="str">
        <f>IF(ISBLANK(Table4[[#This Row],[Region]]),Table4[[#This Row],[Node Type]],Table4[[#This Row],[Region]])</f>
        <v/>
      </c>
      <c r="E145" t="str">
        <f>IF(ISERROR(SEARCH("Node",Table4[[#This Row],[Type]])),IF(ISERROR(SEARCH("Iliac",Table4[[#This Row],[Type]])),"",Table4[[#This Row],[Type]]),Table4[[#This Row],[Type]])</f>
        <v/>
      </c>
      <c r="I145">
        <v>76</v>
      </c>
      <c r="L145" t="s">
        <v>46</v>
      </c>
    </row>
    <row r="146" spans="1:16" x14ac:dyDescent="0.25">
      <c r="A146" t="s">
        <v>380</v>
      </c>
      <c r="B146" t="s">
        <v>46</v>
      </c>
      <c r="C146" t="str">
        <f>IF(ISBLANK(Table4[[#This Row],[Region]]),Table4[[#This Row],[Node Type]],Table4[[#This Row],[Region]])</f>
        <v/>
      </c>
      <c r="E146" t="str">
        <f>IF(ISERROR(SEARCH("Node",Table4[[#This Row],[Type]])),IF(ISERROR(SEARCH("Iliac",Table4[[#This Row],[Type]])),"",Table4[[#This Row],[Type]]),Table4[[#This Row],[Type]])</f>
        <v/>
      </c>
      <c r="I146">
        <v>46</v>
      </c>
      <c r="L146" t="s">
        <v>46</v>
      </c>
    </row>
    <row r="147" spans="1:16" x14ac:dyDescent="0.25">
      <c r="A147" t="s">
        <v>381</v>
      </c>
      <c r="B147" t="s">
        <v>77</v>
      </c>
      <c r="C147" t="str">
        <f>IF(ISBLANK(Table4[[#This Row],[Region]]),Table4[[#This Row],[Node Type]],Table4[[#This Row],[Region]])</f>
        <v/>
      </c>
      <c r="E147" t="str">
        <f>IF(ISERROR(SEARCH("Node",Table4[[#This Row],[Type]])),IF(ISERROR(SEARCH("Iliac",Table4[[#This Row],[Type]])),"",Table4[[#This Row],[Type]]),Table4[[#This Row],[Type]])</f>
        <v/>
      </c>
      <c r="I147">
        <v>76</v>
      </c>
      <c r="L147" t="s">
        <v>77</v>
      </c>
    </row>
    <row r="148" spans="1:16" x14ac:dyDescent="0.25">
      <c r="A148" t="s">
        <v>382</v>
      </c>
      <c r="B148" t="s">
        <v>77</v>
      </c>
      <c r="C148" t="str">
        <f>IF(ISBLANK(Table4[[#This Row],[Region]]),Table4[[#This Row],[Node Type]],Table4[[#This Row],[Region]])</f>
        <v/>
      </c>
      <c r="E148" t="str">
        <f>IF(ISERROR(SEARCH("Node",Table4[[#This Row],[Type]])),IF(ISERROR(SEARCH("Iliac",Table4[[#This Row],[Type]])),"",Table4[[#This Row],[Type]]),Table4[[#This Row],[Type]])</f>
        <v/>
      </c>
      <c r="I148">
        <v>46</v>
      </c>
      <c r="L148" t="s">
        <v>77</v>
      </c>
    </row>
    <row r="149" spans="1:16" x14ac:dyDescent="0.25">
      <c r="A149" t="s">
        <v>383</v>
      </c>
      <c r="B149" t="s">
        <v>77</v>
      </c>
      <c r="C149" t="str">
        <f>IF(ISBLANK(Table4[[#This Row],[Region]]),Table4[[#This Row],[Node Type]],Table4[[#This Row],[Region]])</f>
        <v/>
      </c>
      <c r="E149" t="str">
        <f>IF(ISERROR(SEARCH("Node",Table4[[#This Row],[Type]])),IF(ISERROR(SEARCH("Iliac",Table4[[#This Row],[Type]])),"",Table4[[#This Row],[Type]]),Table4[[#This Row],[Type]])</f>
        <v/>
      </c>
      <c r="I149">
        <v>76</v>
      </c>
      <c r="L149" t="s">
        <v>77</v>
      </c>
      <c r="P149" t="s">
        <v>85</v>
      </c>
    </row>
    <row r="150" spans="1:16" x14ac:dyDescent="0.25">
      <c r="A150" t="s">
        <v>384</v>
      </c>
      <c r="B150" t="s">
        <v>77</v>
      </c>
      <c r="C150" t="str">
        <f>IF(ISBLANK(Table4[[#This Row],[Region]]),Table4[[#This Row],[Node Type]],Table4[[#This Row],[Region]])</f>
        <v/>
      </c>
      <c r="E150" t="str">
        <f>IF(ISERROR(SEARCH("Node",Table4[[#This Row],[Type]])),IF(ISERROR(SEARCH("Iliac",Table4[[#This Row],[Type]])),"",Table4[[#This Row],[Type]]),Table4[[#This Row],[Type]])</f>
        <v/>
      </c>
      <c r="I150">
        <v>46</v>
      </c>
      <c r="L150" t="s">
        <v>77</v>
      </c>
      <c r="P150" t="s">
        <v>85</v>
      </c>
    </row>
    <row r="151" spans="1:16" x14ac:dyDescent="0.25">
      <c r="A151" t="s">
        <v>385</v>
      </c>
      <c r="B151" t="s">
        <v>77</v>
      </c>
      <c r="C151" t="str">
        <f>IF(ISBLANK(Table4[[#This Row],[Region]]),Table4[[#This Row],[Node Type]],Table4[[#This Row],[Region]])</f>
        <v/>
      </c>
      <c r="E151" t="str">
        <f>IF(ISERROR(SEARCH("Node",Table4[[#This Row],[Type]])),IF(ISERROR(SEARCH("Iliac",Table4[[#This Row],[Type]])),"",Table4[[#This Row],[Type]]),Table4[[#This Row],[Type]])</f>
        <v/>
      </c>
      <c r="I151">
        <v>76</v>
      </c>
      <c r="L151" t="s">
        <v>77</v>
      </c>
      <c r="P151" t="s">
        <v>83</v>
      </c>
    </row>
    <row r="152" spans="1:16" x14ac:dyDescent="0.25">
      <c r="A152" t="s">
        <v>386</v>
      </c>
      <c r="B152" t="s">
        <v>77</v>
      </c>
      <c r="C152" t="str">
        <f>IF(ISBLANK(Table4[[#This Row],[Region]]),Table4[[#This Row],[Node Type]],Table4[[#This Row],[Region]])</f>
        <v/>
      </c>
      <c r="E152" t="str">
        <f>IF(ISERROR(SEARCH("Node",Table4[[#This Row],[Type]])),IF(ISERROR(SEARCH("Iliac",Table4[[#This Row],[Type]])),"",Table4[[#This Row],[Type]]),Table4[[#This Row],[Type]])</f>
        <v/>
      </c>
      <c r="I152">
        <v>46</v>
      </c>
      <c r="L152" t="s">
        <v>77</v>
      </c>
      <c r="P152" t="s">
        <v>83</v>
      </c>
    </row>
    <row r="153" spans="1:16" x14ac:dyDescent="0.25">
      <c r="A153" t="s">
        <v>387</v>
      </c>
      <c r="B153" t="s">
        <v>46</v>
      </c>
      <c r="C153" t="str">
        <f>IF(ISBLANK(Table4[[#This Row],[Region]]),Table4[[#This Row],[Node Type]],Table4[[#This Row],[Region]])</f>
        <v/>
      </c>
      <c r="E153" t="str">
        <f>IF(ISERROR(SEARCH("Node",Table4[[#This Row],[Type]])),IF(ISERROR(SEARCH("Iliac",Table4[[#This Row],[Type]])),"",Table4[[#This Row],[Type]]),Table4[[#This Row],[Type]])</f>
        <v/>
      </c>
      <c r="I153">
        <v>68</v>
      </c>
      <c r="L153" t="s">
        <v>46</v>
      </c>
    </row>
    <row r="154" spans="1:16" x14ac:dyDescent="0.25">
      <c r="A154" t="s">
        <v>388</v>
      </c>
      <c r="B154" t="s">
        <v>46</v>
      </c>
      <c r="C154" t="str">
        <f>IF(ISBLANK(Table4[[#This Row],[Region]]),Table4[[#This Row],[Node Type]],Table4[[#This Row],[Region]])</f>
        <v/>
      </c>
      <c r="E154" t="str">
        <f>IF(ISERROR(SEARCH("Node",Table4[[#This Row],[Type]])),IF(ISERROR(SEARCH("Iliac",Table4[[#This Row],[Type]])),"",Table4[[#This Row],[Type]]),Table4[[#This Row],[Type]])</f>
        <v/>
      </c>
      <c r="I154">
        <v>56</v>
      </c>
      <c r="L154" t="s">
        <v>46</v>
      </c>
    </row>
    <row r="155" spans="1:16" x14ac:dyDescent="0.25">
      <c r="A155" t="s">
        <v>389</v>
      </c>
      <c r="B155" t="s">
        <v>46</v>
      </c>
      <c r="C155" t="str">
        <f>IF(ISBLANK(Table4[[#This Row],[Region]]),Table4[[#This Row],[Node Type]],Table4[[#This Row],[Region]])</f>
        <v/>
      </c>
      <c r="E155" t="str">
        <f>IF(ISERROR(SEARCH("Node",Table4[[#This Row],[Type]])),IF(ISERROR(SEARCH("Iliac",Table4[[#This Row],[Type]])),"",Table4[[#This Row],[Type]]),Table4[[#This Row],[Type]])</f>
        <v/>
      </c>
      <c r="I155">
        <v>48</v>
      </c>
      <c r="L155" t="s">
        <v>46</v>
      </c>
    </row>
    <row r="156" spans="1:16" x14ac:dyDescent="0.25">
      <c r="A156" t="s">
        <v>390</v>
      </c>
      <c r="B156" t="s">
        <v>77</v>
      </c>
      <c r="C156" t="str">
        <f>IF(ISBLANK(Table4[[#This Row],[Region]]),Table4[[#This Row],[Node Type]],Table4[[#This Row],[Region]])</f>
        <v/>
      </c>
      <c r="E156" t="str">
        <f>IF(ISERROR(SEARCH("Node",Table4[[#This Row],[Type]])),IF(ISERROR(SEARCH("Iliac",Table4[[#This Row],[Type]])),"",Table4[[#This Row],[Type]]),Table4[[#This Row],[Type]])</f>
        <v/>
      </c>
      <c r="I156">
        <v>68</v>
      </c>
      <c r="L156" t="s">
        <v>77</v>
      </c>
    </row>
    <row r="157" spans="1:16" x14ac:dyDescent="0.25">
      <c r="A157" t="s">
        <v>391</v>
      </c>
      <c r="B157" t="s">
        <v>77</v>
      </c>
      <c r="C157" t="str">
        <f>IF(ISBLANK(Table4[[#This Row],[Region]]),Table4[[#This Row],[Node Type]],Table4[[#This Row],[Region]])</f>
        <v/>
      </c>
      <c r="E157" t="str">
        <f>IF(ISERROR(SEARCH("Node",Table4[[#This Row],[Type]])),IF(ISERROR(SEARCH("Iliac",Table4[[#This Row],[Type]])),"",Table4[[#This Row],[Type]]),Table4[[#This Row],[Type]])</f>
        <v/>
      </c>
      <c r="I157">
        <v>48</v>
      </c>
      <c r="L157" t="s">
        <v>77</v>
      </c>
    </row>
    <row r="158" spans="1:16" x14ac:dyDescent="0.25">
      <c r="A158" t="s">
        <v>392</v>
      </c>
      <c r="B158" t="s">
        <v>77</v>
      </c>
      <c r="C158" t="str">
        <f>IF(ISBLANK(Table4[[#This Row],[Region]]),Table4[[#This Row],[Node Type]],Table4[[#This Row],[Region]])</f>
        <v/>
      </c>
      <c r="E158" t="str">
        <f>IF(ISERROR(SEARCH("Node",Table4[[#This Row],[Type]])),IF(ISERROR(SEARCH("Iliac",Table4[[#This Row],[Type]])),"",Table4[[#This Row],[Type]]),Table4[[#This Row],[Type]])</f>
        <v/>
      </c>
      <c r="I158">
        <v>56</v>
      </c>
      <c r="L158" t="s">
        <v>77</v>
      </c>
      <c r="P158" t="s">
        <v>85</v>
      </c>
    </row>
    <row r="159" spans="1:16" x14ac:dyDescent="0.25">
      <c r="A159" t="s">
        <v>393</v>
      </c>
      <c r="B159" t="s">
        <v>77</v>
      </c>
      <c r="C159" t="str">
        <f>IF(ISBLANK(Table4[[#This Row],[Region]]),Table4[[#This Row],[Node Type]],Table4[[#This Row],[Region]])</f>
        <v/>
      </c>
      <c r="E159" t="str">
        <f>IF(ISERROR(SEARCH("Node",Table4[[#This Row],[Type]])),IF(ISERROR(SEARCH("Iliac",Table4[[#This Row],[Type]])),"",Table4[[#This Row],[Type]]),Table4[[#This Row],[Type]])</f>
        <v/>
      </c>
      <c r="I159">
        <v>48</v>
      </c>
      <c r="L159" t="s">
        <v>77</v>
      </c>
      <c r="P159" t="s">
        <v>85</v>
      </c>
    </row>
    <row r="160" spans="1:16" x14ac:dyDescent="0.25">
      <c r="A160" t="s">
        <v>394</v>
      </c>
      <c r="B160" t="s">
        <v>77</v>
      </c>
      <c r="C160" t="str">
        <f>IF(ISBLANK(Table4[[#This Row],[Region]]),Table4[[#This Row],[Node Type]],Table4[[#This Row],[Region]])</f>
        <v/>
      </c>
      <c r="E160" t="str">
        <f>IF(ISERROR(SEARCH("Node",Table4[[#This Row],[Type]])),IF(ISERROR(SEARCH("Iliac",Table4[[#This Row],[Type]])),"",Table4[[#This Row],[Type]]),Table4[[#This Row],[Type]])</f>
        <v/>
      </c>
      <c r="I160">
        <v>48</v>
      </c>
      <c r="L160" t="s">
        <v>77</v>
      </c>
      <c r="O160" t="s">
        <v>290</v>
      </c>
      <c r="P160" t="s">
        <v>85</v>
      </c>
    </row>
    <row r="161" spans="1:19" x14ac:dyDescent="0.25">
      <c r="A161" t="s">
        <v>395</v>
      </c>
      <c r="B161" t="s">
        <v>77</v>
      </c>
      <c r="C161" t="str">
        <f>IF(ISBLANK(Table4[[#This Row],[Region]]),Table4[[#This Row],[Node Type]],Table4[[#This Row],[Region]])</f>
        <v/>
      </c>
      <c r="E161" t="str">
        <f>IF(ISERROR(SEARCH("Node",Table4[[#This Row],[Type]])),IF(ISERROR(SEARCH("Iliac",Table4[[#This Row],[Type]])),"",Table4[[#This Row],[Type]]),Table4[[#This Row],[Type]])</f>
        <v/>
      </c>
      <c r="I161">
        <v>48</v>
      </c>
      <c r="L161" t="s">
        <v>77</v>
      </c>
      <c r="O161" t="s">
        <v>292</v>
      </c>
      <c r="P161" t="s">
        <v>85</v>
      </c>
    </row>
    <row r="162" spans="1:19" x14ac:dyDescent="0.25">
      <c r="A162" t="s">
        <v>397</v>
      </c>
      <c r="B162" t="s">
        <v>77</v>
      </c>
      <c r="C162" t="str">
        <f>IF(ISBLANK(Table4[[#This Row],[Region]]),Table4[[#This Row],[Node Type]],Table4[[#This Row],[Region]])</f>
        <v/>
      </c>
      <c r="E162" t="str">
        <f>IF(ISERROR(SEARCH("Node",Table4[[#This Row],[Type]])),IF(ISERROR(SEARCH("Iliac",Table4[[#This Row],[Type]])),"",Table4[[#This Row],[Type]]),Table4[[#This Row],[Type]])</f>
        <v/>
      </c>
      <c r="I162">
        <v>68</v>
      </c>
      <c r="L162" t="s">
        <v>77</v>
      </c>
      <c r="P162" t="s">
        <v>83</v>
      </c>
    </row>
    <row r="163" spans="1:19" x14ac:dyDescent="0.25">
      <c r="A163" t="s">
        <v>398</v>
      </c>
      <c r="B163" t="s">
        <v>77</v>
      </c>
      <c r="C163" t="str">
        <f>IF(ISBLANK(Table4[[#This Row],[Region]]),Table4[[#This Row],[Node Type]],Table4[[#This Row],[Region]])</f>
        <v/>
      </c>
      <c r="E163" t="str">
        <f>IF(ISERROR(SEARCH("Node",Table4[[#This Row],[Type]])),IF(ISERROR(SEARCH("Iliac",Table4[[#This Row],[Type]])),"",Table4[[#This Row],[Type]]),Table4[[#This Row],[Type]])</f>
        <v/>
      </c>
      <c r="I163">
        <v>48</v>
      </c>
      <c r="L163" t="s">
        <v>77</v>
      </c>
      <c r="P163" t="s">
        <v>83</v>
      </c>
    </row>
    <row r="164" spans="1:19" x14ac:dyDescent="0.25">
      <c r="A164" t="s">
        <v>399</v>
      </c>
      <c r="B164" t="s">
        <v>77</v>
      </c>
      <c r="C164" t="str">
        <f>IF(ISBLANK(Table4[[#This Row],[Region]]),Table4[[#This Row],[Node Type]],Table4[[#This Row],[Region]])</f>
        <v/>
      </c>
      <c r="E164" t="str">
        <f>IF(ISERROR(SEARCH("Node",Table4[[#This Row],[Type]])),IF(ISERROR(SEARCH("Iliac",Table4[[#This Row],[Type]])),"",Table4[[#This Row],[Type]]),Table4[[#This Row],[Type]])</f>
        <v/>
      </c>
      <c r="I164">
        <v>70</v>
      </c>
      <c r="L164" t="s">
        <v>77</v>
      </c>
    </row>
    <row r="165" spans="1:19" x14ac:dyDescent="0.25">
      <c r="A165" t="s">
        <v>400</v>
      </c>
      <c r="B165" t="s">
        <v>77</v>
      </c>
      <c r="C165" t="str">
        <f>IF(ISBLANK(Table4[[#This Row],[Region]]),Table4[[#This Row],[Node Type]],Table4[[#This Row],[Region]])</f>
        <v/>
      </c>
      <c r="E165" t="str">
        <f>IF(ISERROR(SEARCH("Node",Table4[[#This Row],[Type]])),IF(ISERROR(SEARCH("Iliac",Table4[[#This Row],[Type]])),"",Table4[[#This Row],[Type]]),Table4[[#This Row],[Type]])</f>
        <v/>
      </c>
      <c r="I165">
        <v>48</v>
      </c>
      <c r="L165" t="s">
        <v>77</v>
      </c>
    </row>
    <row r="166" spans="1:19" x14ac:dyDescent="0.25">
      <c r="A166" t="s">
        <v>402</v>
      </c>
      <c r="B166" t="s">
        <v>87</v>
      </c>
      <c r="C166" t="str">
        <f>IF(ISBLANK(Table4[[#This Row],[Region]]),Table4[[#This Row],[Node Type]],Table4[[#This Row],[Region]])</f>
        <v/>
      </c>
      <c r="E166" t="str">
        <f>IF(ISERROR(SEARCH("Node",Table4[[#This Row],[Type]])),IF(ISERROR(SEARCH("Iliac",Table4[[#This Row],[Type]])),"",Table4[[#This Row],[Type]]),Table4[[#This Row],[Type]])</f>
        <v/>
      </c>
      <c r="L166" t="s">
        <v>77</v>
      </c>
      <c r="R166" t="s">
        <v>215</v>
      </c>
      <c r="S166">
        <v>4</v>
      </c>
    </row>
    <row r="167" spans="1:19" x14ac:dyDescent="0.25">
      <c r="A167" t="s">
        <v>403</v>
      </c>
      <c r="B167" t="s">
        <v>77</v>
      </c>
      <c r="C167" t="str">
        <f>IF(ISBLANK(Table4[[#This Row],[Region]]),Table4[[#This Row],[Node Type]],Table4[[#This Row],[Region]])</f>
        <v/>
      </c>
      <c r="E167" t="str">
        <f>IF(ISERROR(SEARCH("Node",Table4[[#This Row],[Type]])),IF(ISERROR(SEARCH("Iliac",Table4[[#This Row],[Type]])),"",Table4[[#This Row],[Type]]),Table4[[#This Row],[Type]])</f>
        <v/>
      </c>
      <c r="H167">
        <v>4</v>
      </c>
      <c r="L167" t="s">
        <v>77</v>
      </c>
    </row>
    <row r="168" spans="1:19" x14ac:dyDescent="0.25">
      <c r="A168" t="s">
        <v>404</v>
      </c>
      <c r="B168" t="s">
        <v>77</v>
      </c>
      <c r="C168" t="str">
        <f>IF(ISBLANK(Table4[[#This Row],[Region]]),Table4[[#This Row],[Node Type]],Table4[[#This Row],[Region]])</f>
        <v/>
      </c>
      <c r="E168" t="str">
        <f>IF(ISERROR(SEARCH("Node",Table4[[#This Row],[Type]])),IF(ISERROR(SEARCH("Iliac",Table4[[#This Row],[Type]])),"",Table4[[#This Row],[Type]]),Table4[[#This Row],[Type]])</f>
        <v/>
      </c>
      <c r="H168">
        <v>5</v>
      </c>
      <c r="L168" t="s">
        <v>77</v>
      </c>
    </row>
    <row r="169" spans="1:19" x14ac:dyDescent="0.25">
      <c r="A169" t="s">
        <v>405</v>
      </c>
      <c r="B169" t="s">
        <v>77</v>
      </c>
      <c r="C169" t="str">
        <f>IF(ISBLANK(Table4[[#This Row],[Region]]),Table4[[#This Row],[Node Type]],Table4[[#This Row],[Region]])</f>
        <v/>
      </c>
      <c r="E169" t="str">
        <f>IF(ISERROR(SEARCH("Node",Table4[[#This Row],[Type]])),IF(ISERROR(SEARCH("Iliac",Table4[[#This Row],[Type]])),"",Table4[[#This Row],[Type]]),Table4[[#This Row],[Type]])</f>
        <v/>
      </c>
      <c r="L169" t="s">
        <v>77</v>
      </c>
      <c r="M169" t="s">
        <v>187</v>
      </c>
    </row>
    <row r="170" spans="1:19" x14ac:dyDescent="0.25">
      <c r="A170" t="s">
        <v>406</v>
      </c>
      <c r="B170" t="s">
        <v>77</v>
      </c>
      <c r="C170" t="str">
        <f>IF(ISBLANK(Table4[[#This Row],[Region]]),Table4[[#This Row],[Node Type]],Table4[[#This Row],[Region]])</f>
        <v/>
      </c>
      <c r="E170" t="str">
        <f>IF(ISERROR(SEARCH("Node",Table4[[#This Row],[Type]])),IF(ISERROR(SEARCH("Iliac",Table4[[#This Row],[Type]])),"",Table4[[#This Row],[Type]]),Table4[[#This Row],[Type]])</f>
        <v/>
      </c>
      <c r="L170" t="s">
        <v>77</v>
      </c>
      <c r="M170" t="s">
        <v>187</v>
      </c>
      <c r="N170" t="s">
        <v>106</v>
      </c>
    </row>
    <row r="171" spans="1:19" x14ac:dyDescent="0.25">
      <c r="A171" t="s">
        <v>407</v>
      </c>
      <c r="B171" t="s">
        <v>77</v>
      </c>
      <c r="C171" t="str">
        <f>IF(ISBLANK(Table4[[#This Row],[Region]]),Table4[[#This Row],[Node Type]],Table4[[#This Row],[Region]])</f>
        <v/>
      </c>
      <c r="E171" t="str">
        <f>IF(ISERROR(SEARCH("Node",Table4[[#This Row],[Type]])),IF(ISERROR(SEARCH("Iliac",Table4[[#This Row],[Type]])),"",Table4[[#This Row],[Type]]),Table4[[#This Row],[Type]])</f>
        <v/>
      </c>
      <c r="L171" t="s">
        <v>77</v>
      </c>
      <c r="M171" t="s">
        <v>187</v>
      </c>
      <c r="N171" t="s">
        <v>108</v>
      </c>
    </row>
    <row r="172" spans="1:19" x14ac:dyDescent="0.25">
      <c r="A172" t="s">
        <v>408</v>
      </c>
      <c r="B172" t="s">
        <v>77</v>
      </c>
      <c r="C172" t="str">
        <f>IF(ISBLANK(Table4[[#This Row],[Region]]),Table4[[#This Row],[Node Type]],Table4[[#This Row],[Region]])</f>
        <v/>
      </c>
      <c r="E172" t="str">
        <f>IF(ISERROR(SEARCH("Node",Table4[[#This Row],[Type]])),IF(ISERROR(SEARCH("Iliac",Table4[[#This Row],[Type]])),"",Table4[[#This Row],[Type]]),Table4[[#This Row],[Type]])</f>
        <v/>
      </c>
      <c r="L172" t="s">
        <v>77</v>
      </c>
      <c r="M172" t="s">
        <v>190</v>
      </c>
    </row>
    <row r="173" spans="1:19" x14ac:dyDescent="0.25">
      <c r="A173" t="s">
        <v>409</v>
      </c>
      <c r="B173" t="s">
        <v>77</v>
      </c>
      <c r="C173" t="str">
        <f>IF(ISBLANK(Table4[[#This Row],[Region]]),Table4[[#This Row],[Node Type]],Table4[[#This Row],[Region]])</f>
        <v/>
      </c>
      <c r="E173" t="str">
        <f>IF(ISERROR(SEARCH("Node",Table4[[#This Row],[Type]])),IF(ISERROR(SEARCH("Iliac",Table4[[#This Row],[Type]])),"",Table4[[#This Row],[Type]]),Table4[[#This Row],[Type]])</f>
        <v/>
      </c>
      <c r="L173" t="s">
        <v>77</v>
      </c>
      <c r="M173" t="s">
        <v>190</v>
      </c>
      <c r="N173" t="s">
        <v>106</v>
      </c>
    </row>
    <row r="174" spans="1:19" x14ac:dyDescent="0.25">
      <c r="A174" t="s">
        <v>410</v>
      </c>
      <c r="B174" t="s">
        <v>77</v>
      </c>
      <c r="C174" t="str">
        <f>IF(ISBLANK(Table4[[#This Row],[Region]]),Table4[[#This Row],[Node Type]],Table4[[#This Row],[Region]])</f>
        <v/>
      </c>
      <c r="E174" t="str">
        <f>IF(ISERROR(SEARCH("Node",Table4[[#This Row],[Type]])),IF(ISERROR(SEARCH("Iliac",Table4[[#This Row],[Type]])),"",Table4[[#This Row],[Type]]),Table4[[#This Row],[Type]])</f>
        <v/>
      </c>
      <c r="L174" t="s">
        <v>77</v>
      </c>
      <c r="M174" t="s">
        <v>190</v>
      </c>
      <c r="N174" t="s">
        <v>106</v>
      </c>
      <c r="O174" t="s">
        <v>290</v>
      </c>
      <c r="P174" t="s">
        <v>85</v>
      </c>
    </row>
    <row r="175" spans="1:19" x14ac:dyDescent="0.25">
      <c r="A175" t="s">
        <v>411</v>
      </c>
      <c r="B175" t="s">
        <v>77</v>
      </c>
      <c r="C175" t="str">
        <f>IF(ISBLANK(Table4[[#This Row],[Region]]),Table4[[#This Row],[Node Type]],Table4[[#This Row],[Region]])</f>
        <v/>
      </c>
      <c r="E175" t="str">
        <f>IF(ISERROR(SEARCH("Node",Table4[[#This Row],[Type]])),IF(ISERROR(SEARCH("Iliac",Table4[[#This Row],[Type]])),"",Table4[[#This Row],[Type]]),Table4[[#This Row],[Type]])</f>
        <v/>
      </c>
      <c r="L175" t="s">
        <v>77</v>
      </c>
      <c r="M175" t="s">
        <v>190</v>
      </c>
      <c r="N175" t="s">
        <v>106</v>
      </c>
      <c r="O175" t="s">
        <v>292</v>
      </c>
      <c r="P175" t="s">
        <v>85</v>
      </c>
    </row>
    <row r="176" spans="1:19" x14ac:dyDescent="0.25">
      <c r="A176" t="s">
        <v>412</v>
      </c>
      <c r="B176" t="s">
        <v>77</v>
      </c>
      <c r="C176" t="str">
        <f>IF(ISBLANK(Table4[[#This Row],[Region]]),Table4[[#This Row],[Node Type]],Table4[[#This Row],[Region]])</f>
        <v/>
      </c>
      <c r="E176" t="str">
        <f>IF(ISERROR(SEARCH("Node",Table4[[#This Row],[Type]])),IF(ISERROR(SEARCH("Iliac",Table4[[#This Row],[Type]])),"",Table4[[#This Row],[Type]]),Table4[[#This Row],[Type]])</f>
        <v/>
      </c>
      <c r="L176" t="s">
        <v>77</v>
      </c>
      <c r="M176" t="s">
        <v>190</v>
      </c>
      <c r="N176" t="s">
        <v>106</v>
      </c>
      <c r="O176" t="s">
        <v>294</v>
      </c>
      <c r="P176" t="s">
        <v>85</v>
      </c>
    </row>
    <row r="177" spans="1:17" x14ac:dyDescent="0.25">
      <c r="A177" t="s">
        <v>413</v>
      </c>
      <c r="B177" t="s">
        <v>77</v>
      </c>
      <c r="C177" t="str">
        <f>IF(ISBLANK(Table4[[#This Row],[Region]]),Table4[[#This Row],[Node Type]],Table4[[#This Row],[Region]])</f>
        <v/>
      </c>
      <c r="E177" t="str">
        <f>IF(ISERROR(SEARCH("Node",Table4[[#This Row],[Type]])),IF(ISERROR(SEARCH("Iliac",Table4[[#This Row],[Type]])),"",Table4[[#This Row],[Type]]),Table4[[#This Row],[Type]])</f>
        <v/>
      </c>
      <c r="L177" t="s">
        <v>77</v>
      </c>
      <c r="M177" t="s">
        <v>190</v>
      </c>
      <c r="N177" t="s">
        <v>108</v>
      </c>
    </row>
    <row r="178" spans="1:17" x14ac:dyDescent="0.25">
      <c r="A178" t="s">
        <v>414</v>
      </c>
      <c r="B178" t="s">
        <v>77</v>
      </c>
      <c r="C178" t="str">
        <f>IF(ISBLANK(Table4[[#This Row],[Region]]),Table4[[#This Row],[Node Type]],Table4[[#This Row],[Region]])</f>
        <v/>
      </c>
      <c r="E178" t="str">
        <f>IF(ISERROR(SEARCH("Node",Table4[[#This Row],[Type]])),IF(ISERROR(SEARCH("Iliac",Table4[[#This Row],[Type]])),"",Table4[[#This Row],[Type]]),Table4[[#This Row],[Type]])</f>
        <v/>
      </c>
      <c r="L178" t="s">
        <v>77</v>
      </c>
      <c r="M178" t="s">
        <v>190</v>
      </c>
      <c r="N178" t="s">
        <v>108</v>
      </c>
      <c r="O178" t="s">
        <v>290</v>
      </c>
      <c r="P178" t="s">
        <v>85</v>
      </c>
    </row>
    <row r="179" spans="1:17" x14ac:dyDescent="0.25">
      <c r="A179" t="s">
        <v>415</v>
      </c>
      <c r="B179" t="s">
        <v>77</v>
      </c>
      <c r="C179" t="str">
        <f>IF(ISBLANK(Table4[[#This Row],[Region]]),Table4[[#This Row],[Node Type]],Table4[[#This Row],[Region]])</f>
        <v/>
      </c>
      <c r="E179" t="str">
        <f>IF(ISERROR(SEARCH("Node",Table4[[#This Row],[Type]])),IF(ISERROR(SEARCH("Iliac",Table4[[#This Row],[Type]])),"",Table4[[#This Row],[Type]]),Table4[[#This Row],[Type]])</f>
        <v/>
      </c>
      <c r="L179" t="s">
        <v>77</v>
      </c>
      <c r="M179" t="s">
        <v>190</v>
      </c>
      <c r="N179" t="s">
        <v>108</v>
      </c>
      <c r="O179" t="s">
        <v>292</v>
      </c>
      <c r="P179" t="s">
        <v>85</v>
      </c>
    </row>
    <row r="180" spans="1:17" x14ac:dyDescent="0.25">
      <c r="A180" t="s">
        <v>416</v>
      </c>
      <c r="B180" t="s">
        <v>77</v>
      </c>
      <c r="C180" t="str">
        <f>IF(ISBLANK(Table4[[#This Row],[Region]]),Table4[[#This Row],[Node Type]],Table4[[#This Row],[Region]])</f>
        <v/>
      </c>
      <c r="E180" t="str">
        <f>IF(ISERROR(SEARCH("Node",Table4[[#This Row],[Type]])),IF(ISERROR(SEARCH("Iliac",Table4[[#This Row],[Type]])),"",Table4[[#This Row],[Type]]),Table4[[#This Row],[Type]])</f>
        <v/>
      </c>
      <c r="L180" t="s">
        <v>77</v>
      </c>
      <c r="M180" t="s">
        <v>190</v>
      </c>
      <c r="N180" t="s">
        <v>108</v>
      </c>
      <c r="O180" t="s">
        <v>294</v>
      </c>
      <c r="P180" t="s">
        <v>85</v>
      </c>
    </row>
    <row r="181" spans="1:17" x14ac:dyDescent="0.25">
      <c r="A181" t="s">
        <v>419</v>
      </c>
      <c r="B181" t="s">
        <v>46</v>
      </c>
      <c r="C181" t="str">
        <f>IF(ISBLANK(Table4[[#This Row],[Region]]),Table4[[#This Row],[Node Type]],Table4[[#This Row],[Region]])</f>
        <v/>
      </c>
      <c r="E181" t="str">
        <f>IF(ISERROR(SEARCH("Node",Table4[[#This Row],[Type]])),IF(ISERROR(SEARCH("Iliac",Table4[[#This Row],[Type]])),"",Table4[[#This Row],[Type]]),Table4[[#This Row],[Type]])</f>
        <v/>
      </c>
      <c r="I181">
        <v>55</v>
      </c>
      <c r="L181" t="s">
        <v>46</v>
      </c>
    </row>
    <row r="182" spans="1:17" x14ac:dyDescent="0.25">
      <c r="A182" t="s">
        <v>420</v>
      </c>
      <c r="B182" t="s">
        <v>46</v>
      </c>
      <c r="C182" t="str">
        <f>IF(ISBLANK(Table4[[#This Row],[Region]]),Table4[[#This Row],[Node Type]],Table4[[#This Row],[Region]])</f>
        <v/>
      </c>
      <c r="E182" t="str">
        <f>IF(ISERROR(SEARCH("Node",Table4[[#This Row],[Type]])),IF(ISERROR(SEARCH("Iliac",Table4[[#This Row],[Type]])),"",Table4[[#This Row],[Type]]),Table4[[#This Row],[Type]])</f>
        <v/>
      </c>
      <c r="I182">
        <v>60</v>
      </c>
      <c r="L182" t="s">
        <v>46</v>
      </c>
    </row>
    <row r="183" spans="1:17" x14ac:dyDescent="0.25">
      <c r="A183" t="s">
        <v>421</v>
      </c>
      <c r="B183" t="s">
        <v>46</v>
      </c>
      <c r="C183" t="str">
        <f>IF(ISBLANK(Table4[[#This Row],[Region]]),Table4[[#This Row],[Node Type]],Table4[[#This Row],[Region]])</f>
        <v/>
      </c>
      <c r="E183" t="str">
        <f>IF(ISERROR(SEARCH("Node",Table4[[#This Row],[Type]])),IF(ISERROR(SEARCH("Iliac",Table4[[#This Row],[Type]])),"",Table4[[#This Row],[Type]]),Table4[[#This Row],[Type]])</f>
        <v/>
      </c>
      <c r="I183">
        <v>64</v>
      </c>
      <c r="L183" t="s">
        <v>46</v>
      </c>
    </row>
    <row r="184" spans="1:17" x14ac:dyDescent="0.25">
      <c r="A184" t="s">
        <v>422</v>
      </c>
      <c r="B184" t="s">
        <v>77</v>
      </c>
      <c r="C184" t="str">
        <f>IF(ISBLANK(Table4[[#This Row],[Region]]),Table4[[#This Row],[Node Type]],Table4[[#This Row],[Region]])</f>
        <v/>
      </c>
      <c r="E184" t="str">
        <f>IF(ISERROR(SEARCH("Node",Table4[[#This Row],[Type]])),IF(ISERROR(SEARCH("Iliac",Table4[[#This Row],[Type]])),"",Table4[[#This Row],[Type]]),Table4[[#This Row],[Type]])</f>
        <v/>
      </c>
      <c r="I184">
        <v>55</v>
      </c>
      <c r="L184" t="s">
        <v>77</v>
      </c>
    </row>
    <row r="185" spans="1:17" x14ac:dyDescent="0.25">
      <c r="A185" t="s">
        <v>423</v>
      </c>
      <c r="B185" t="s">
        <v>77</v>
      </c>
      <c r="C185" t="str">
        <f>IF(ISBLANK(Table4[[#This Row],[Region]]),Table4[[#This Row],[Node Type]],Table4[[#This Row],[Region]])</f>
        <v/>
      </c>
      <c r="E185" t="str">
        <f>IF(ISERROR(SEARCH("Node",Table4[[#This Row],[Type]])),IF(ISERROR(SEARCH("Iliac",Table4[[#This Row],[Type]])),"",Table4[[#This Row],[Type]]),Table4[[#This Row],[Type]])</f>
        <v/>
      </c>
      <c r="I185">
        <v>64</v>
      </c>
      <c r="L185" t="s">
        <v>77</v>
      </c>
    </row>
    <row r="186" spans="1:17" x14ac:dyDescent="0.25">
      <c r="A186" t="s">
        <v>433</v>
      </c>
      <c r="B186" t="s">
        <v>46</v>
      </c>
      <c r="C186" t="str">
        <f>IF(ISBLANK(Table4[[#This Row],[Region]]),Table4[[#This Row],[Node Type]],Table4[[#This Row],[Region]])</f>
        <v/>
      </c>
      <c r="E186" t="str">
        <f>IF(ISERROR(SEARCH("Node",Table4[[#This Row],[Type]])),IF(ISERROR(SEARCH("Iliac",Table4[[#This Row],[Type]])),"",Table4[[#This Row],[Type]]),Table4[[#This Row],[Type]])</f>
        <v/>
      </c>
      <c r="I186">
        <v>36</v>
      </c>
      <c r="L186" t="s">
        <v>46</v>
      </c>
    </row>
    <row r="187" spans="1:17" x14ac:dyDescent="0.25">
      <c r="A187" t="s">
        <v>434</v>
      </c>
      <c r="B187" t="s">
        <v>46</v>
      </c>
      <c r="C187" t="str">
        <f>IF(ISBLANK(Table4[[#This Row],[Region]]),Table4[[#This Row],[Node Type]],Table4[[#This Row],[Region]])</f>
        <v/>
      </c>
      <c r="E187" t="str">
        <f>IF(ISERROR(SEARCH("Node",Table4[[#This Row],[Type]])),IF(ISERROR(SEARCH("Iliac",Table4[[#This Row],[Type]])),"",Table4[[#This Row],[Type]]),Table4[[#This Row],[Type]])</f>
        <v/>
      </c>
      <c r="I187">
        <v>54</v>
      </c>
      <c r="L187" t="s">
        <v>46</v>
      </c>
    </row>
    <row r="188" spans="1:17" x14ac:dyDescent="0.25">
      <c r="A188" t="s">
        <v>435</v>
      </c>
      <c r="B188" t="s">
        <v>77</v>
      </c>
      <c r="C188" t="str">
        <f>IF(ISBLANK(Table4[[#This Row],[Region]]),Table4[[#This Row],[Node Type]],Table4[[#This Row],[Region]])</f>
        <v/>
      </c>
      <c r="E188" t="str">
        <f>IF(ISERROR(SEARCH("Node",Table4[[#This Row],[Type]])),IF(ISERROR(SEARCH("Iliac",Table4[[#This Row],[Type]])),"",Table4[[#This Row],[Type]]),Table4[[#This Row],[Type]])</f>
        <v/>
      </c>
      <c r="I188">
        <v>36</v>
      </c>
      <c r="L188" t="s">
        <v>77</v>
      </c>
    </row>
    <row r="189" spans="1:17" x14ac:dyDescent="0.25">
      <c r="A189" t="s">
        <v>436</v>
      </c>
      <c r="B189" t="s">
        <v>77</v>
      </c>
      <c r="C189" t="str">
        <f>IF(ISBLANK(Table4[[#This Row],[Region]]),Table4[[#This Row],[Node Type]],Table4[[#This Row],[Region]])</f>
        <v/>
      </c>
      <c r="E189" t="str">
        <f>IF(ISERROR(SEARCH("Node",Table4[[#This Row],[Type]])),IF(ISERROR(SEARCH("Iliac",Table4[[#This Row],[Type]])),"",Table4[[#This Row],[Type]]),Table4[[#This Row],[Type]])</f>
        <v/>
      </c>
      <c r="I189">
        <v>36</v>
      </c>
      <c r="L189" t="s">
        <v>77</v>
      </c>
      <c r="P189" t="s">
        <v>85</v>
      </c>
    </row>
    <row r="190" spans="1:17" x14ac:dyDescent="0.25">
      <c r="A190" t="s">
        <v>437</v>
      </c>
      <c r="B190" t="s">
        <v>77</v>
      </c>
      <c r="C190" t="str">
        <f>IF(ISBLANK(Table4[[#This Row],[Region]]),Table4[[#This Row],[Node Type]],Table4[[#This Row],[Region]])</f>
        <v/>
      </c>
      <c r="E190" t="str">
        <f>IF(ISERROR(SEARCH("Node",Table4[[#This Row],[Type]])),IF(ISERROR(SEARCH("Iliac",Table4[[#This Row],[Type]])),"",Table4[[#This Row],[Type]]),Table4[[#This Row],[Type]])</f>
        <v/>
      </c>
      <c r="I190">
        <v>54</v>
      </c>
      <c r="L190" t="s">
        <v>77</v>
      </c>
      <c r="P190" t="s">
        <v>85</v>
      </c>
    </row>
    <row r="191" spans="1:17" x14ac:dyDescent="0.25">
      <c r="A191" t="s">
        <v>440</v>
      </c>
      <c r="B191" t="s">
        <v>77</v>
      </c>
      <c r="C191" t="str">
        <f>IF(ISBLANK(Table4[[#This Row],[Region]]),Table4[[#This Row],[Node Type]],Table4[[#This Row],[Region]])</f>
        <v/>
      </c>
      <c r="E191" t="str">
        <f>IF(ISERROR(SEARCH("Node",Table4[[#This Row],[Type]])),IF(ISERROR(SEARCH("Iliac",Table4[[#This Row],[Type]])),"",Table4[[#This Row],[Type]]),Table4[[#This Row],[Type]])</f>
        <v/>
      </c>
      <c r="L191" t="s">
        <v>77</v>
      </c>
      <c r="Q191" t="s">
        <v>89</v>
      </c>
    </row>
    <row r="192" spans="1:17" x14ac:dyDescent="0.25">
      <c r="A192" t="s">
        <v>441</v>
      </c>
      <c r="B192" t="s">
        <v>77</v>
      </c>
      <c r="C192" t="str">
        <f>IF(ISBLANK(Table4[[#This Row],[Region]]),Table4[[#This Row],[Node Type]],Table4[[#This Row],[Region]])</f>
        <v/>
      </c>
      <c r="E192" t="str">
        <f>IF(ISERROR(SEARCH("Node",Table4[[#This Row],[Type]])),IF(ISERROR(SEARCH("Iliac",Table4[[#This Row],[Type]])),"",Table4[[#This Row],[Type]]),Table4[[#This Row],[Type]])</f>
        <v/>
      </c>
      <c r="I192">
        <v>59.4</v>
      </c>
      <c r="L192" t="s">
        <v>77</v>
      </c>
      <c r="P192" t="s">
        <v>85</v>
      </c>
    </row>
    <row r="193" spans="1:12" x14ac:dyDescent="0.25">
      <c r="A193" t="s">
        <v>442</v>
      </c>
      <c r="B193" t="s">
        <v>46</v>
      </c>
      <c r="C193" t="str">
        <f>IF(ISBLANK(Table4[[#This Row],[Region]]),Table4[[#This Row],[Node Type]],Table4[[#This Row],[Region]])</f>
        <v/>
      </c>
      <c r="E193" t="str">
        <f>IF(ISERROR(SEARCH("Node",Table4[[#This Row],[Type]])),IF(ISERROR(SEARCH("Iliac",Table4[[#This Row],[Type]])),"",Table4[[#This Row],[Type]]),Table4[[#This Row],[Type]])</f>
        <v/>
      </c>
      <c r="I193">
        <v>59.4</v>
      </c>
      <c r="L193" t="s">
        <v>46</v>
      </c>
    </row>
    <row r="194" spans="1:12" x14ac:dyDescent="0.25">
      <c r="A194" t="s">
        <v>443</v>
      </c>
      <c r="B194" t="s">
        <v>77</v>
      </c>
      <c r="C194" t="str">
        <f>IF(ISBLANK(Table4[[#This Row],[Region]]),Table4[[#This Row],[Node Type]],Table4[[#This Row],[Region]])</f>
        <v/>
      </c>
      <c r="E194" t="str">
        <f>IF(ISERROR(SEARCH("Node",Table4[[#This Row],[Type]])),IF(ISERROR(SEARCH("Iliac",Table4[[#This Row],[Type]])),"",Table4[[#This Row],[Type]]),Table4[[#This Row],[Type]])</f>
        <v/>
      </c>
      <c r="I194">
        <v>59.4</v>
      </c>
      <c r="L194" t="s">
        <v>77</v>
      </c>
    </row>
    <row r="195" spans="1:12" x14ac:dyDescent="0.25">
      <c r="A195" t="s">
        <v>447</v>
      </c>
      <c r="B195" t="s">
        <v>20</v>
      </c>
      <c r="C195" t="str">
        <f>IF(ISBLANK(Table4[[#This Row],[Region]]),Table4[[#This Row],[Node Type]],Table4[[#This Row],[Region]])</f>
        <v/>
      </c>
      <c r="E195" t="str">
        <f>IF(ISERROR(SEARCH("Node",Table4[[#This Row],[Type]])),IF(ISERROR(SEARCH("Iliac",Table4[[#This Row],[Type]])),"",Table4[[#This Row],[Type]]),Table4[[#This Row],[Type]])</f>
        <v/>
      </c>
      <c r="H195">
        <v>1</v>
      </c>
      <c r="I195">
        <v>27</v>
      </c>
      <c r="L195" t="s">
        <v>20</v>
      </c>
    </row>
    <row r="196" spans="1:12" x14ac:dyDescent="0.25">
      <c r="A196" t="s">
        <v>450</v>
      </c>
      <c r="B196" t="s">
        <v>77</v>
      </c>
      <c r="C196" t="str">
        <f>IF(ISBLANK(Table4[[#This Row],[Region]]),Table4[[#This Row],[Node Type]],Table4[[#This Row],[Region]])</f>
        <v/>
      </c>
      <c r="E196" t="str">
        <f>IF(ISERROR(SEARCH("Node",Table4[[#This Row],[Type]])),IF(ISERROR(SEARCH("Iliac",Table4[[#This Row],[Type]])),"",Table4[[#This Row],[Type]]),Table4[[#This Row],[Type]])</f>
        <v/>
      </c>
      <c r="H196">
        <v>1</v>
      </c>
      <c r="I196">
        <v>27</v>
      </c>
      <c r="L196" t="s">
        <v>77</v>
      </c>
    </row>
    <row r="197" spans="1:12" x14ac:dyDescent="0.25">
      <c r="A197" t="s">
        <v>456</v>
      </c>
      <c r="B197" t="s">
        <v>20</v>
      </c>
      <c r="C197" t="str">
        <f>IF(ISBLANK(Table4[[#This Row],[Region]]),Table4[[#This Row],[Node Type]],Table4[[#This Row],[Region]])</f>
        <v/>
      </c>
      <c r="E197" t="str">
        <f>IF(ISERROR(SEARCH("Node",Table4[[#This Row],[Type]])),IF(ISERROR(SEARCH("Iliac",Table4[[#This Row],[Type]])),"",Table4[[#This Row],[Type]]),Table4[[#This Row],[Type]])</f>
        <v/>
      </c>
      <c r="H197">
        <v>1</v>
      </c>
      <c r="I197">
        <v>32.5</v>
      </c>
      <c r="L197" t="s">
        <v>20</v>
      </c>
    </row>
    <row r="198" spans="1:12" x14ac:dyDescent="0.25">
      <c r="A198" t="s">
        <v>458</v>
      </c>
      <c r="B198" t="s">
        <v>77</v>
      </c>
      <c r="C198" t="str">
        <f>IF(ISBLANK(Table4[[#This Row],[Region]]),Table4[[#This Row],[Node Type]],Table4[[#This Row],[Region]])</f>
        <v/>
      </c>
      <c r="E198" t="str">
        <f>IF(ISERROR(SEARCH("Node",Table4[[#This Row],[Type]])),IF(ISERROR(SEARCH("Iliac",Table4[[#This Row],[Type]])),"",Table4[[#This Row],[Type]]),Table4[[#This Row],[Type]])</f>
        <v/>
      </c>
      <c r="H198">
        <v>1</v>
      </c>
      <c r="I198">
        <v>32.5</v>
      </c>
      <c r="L198" t="s">
        <v>77</v>
      </c>
    </row>
    <row r="199" spans="1:12" x14ac:dyDescent="0.25">
      <c r="A199" t="s">
        <v>461</v>
      </c>
      <c r="B199" t="s">
        <v>77</v>
      </c>
      <c r="C199" t="str">
        <f>IF(ISBLANK(Table4[[#This Row],[Region]]),Table4[[#This Row],[Node Type]],Table4[[#This Row],[Region]])</f>
        <v/>
      </c>
      <c r="E199" t="str">
        <f>IF(ISERROR(SEARCH("Node",Table4[[#This Row],[Type]])),IF(ISERROR(SEARCH("Iliac",Table4[[#This Row],[Type]])),"",Table4[[#This Row],[Type]]),Table4[[#This Row],[Type]])</f>
        <v/>
      </c>
      <c r="I199">
        <v>48</v>
      </c>
      <c r="L199" t="s">
        <v>77</v>
      </c>
    </row>
    <row r="200" spans="1:12" x14ac:dyDescent="0.25">
      <c r="A200" t="s">
        <v>476</v>
      </c>
      <c r="B200" t="s">
        <v>20</v>
      </c>
      <c r="C200" t="str">
        <f>IF(ISBLANK(Table4[[#This Row],[Region]]),Table4[[#This Row],[Node Type]],Table4[[#This Row],[Region]])</f>
        <v/>
      </c>
      <c r="E200" t="str">
        <f>IF(ISERROR(SEARCH("Node",Table4[[#This Row],[Type]])),IF(ISERROR(SEARCH("Iliac",Table4[[#This Row],[Type]])),"",Table4[[#This Row],[Type]]),Table4[[#This Row],[Type]])</f>
        <v/>
      </c>
      <c r="H200">
        <v>1</v>
      </c>
      <c r="I200">
        <v>27</v>
      </c>
      <c r="L200" t="s">
        <v>20</v>
      </c>
    </row>
    <row r="201" spans="1:12" x14ac:dyDescent="0.25">
      <c r="A201" t="s">
        <v>477</v>
      </c>
      <c r="B201" t="s">
        <v>20</v>
      </c>
      <c r="C201" t="str">
        <f>IF(ISBLANK(Table4[[#This Row],[Region]]),Table4[[#This Row],[Node Type]],Table4[[#This Row],[Region]])</f>
        <v/>
      </c>
      <c r="E201" t="str">
        <f>IF(ISERROR(SEARCH("Node",Table4[[#This Row],[Type]])),IF(ISERROR(SEARCH("Iliac",Table4[[#This Row],[Type]])),"",Table4[[#This Row],[Type]]),Table4[[#This Row],[Type]])</f>
        <v/>
      </c>
      <c r="H201">
        <v>2</v>
      </c>
      <c r="I201">
        <v>27</v>
      </c>
      <c r="L201" t="s">
        <v>20</v>
      </c>
    </row>
    <row r="202" spans="1:12" x14ac:dyDescent="0.25">
      <c r="A202" t="s">
        <v>478</v>
      </c>
      <c r="B202" t="s">
        <v>20</v>
      </c>
      <c r="C202" t="str">
        <f>IF(ISBLANK(Table4[[#This Row],[Region]]),Table4[[#This Row],[Node Type]],Table4[[#This Row],[Region]])</f>
        <v/>
      </c>
      <c r="E202" t="str">
        <f>IF(ISERROR(SEARCH("Node",Table4[[#This Row],[Type]])),IF(ISERROR(SEARCH("Iliac",Table4[[#This Row],[Type]])),"",Table4[[#This Row],[Type]]),Table4[[#This Row],[Type]])</f>
        <v/>
      </c>
      <c r="H202">
        <v>3</v>
      </c>
      <c r="I202">
        <v>27</v>
      </c>
      <c r="L202" t="s">
        <v>20</v>
      </c>
    </row>
    <row r="203" spans="1:12" x14ac:dyDescent="0.25">
      <c r="A203" t="s">
        <v>479</v>
      </c>
      <c r="B203" t="s">
        <v>20</v>
      </c>
      <c r="C203" t="str">
        <f>IF(ISBLANK(Table4[[#This Row],[Region]]),Table4[[#This Row],[Node Type]],Table4[[#This Row],[Region]])</f>
        <v/>
      </c>
      <c r="E203" t="str">
        <f>IF(ISERROR(SEARCH("Node",Table4[[#This Row],[Type]])),IF(ISERROR(SEARCH("Iliac",Table4[[#This Row],[Type]])),"",Table4[[#This Row],[Type]]),Table4[[#This Row],[Type]])</f>
        <v/>
      </c>
      <c r="H203">
        <v>4</v>
      </c>
      <c r="I203">
        <v>27</v>
      </c>
      <c r="L203" t="s">
        <v>20</v>
      </c>
    </row>
    <row r="204" spans="1:12" x14ac:dyDescent="0.25">
      <c r="A204" t="s">
        <v>481</v>
      </c>
      <c r="B204" t="s">
        <v>77</v>
      </c>
      <c r="C204" t="str">
        <f>IF(ISBLANK(Table4[[#This Row],[Region]]),Table4[[#This Row],[Node Type]],Table4[[#This Row],[Region]])</f>
        <v/>
      </c>
      <c r="E204" t="str">
        <f>IF(ISERROR(SEARCH("Node",Table4[[#This Row],[Type]])),IF(ISERROR(SEARCH("Iliac",Table4[[#This Row],[Type]])),"",Table4[[#This Row],[Type]]),Table4[[#This Row],[Type]])</f>
        <v/>
      </c>
      <c r="H204">
        <v>1</v>
      </c>
      <c r="I204">
        <v>27</v>
      </c>
      <c r="L204" t="s">
        <v>77</v>
      </c>
    </row>
    <row r="205" spans="1:12" x14ac:dyDescent="0.25">
      <c r="A205" t="s">
        <v>482</v>
      </c>
      <c r="B205" t="s">
        <v>77</v>
      </c>
      <c r="C205" t="str">
        <f>IF(ISBLANK(Table4[[#This Row],[Region]]),Table4[[#This Row],[Node Type]],Table4[[#This Row],[Region]])</f>
        <v/>
      </c>
      <c r="E205" t="str">
        <f>IF(ISERROR(SEARCH("Node",Table4[[#This Row],[Type]])),IF(ISERROR(SEARCH("Iliac",Table4[[#This Row],[Type]])),"",Table4[[#This Row],[Type]]),Table4[[#This Row],[Type]])</f>
        <v/>
      </c>
      <c r="H205">
        <v>2</v>
      </c>
      <c r="I205">
        <v>27</v>
      </c>
      <c r="L205" t="s">
        <v>77</v>
      </c>
    </row>
    <row r="206" spans="1:12" x14ac:dyDescent="0.25">
      <c r="A206" t="s">
        <v>483</v>
      </c>
      <c r="B206" t="s">
        <v>77</v>
      </c>
      <c r="C206" t="str">
        <f>IF(ISBLANK(Table4[[#This Row],[Region]]),Table4[[#This Row],[Node Type]],Table4[[#This Row],[Region]])</f>
        <v/>
      </c>
      <c r="E206" t="str">
        <f>IF(ISERROR(SEARCH("Node",Table4[[#This Row],[Type]])),IF(ISERROR(SEARCH("Iliac",Table4[[#This Row],[Type]])),"",Table4[[#This Row],[Type]]),Table4[[#This Row],[Type]])</f>
        <v/>
      </c>
      <c r="H206">
        <v>3</v>
      </c>
      <c r="I206">
        <v>27</v>
      </c>
      <c r="L206" t="s">
        <v>77</v>
      </c>
    </row>
    <row r="207" spans="1:12" x14ac:dyDescent="0.25">
      <c r="A207" t="s">
        <v>484</v>
      </c>
      <c r="B207" t="s">
        <v>77</v>
      </c>
      <c r="C207" t="str">
        <f>IF(ISBLANK(Table4[[#This Row],[Region]]),Table4[[#This Row],[Node Type]],Table4[[#This Row],[Region]])</f>
        <v/>
      </c>
      <c r="E207" t="str">
        <f>IF(ISERROR(SEARCH("Node",Table4[[#This Row],[Type]])),IF(ISERROR(SEARCH("Iliac",Table4[[#This Row],[Type]])),"",Table4[[#This Row],[Type]]),Table4[[#This Row],[Type]])</f>
        <v/>
      </c>
      <c r="H207">
        <v>4</v>
      </c>
      <c r="I207">
        <v>27</v>
      </c>
      <c r="L207" t="s">
        <v>77</v>
      </c>
    </row>
    <row r="208" spans="1:12" x14ac:dyDescent="0.25">
      <c r="A208" t="s">
        <v>485</v>
      </c>
      <c r="B208" t="s">
        <v>20</v>
      </c>
      <c r="C208" t="str">
        <f>IF(ISBLANK(Table4[[#This Row],[Region]]),Table4[[#This Row],[Node Type]],Table4[[#This Row],[Region]])</f>
        <v/>
      </c>
      <c r="E208" t="str">
        <f>IF(ISERROR(SEARCH("Node",Table4[[#This Row],[Type]])),IF(ISERROR(SEARCH("Iliac",Table4[[#This Row],[Type]])),"",Table4[[#This Row],[Type]]),Table4[[#This Row],[Type]])</f>
        <v/>
      </c>
      <c r="H208">
        <v>1</v>
      </c>
      <c r="I208">
        <v>27</v>
      </c>
      <c r="L208" t="s">
        <v>20</v>
      </c>
    </row>
    <row r="209" spans="1:12" x14ac:dyDescent="0.25">
      <c r="A209" t="s">
        <v>486</v>
      </c>
      <c r="B209" t="s">
        <v>20</v>
      </c>
      <c r="C209" t="str">
        <f>IF(ISBLANK(Table4[[#This Row],[Region]]),Table4[[#This Row],[Node Type]],Table4[[#This Row],[Region]])</f>
        <v/>
      </c>
      <c r="E209" t="str">
        <f>IF(ISERROR(SEARCH("Node",Table4[[#This Row],[Type]])),IF(ISERROR(SEARCH("Iliac",Table4[[#This Row],[Type]])),"",Table4[[#This Row],[Type]]),Table4[[#This Row],[Type]])</f>
        <v/>
      </c>
      <c r="H209">
        <v>2</v>
      </c>
      <c r="I209">
        <v>27</v>
      </c>
      <c r="L209" t="s">
        <v>20</v>
      </c>
    </row>
    <row r="210" spans="1:12" x14ac:dyDescent="0.25">
      <c r="A210" t="s">
        <v>487</v>
      </c>
      <c r="B210" t="s">
        <v>20</v>
      </c>
      <c r="C210" t="str">
        <f>IF(ISBLANK(Table4[[#This Row],[Region]]),Table4[[#This Row],[Node Type]],Table4[[#This Row],[Region]])</f>
        <v/>
      </c>
      <c r="E210" t="str">
        <f>IF(ISERROR(SEARCH("Node",Table4[[#This Row],[Type]])),IF(ISERROR(SEARCH("Iliac",Table4[[#This Row],[Type]])),"",Table4[[#This Row],[Type]]),Table4[[#This Row],[Type]])</f>
        <v/>
      </c>
      <c r="H210">
        <v>3</v>
      </c>
      <c r="I210">
        <v>27</v>
      </c>
      <c r="L210" t="s">
        <v>20</v>
      </c>
    </row>
    <row r="211" spans="1:12" x14ac:dyDescent="0.25">
      <c r="A211" t="s">
        <v>488</v>
      </c>
      <c r="B211" t="s">
        <v>20</v>
      </c>
      <c r="C211" t="str">
        <f>IF(ISBLANK(Table4[[#This Row],[Region]]),Table4[[#This Row],[Node Type]],Table4[[#This Row],[Region]])</f>
        <v/>
      </c>
      <c r="E211" t="str">
        <f>IF(ISERROR(SEARCH("Node",Table4[[#This Row],[Type]])),IF(ISERROR(SEARCH("Iliac",Table4[[#This Row],[Type]])),"",Table4[[#This Row],[Type]]),Table4[[#This Row],[Type]])</f>
        <v/>
      </c>
      <c r="H211">
        <v>4</v>
      </c>
      <c r="I211">
        <v>27</v>
      </c>
      <c r="L211" t="s">
        <v>20</v>
      </c>
    </row>
    <row r="212" spans="1:12" x14ac:dyDescent="0.25">
      <c r="A212" t="s">
        <v>489</v>
      </c>
      <c r="B212" t="s">
        <v>20</v>
      </c>
      <c r="C212" t="str">
        <f>IF(ISBLANK(Table4[[#This Row],[Region]]),Table4[[#This Row],[Node Type]],Table4[[#This Row],[Region]])</f>
        <v/>
      </c>
      <c r="E212" t="str">
        <f>IF(ISERROR(SEARCH("Node",Table4[[#This Row],[Type]])),IF(ISERROR(SEARCH("Iliac",Table4[[#This Row],[Type]])),"",Table4[[#This Row],[Type]]),Table4[[#This Row],[Type]])</f>
        <v/>
      </c>
      <c r="H212">
        <v>5</v>
      </c>
      <c r="I212">
        <v>24</v>
      </c>
      <c r="L212" t="s">
        <v>20</v>
      </c>
    </row>
    <row r="213" spans="1:12" x14ac:dyDescent="0.25">
      <c r="A213" t="s">
        <v>491</v>
      </c>
      <c r="B213" t="s">
        <v>77</v>
      </c>
      <c r="C213" t="str">
        <f>IF(ISBLANK(Table4[[#This Row],[Region]]),Table4[[#This Row],[Node Type]],Table4[[#This Row],[Region]])</f>
        <v/>
      </c>
      <c r="E213" t="str">
        <f>IF(ISERROR(SEARCH("Node",Table4[[#This Row],[Type]])),IF(ISERROR(SEARCH("Iliac",Table4[[#This Row],[Type]])),"",Table4[[#This Row],[Type]]),Table4[[#This Row],[Type]])</f>
        <v/>
      </c>
      <c r="H213">
        <v>1</v>
      </c>
      <c r="I213">
        <v>27</v>
      </c>
      <c r="L213" t="s">
        <v>77</v>
      </c>
    </row>
    <row r="214" spans="1:12" x14ac:dyDescent="0.25">
      <c r="A214" t="s">
        <v>492</v>
      </c>
      <c r="B214" t="s">
        <v>77</v>
      </c>
      <c r="C214" t="str">
        <f>IF(ISBLANK(Table4[[#This Row],[Region]]),Table4[[#This Row],[Node Type]],Table4[[#This Row],[Region]])</f>
        <v/>
      </c>
      <c r="E214" t="str">
        <f>IF(ISERROR(SEARCH("Node",Table4[[#This Row],[Type]])),IF(ISERROR(SEARCH("Iliac",Table4[[#This Row],[Type]])),"",Table4[[#This Row],[Type]]),Table4[[#This Row],[Type]])</f>
        <v/>
      </c>
      <c r="H214">
        <v>2</v>
      </c>
      <c r="I214">
        <v>27</v>
      </c>
      <c r="L214" t="s">
        <v>77</v>
      </c>
    </row>
    <row r="215" spans="1:12" x14ac:dyDescent="0.25">
      <c r="A215" t="s">
        <v>493</v>
      </c>
      <c r="B215" t="s">
        <v>77</v>
      </c>
      <c r="C215" t="str">
        <f>IF(ISBLANK(Table4[[#This Row],[Region]]),Table4[[#This Row],[Node Type]],Table4[[#This Row],[Region]])</f>
        <v/>
      </c>
      <c r="E215" t="str">
        <f>IF(ISERROR(SEARCH("Node",Table4[[#This Row],[Type]])),IF(ISERROR(SEARCH("Iliac",Table4[[#This Row],[Type]])),"",Table4[[#This Row],[Type]]),Table4[[#This Row],[Type]])</f>
        <v/>
      </c>
      <c r="H215">
        <v>3</v>
      </c>
      <c r="I215">
        <v>27</v>
      </c>
      <c r="L215" t="s">
        <v>77</v>
      </c>
    </row>
    <row r="216" spans="1:12" x14ac:dyDescent="0.25">
      <c r="A216" t="s">
        <v>494</v>
      </c>
      <c r="B216" t="s">
        <v>77</v>
      </c>
      <c r="C216" t="str">
        <f>IF(ISBLANK(Table4[[#This Row],[Region]]),Table4[[#This Row],[Node Type]],Table4[[#This Row],[Region]])</f>
        <v/>
      </c>
      <c r="E216" t="str">
        <f>IF(ISERROR(SEARCH("Node",Table4[[#This Row],[Type]])),IF(ISERROR(SEARCH("Iliac",Table4[[#This Row],[Type]])),"",Table4[[#This Row],[Type]]),Table4[[#This Row],[Type]])</f>
        <v/>
      </c>
      <c r="H216">
        <v>4</v>
      </c>
      <c r="I216">
        <v>27</v>
      </c>
      <c r="L216" t="s">
        <v>77</v>
      </c>
    </row>
    <row r="217" spans="1:12" x14ac:dyDescent="0.25">
      <c r="A217" t="s">
        <v>495</v>
      </c>
      <c r="B217" t="s">
        <v>77</v>
      </c>
      <c r="C217" t="str">
        <f>IF(ISBLANK(Table4[[#This Row],[Region]]),Table4[[#This Row],[Node Type]],Table4[[#This Row],[Region]])</f>
        <v/>
      </c>
      <c r="E217" t="str">
        <f>IF(ISERROR(SEARCH("Node",Table4[[#This Row],[Type]])),IF(ISERROR(SEARCH("Iliac",Table4[[#This Row],[Type]])),"",Table4[[#This Row],[Type]]),Table4[[#This Row],[Type]])</f>
        <v/>
      </c>
      <c r="H217">
        <v>5</v>
      </c>
      <c r="I217">
        <v>24</v>
      </c>
      <c r="L217" t="s">
        <v>77</v>
      </c>
    </row>
    <row r="218" spans="1:12" x14ac:dyDescent="0.25">
      <c r="A218" t="s">
        <v>496</v>
      </c>
      <c r="B218" t="s">
        <v>20</v>
      </c>
      <c r="C218" t="str">
        <f>IF(ISBLANK(Table4[[#This Row],[Region]]),Table4[[#This Row],[Node Type]],Table4[[#This Row],[Region]])</f>
        <v/>
      </c>
      <c r="E218" t="str">
        <f>IF(ISERROR(SEARCH("Node",Table4[[#This Row],[Type]])),IF(ISERROR(SEARCH("Iliac",Table4[[#This Row],[Type]])),"",Table4[[#This Row],[Type]]),Table4[[#This Row],[Type]])</f>
        <v/>
      </c>
      <c r="H218">
        <v>6</v>
      </c>
      <c r="I218">
        <v>27</v>
      </c>
      <c r="L218" t="s">
        <v>20</v>
      </c>
    </row>
    <row r="219" spans="1:12" x14ac:dyDescent="0.25">
      <c r="A219" t="s">
        <v>497</v>
      </c>
      <c r="B219" t="s">
        <v>77</v>
      </c>
      <c r="C219" t="str">
        <f>IF(ISBLANK(Table4[[#This Row],[Region]]),Table4[[#This Row],[Node Type]],Table4[[#This Row],[Region]])</f>
        <v/>
      </c>
      <c r="E219" t="str">
        <f>IF(ISERROR(SEARCH("Node",Table4[[#This Row],[Type]])),IF(ISERROR(SEARCH("Iliac",Table4[[#This Row],[Type]])),"",Table4[[#This Row],[Type]]),Table4[[#This Row],[Type]])</f>
        <v/>
      </c>
      <c r="H219">
        <v>6</v>
      </c>
      <c r="I219">
        <v>27</v>
      </c>
      <c r="L219" t="s">
        <v>77</v>
      </c>
    </row>
    <row r="220" spans="1:12" x14ac:dyDescent="0.25">
      <c r="A220" t="s">
        <v>498</v>
      </c>
      <c r="B220" t="s">
        <v>77</v>
      </c>
      <c r="C220" t="str">
        <f>IF(ISBLANK(Table4[[#This Row],[Region]]),Table4[[#This Row],[Node Type]],Table4[[#This Row],[Region]])</f>
        <v/>
      </c>
      <c r="E220" t="str">
        <f>IF(ISERROR(SEARCH("Node",Table4[[#This Row],[Type]])),IF(ISERROR(SEARCH("Iliac",Table4[[#This Row],[Type]])),"",Table4[[#This Row],[Type]]),Table4[[#This Row],[Type]])</f>
        <v/>
      </c>
      <c r="H220">
        <v>5</v>
      </c>
      <c r="I220">
        <v>25</v>
      </c>
      <c r="L220" t="s">
        <v>77</v>
      </c>
    </row>
    <row r="221" spans="1:12" x14ac:dyDescent="0.25">
      <c r="A221" t="s">
        <v>500</v>
      </c>
      <c r="B221" t="s">
        <v>77</v>
      </c>
      <c r="C221" t="str">
        <f>IF(ISBLANK(Table4[[#This Row],[Region]]),Table4[[#This Row],[Node Type]],Table4[[#This Row],[Region]])</f>
        <v/>
      </c>
      <c r="E221" t="str">
        <f>IF(ISERROR(SEARCH("Node",Table4[[#This Row],[Type]])),IF(ISERROR(SEARCH("Iliac",Table4[[#This Row],[Type]])),"",Table4[[#This Row],[Type]]),Table4[[#This Row],[Type]])</f>
        <v/>
      </c>
      <c r="H221">
        <v>4</v>
      </c>
      <c r="I221">
        <v>25</v>
      </c>
      <c r="L221" t="s">
        <v>77</v>
      </c>
    </row>
    <row r="222" spans="1:12" x14ac:dyDescent="0.25">
      <c r="A222" t="s">
        <v>501</v>
      </c>
      <c r="B222" t="s">
        <v>77</v>
      </c>
      <c r="C222" t="str">
        <f>IF(ISBLANK(Table4[[#This Row],[Region]]),Table4[[#This Row],[Node Type]],Table4[[#This Row],[Region]])</f>
        <v/>
      </c>
      <c r="E222" t="str">
        <f>IF(ISERROR(SEARCH("Node",Table4[[#This Row],[Type]])),IF(ISERROR(SEARCH("Iliac",Table4[[#This Row],[Type]])),"",Table4[[#This Row],[Type]]),Table4[[#This Row],[Type]])</f>
        <v/>
      </c>
      <c r="H222">
        <v>3</v>
      </c>
      <c r="I222">
        <v>25</v>
      </c>
      <c r="L222" t="s">
        <v>77</v>
      </c>
    </row>
    <row r="223" spans="1:12" x14ac:dyDescent="0.25">
      <c r="A223" t="s">
        <v>502</v>
      </c>
      <c r="B223" t="s">
        <v>77</v>
      </c>
      <c r="C223" t="str">
        <f>IF(ISBLANK(Table4[[#This Row],[Region]]),Table4[[#This Row],[Node Type]],Table4[[#This Row],[Region]])</f>
        <v/>
      </c>
      <c r="E223" t="str">
        <f>IF(ISERROR(SEARCH("Node",Table4[[#This Row],[Type]])),IF(ISERROR(SEARCH("Iliac",Table4[[#This Row],[Type]])),"",Table4[[#This Row],[Type]]),Table4[[#This Row],[Type]])</f>
        <v/>
      </c>
      <c r="H223">
        <v>2</v>
      </c>
      <c r="I223">
        <v>25</v>
      </c>
      <c r="L223" t="s">
        <v>77</v>
      </c>
    </row>
    <row r="224" spans="1:12" x14ac:dyDescent="0.25">
      <c r="A224" t="s">
        <v>503</v>
      </c>
      <c r="B224" t="s">
        <v>77</v>
      </c>
      <c r="C224" t="str">
        <f>IF(ISBLANK(Table4[[#This Row],[Region]]),Table4[[#This Row],[Node Type]],Table4[[#This Row],[Region]])</f>
        <v/>
      </c>
      <c r="E224" t="str">
        <f>IF(ISERROR(SEARCH("Node",Table4[[#This Row],[Type]])),IF(ISERROR(SEARCH("Iliac",Table4[[#This Row],[Type]])),"",Table4[[#This Row],[Type]]),Table4[[#This Row],[Type]])</f>
        <v/>
      </c>
      <c r="H224">
        <v>1</v>
      </c>
      <c r="I224">
        <v>25</v>
      </c>
      <c r="L224" t="s">
        <v>77</v>
      </c>
    </row>
    <row r="225" spans="1:12" x14ac:dyDescent="0.25">
      <c r="A225" t="s">
        <v>504</v>
      </c>
      <c r="B225" t="s">
        <v>20</v>
      </c>
      <c r="C225" t="str">
        <f>IF(ISBLANK(Table4[[#This Row],[Region]]),Table4[[#This Row],[Node Type]],Table4[[#This Row],[Region]])</f>
        <v/>
      </c>
      <c r="E225" t="str">
        <f>IF(ISERROR(SEARCH("Node",Table4[[#This Row],[Type]])),IF(ISERROR(SEARCH("Iliac",Table4[[#This Row],[Type]])),"",Table4[[#This Row],[Type]]),Table4[[#This Row],[Type]])</f>
        <v/>
      </c>
      <c r="H225">
        <v>5</v>
      </c>
      <c r="I225">
        <v>25</v>
      </c>
      <c r="L225" t="s">
        <v>20</v>
      </c>
    </row>
    <row r="226" spans="1:12" x14ac:dyDescent="0.25">
      <c r="A226" t="s">
        <v>505</v>
      </c>
      <c r="B226" t="s">
        <v>20</v>
      </c>
      <c r="C226" t="str">
        <f>IF(ISBLANK(Table4[[#This Row],[Region]]),Table4[[#This Row],[Node Type]],Table4[[#This Row],[Region]])</f>
        <v/>
      </c>
      <c r="E226" t="str">
        <f>IF(ISERROR(SEARCH("Node",Table4[[#This Row],[Type]])),IF(ISERROR(SEARCH("Iliac",Table4[[#This Row],[Type]])),"",Table4[[#This Row],[Type]]),Table4[[#This Row],[Type]])</f>
        <v/>
      </c>
      <c r="H226">
        <v>4</v>
      </c>
      <c r="I226">
        <v>25</v>
      </c>
      <c r="L226" t="s">
        <v>20</v>
      </c>
    </row>
    <row r="227" spans="1:12" x14ac:dyDescent="0.25">
      <c r="A227" t="s">
        <v>506</v>
      </c>
      <c r="B227" t="s">
        <v>20</v>
      </c>
      <c r="C227" t="str">
        <f>IF(ISBLANK(Table4[[#This Row],[Region]]),Table4[[#This Row],[Node Type]],Table4[[#This Row],[Region]])</f>
        <v/>
      </c>
      <c r="E227" t="str">
        <f>IF(ISERROR(SEARCH("Node",Table4[[#This Row],[Type]])),IF(ISERROR(SEARCH("Iliac",Table4[[#This Row],[Type]])),"",Table4[[#This Row],[Type]]),Table4[[#This Row],[Type]])</f>
        <v/>
      </c>
      <c r="H227">
        <v>3</v>
      </c>
      <c r="I227">
        <v>25</v>
      </c>
      <c r="L227" t="s">
        <v>20</v>
      </c>
    </row>
    <row r="228" spans="1:12" x14ac:dyDescent="0.25">
      <c r="A228" t="s">
        <v>507</v>
      </c>
      <c r="B228" t="s">
        <v>20</v>
      </c>
      <c r="C228" t="str">
        <f>IF(ISBLANK(Table4[[#This Row],[Region]]),Table4[[#This Row],[Node Type]],Table4[[#This Row],[Region]])</f>
        <v/>
      </c>
      <c r="E228" t="str">
        <f>IF(ISERROR(SEARCH("Node",Table4[[#This Row],[Type]])),IF(ISERROR(SEARCH("Iliac",Table4[[#This Row],[Type]])),"",Table4[[#This Row],[Type]]),Table4[[#This Row],[Type]])</f>
        <v/>
      </c>
      <c r="H228">
        <v>2</v>
      </c>
      <c r="I228">
        <v>25</v>
      </c>
      <c r="L228" t="s">
        <v>20</v>
      </c>
    </row>
    <row r="229" spans="1:12" x14ac:dyDescent="0.25">
      <c r="A229" t="s">
        <v>508</v>
      </c>
      <c r="B229" t="s">
        <v>20</v>
      </c>
      <c r="C229" t="str">
        <f>IF(ISBLANK(Table4[[#This Row],[Region]]),Table4[[#This Row],[Node Type]],Table4[[#This Row],[Region]])</f>
        <v/>
      </c>
      <c r="E229" t="str">
        <f>IF(ISERROR(SEARCH("Node",Table4[[#This Row],[Type]])),IF(ISERROR(SEARCH("Iliac",Table4[[#This Row],[Type]])),"",Table4[[#This Row],[Type]]),Table4[[#This Row],[Type]])</f>
        <v/>
      </c>
      <c r="H229">
        <v>1</v>
      </c>
      <c r="I229">
        <v>25</v>
      </c>
      <c r="L229" t="s">
        <v>20</v>
      </c>
    </row>
    <row r="230" spans="1:12" x14ac:dyDescent="0.25">
      <c r="A230" t="s">
        <v>510</v>
      </c>
      <c r="B230" t="s">
        <v>77</v>
      </c>
      <c r="C230" t="str">
        <f>IF(ISBLANK(Table4[[#This Row],[Region]]),Table4[[#This Row],[Node Type]],Table4[[#This Row],[Region]])</f>
        <v/>
      </c>
      <c r="E230" t="str">
        <f>IF(ISERROR(SEARCH("Node",Table4[[#This Row],[Type]])),IF(ISERROR(SEARCH("Iliac",Table4[[#This Row],[Type]])),"",Table4[[#This Row],[Type]]),Table4[[#This Row],[Type]])</f>
        <v/>
      </c>
      <c r="H230">
        <v>1</v>
      </c>
      <c r="I230">
        <v>30</v>
      </c>
      <c r="L230" t="s">
        <v>77</v>
      </c>
    </row>
    <row r="231" spans="1:12" x14ac:dyDescent="0.25">
      <c r="A231" t="s">
        <v>524</v>
      </c>
      <c r="B231" t="s">
        <v>20</v>
      </c>
      <c r="C231" t="str">
        <f>IF(ISBLANK(Table4[[#This Row],[Region]]),Table4[[#This Row],[Node Type]],Table4[[#This Row],[Region]])</f>
        <v/>
      </c>
      <c r="E231" t="str">
        <f>IF(ISERROR(SEARCH("Node",Table4[[#This Row],[Type]])),IF(ISERROR(SEARCH("Iliac",Table4[[#This Row],[Type]])),"",Table4[[#This Row],[Type]]),Table4[[#This Row],[Type]])</f>
        <v/>
      </c>
      <c r="H231">
        <v>1</v>
      </c>
      <c r="I231">
        <v>27</v>
      </c>
      <c r="L231" t="s">
        <v>20</v>
      </c>
    </row>
    <row r="232" spans="1:12" x14ac:dyDescent="0.25">
      <c r="A232" t="s">
        <v>526</v>
      </c>
      <c r="B232" t="s">
        <v>20</v>
      </c>
      <c r="C232" t="str">
        <f>IF(ISBLANK(Table4[[#This Row],[Region]]),Table4[[#This Row],[Node Type]],Table4[[#This Row],[Region]])</f>
        <v/>
      </c>
      <c r="E232" t="str">
        <f>IF(ISERROR(SEARCH("Node",Table4[[#This Row],[Type]])),IF(ISERROR(SEARCH("Iliac",Table4[[#This Row],[Type]])),"",Table4[[#This Row],[Type]]),Table4[[#This Row],[Type]])</f>
        <v/>
      </c>
      <c r="H232">
        <v>2</v>
      </c>
      <c r="I232">
        <v>27</v>
      </c>
      <c r="L232" t="s">
        <v>20</v>
      </c>
    </row>
    <row r="233" spans="1:12" x14ac:dyDescent="0.25">
      <c r="A233" t="s">
        <v>527</v>
      </c>
      <c r="B233" t="s">
        <v>77</v>
      </c>
      <c r="C233" t="str">
        <f>IF(ISBLANK(Table4[[#This Row],[Region]]),Table4[[#This Row],[Node Type]],Table4[[#This Row],[Region]])</f>
        <v/>
      </c>
      <c r="E233" t="str">
        <f>IF(ISERROR(SEARCH("Node",Table4[[#This Row],[Type]])),IF(ISERROR(SEARCH("Iliac",Table4[[#This Row],[Type]])),"",Table4[[#This Row],[Type]]),Table4[[#This Row],[Type]])</f>
        <v/>
      </c>
      <c r="H233">
        <v>1</v>
      </c>
      <c r="I233">
        <v>27</v>
      </c>
      <c r="L233" t="s">
        <v>77</v>
      </c>
    </row>
    <row r="234" spans="1:12" x14ac:dyDescent="0.25">
      <c r="A234" t="s">
        <v>528</v>
      </c>
      <c r="B234" t="s">
        <v>77</v>
      </c>
      <c r="C234" t="str">
        <f>IF(ISBLANK(Table4[[#This Row],[Region]]),Table4[[#This Row],[Node Type]],Table4[[#This Row],[Region]])</f>
        <v/>
      </c>
      <c r="E234" t="str">
        <f>IF(ISERROR(SEARCH("Node",Table4[[#This Row],[Type]])),IF(ISERROR(SEARCH("Iliac",Table4[[#This Row],[Type]])),"",Table4[[#This Row],[Type]]),Table4[[#This Row],[Type]])</f>
        <v/>
      </c>
      <c r="H234">
        <v>2</v>
      </c>
      <c r="I234">
        <v>27</v>
      </c>
      <c r="L234" t="s">
        <v>77</v>
      </c>
    </row>
    <row r="235" spans="1:12" x14ac:dyDescent="0.25">
      <c r="A235" t="s">
        <v>529</v>
      </c>
      <c r="B235" t="s">
        <v>20</v>
      </c>
      <c r="C235" t="str">
        <f>IF(ISBLANK(Table4[[#This Row],[Region]]),Table4[[#This Row],[Node Type]],Table4[[#This Row],[Region]])</f>
        <v/>
      </c>
      <c r="E235" t="str">
        <f>IF(ISERROR(SEARCH("Node",Table4[[#This Row],[Type]])),IF(ISERROR(SEARCH("Iliac",Table4[[#This Row],[Type]])),"",Table4[[#This Row],[Type]]),Table4[[#This Row],[Type]])</f>
        <v/>
      </c>
      <c r="H235">
        <v>2</v>
      </c>
      <c r="I235">
        <v>24</v>
      </c>
      <c r="L235" t="s">
        <v>20</v>
      </c>
    </row>
    <row r="236" spans="1:12" x14ac:dyDescent="0.25">
      <c r="A236" t="s">
        <v>531</v>
      </c>
      <c r="B236" t="s">
        <v>20</v>
      </c>
      <c r="C236" t="str">
        <f>IF(ISBLANK(Table4[[#This Row],[Region]]),Table4[[#This Row],[Node Type]],Table4[[#This Row],[Region]])</f>
        <v/>
      </c>
      <c r="E236" t="str">
        <f>IF(ISERROR(SEARCH("Node",Table4[[#This Row],[Type]])),IF(ISERROR(SEARCH("Iliac",Table4[[#This Row],[Type]])),"",Table4[[#This Row],[Type]]),Table4[[#This Row],[Type]])</f>
        <v/>
      </c>
      <c r="H236">
        <v>1</v>
      </c>
      <c r="I236">
        <v>24</v>
      </c>
      <c r="L236" t="s">
        <v>20</v>
      </c>
    </row>
    <row r="237" spans="1:12" x14ac:dyDescent="0.25">
      <c r="A237" t="s">
        <v>532</v>
      </c>
      <c r="B237" t="s">
        <v>77</v>
      </c>
      <c r="C237" t="str">
        <f>IF(ISBLANK(Table4[[#This Row],[Region]]),Table4[[#This Row],[Node Type]],Table4[[#This Row],[Region]])</f>
        <v/>
      </c>
      <c r="E237" t="str">
        <f>IF(ISERROR(SEARCH("Node",Table4[[#This Row],[Type]])),IF(ISERROR(SEARCH("Iliac",Table4[[#This Row],[Type]])),"",Table4[[#This Row],[Type]]),Table4[[#This Row],[Type]])</f>
        <v/>
      </c>
      <c r="H237">
        <v>1</v>
      </c>
      <c r="I237">
        <v>24</v>
      </c>
      <c r="L237" t="s">
        <v>77</v>
      </c>
    </row>
    <row r="238" spans="1:12" x14ac:dyDescent="0.25">
      <c r="A238" t="s">
        <v>533</v>
      </c>
      <c r="B238" t="s">
        <v>77</v>
      </c>
      <c r="C238" t="str">
        <f>IF(ISBLANK(Table4[[#This Row],[Region]]),Table4[[#This Row],[Node Type]],Table4[[#This Row],[Region]])</f>
        <v/>
      </c>
      <c r="E238" t="str">
        <f>IF(ISERROR(SEARCH("Node",Table4[[#This Row],[Type]])),IF(ISERROR(SEARCH("Iliac",Table4[[#This Row],[Type]])),"",Table4[[#This Row],[Type]]),Table4[[#This Row],[Type]])</f>
        <v/>
      </c>
      <c r="H238">
        <v>2</v>
      </c>
      <c r="I238">
        <v>24</v>
      </c>
      <c r="L238" t="s">
        <v>77</v>
      </c>
    </row>
    <row r="239" spans="1:12" x14ac:dyDescent="0.25">
      <c r="A239" t="s">
        <v>536</v>
      </c>
      <c r="B239" t="s">
        <v>20</v>
      </c>
      <c r="C239" t="str">
        <f>IF(ISBLANK(Table4[[#This Row],[Region]]),Table4[[#This Row],[Node Type]],Table4[[#This Row],[Region]])</f>
        <v/>
      </c>
      <c r="E239" t="str">
        <f>IF(ISERROR(SEARCH("Node",Table4[[#This Row],[Type]])),IF(ISERROR(SEARCH("Iliac",Table4[[#This Row],[Type]])),"",Table4[[#This Row],[Type]]),Table4[[#This Row],[Type]])</f>
        <v/>
      </c>
      <c r="H239">
        <v>1</v>
      </c>
      <c r="I239">
        <v>27</v>
      </c>
      <c r="L239" t="s">
        <v>20</v>
      </c>
    </row>
    <row r="240" spans="1:12" x14ac:dyDescent="0.25">
      <c r="A240" t="s">
        <v>538</v>
      </c>
      <c r="B240" t="s">
        <v>20</v>
      </c>
      <c r="C240" t="str">
        <f>IF(ISBLANK(Table4[[#This Row],[Region]]),Table4[[#This Row],[Node Type]],Table4[[#This Row],[Region]])</f>
        <v/>
      </c>
      <c r="E240" t="str">
        <f>IF(ISERROR(SEARCH("Node",Table4[[#This Row],[Type]])),IF(ISERROR(SEARCH("Iliac",Table4[[#This Row],[Type]])),"",Table4[[#This Row],[Type]]),Table4[[#This Row],[Type]])</f>
        <v/>
      </c>
      <c r="H240">
        <v>2</v>
      </c>
      <c r="I240">
        <v>27</v>
      </c>
      <c r="L240" t="s">
        <v>20</v>
      </c>
    </row>
    <row r="241" spans="1:16" x14ac:dyDescent="0.25">
      <c r="A241" t="s">
        <v>539</v>
      </c>
      <c r="B241" t="s">
        <v>77</v>
      </c>
      <c r="C241" t="str">
        <f>IF(ISBLANK(Table4[[#This Row],[Region]]),Table4[[#This Row],[Node Type]],Table4[[#This Row],[Region]])</f>
        <v/>
      </c>
      <c r="E241" t="str">
        <f>IF(ISERROR(SEARCH("Node",Table4[[#This Row],[Type]])),IF(ISERROR(SEARCH("Iliac",Table4[[#This Row],[Type]])),"",Table4[[#This Row],[Type]]),Table4[[#This Row],[Type]])</f>
        <v/>
      </c>
      <c r="H241">
        <v>1</v>
      </c>
      <c r="I241">
        <v>27</v>
      </c>
      <c r="L241" t="s">
        <v>77</v>
      </c>
    </row>
    <row r="242" spans="1:16" x14ac:dyDescent="0.25">
      <c r="A242" t="s">
        <v>540</v>
      </c>
      <c r="B242" t="s">
        <v>77</v>
      </c>
      <c r="C242" t="str">
        <f>IF(ISBLANK(Table4[[#This Row],[Region]]),Table4[[#This Row],[Node Type]],Table4[[#This Row],[Region]])</f>
        <v/>
      </c>
      <c r="E242" t="str">
        <f>IF(ISERROR(SEARCH("Node",Table4[[#This Row],[Type]])),IF(ISERROR(SEARCH("Iliac",Table4[[#This Row],[Type]])),"",Table4[[#This Row],[Type]]),Table4[[#This Row],[Type]])</f>
        <v/>
      </c>
      <c r="H242">
        <v>2</v>
      </c>
      <c r="I242">
        <v>27</v>
      </c>
      <c r="L242" t="s">
        <v>77</v>
      </c>
    </row>
    <row r="243" spans="1:16" x14ac:dyDescent="0.25">
      <c r="A243" t="s">
        <v>545</v>
      </c>
      <c r="B243" t="s">
        <v>20</v>
      </c>
      <c r="C243" t="str">
        <f>IF(ISBLANK(Table4[[#This Row],[Region]]),Table4[[#This Row],[Node Type]],Table4[[#This Row],[Region]])</f>
        <v/>
      </c>
      <c r="E243" t="str">
        <f>IF(ISERROR(SEARCH("Node",Table4[[#This Row],[Type]])),IF(ISERROR(SEARCH("Iliac",Table4[[#This Row],[Type]])),"",Table4[[#This Row],[Type]]),Table4[[#This Row],[Type]])</f>
        <v/>
      </c>
      <c r="K243" t="s">
        <v>350</v>
      </c>
      <c r="L243" t="s">
        <v>20</v>
      </c>
    </row>
    <row r="244" spans="1:16" x14ac:dyDescent="0.25">
      <c r="A244" t="s">
        <v>551</v>
      </c>
      <c r="B244" t="s">
        <v>77</v>
      </c>
      <c r="C244" t="str">
        <f>IF(ISBLANK(Table4[[#This Row],[Region]]),Table4[[#This Row],[Node Type]],Table4[[#This Row],[Region]])</f>
        <v/>
      </c>
      <c r="E244" t="str">
        <f>IF(ISERROR(SEARCH("Node",Table4[[#This Row],[Type]])),IF(ISERROR(SEARCH("Iliac",Table4[[#This Row],[Type]])),"",Table4[[#This Row],[Type]]),Table4[[#This Row],[Type]])</f>
        <v/>
      </c>
      <c r="K244" t="s">
        <v>552</v>
      </c>
      <c r="L244" t="s">
        <v>77</v>
      </c>
      <c r="P244" t="s">
        <v>85</v>
      </c>
    </row>
    <row r="245" spans="1:16" x14ac:dyDescent="0.25">
      <c r="A245" t="s">
        <v>553</v>
      </c>
      <c r="B245" t="s">
        <v>77</v>
      </c>
      <c r="C245" t="str">
        <f>IF(ISBLANK(Table4[[#This Row],[Region]]),Table4[[#This Row],[Node Type]],Table4[[#This Row],[Region]])</f>
        <v/>
      </c>
      <c r="E245" t="str">
        <f>IF(ISERROR(SEARCH("Node",Table4[[#This Row],[Type]])),IF(ISERROR(SEARCH("Iliac",Table4[[#This Row],[Type]])),"",Table4[[#This Row],[Type]]),Table4[[#This Row],[Type]])</f>
        <v/>
      </c>
      <c r="H245">
        <v>2</v>
      </c>
      <c r="L245" t="s">
        <v>77</v>
      </c>
      <c r="P245" t="s">
        <v>85</v>
      </c>
    </row>
    <row r="246" spans="1:16" x14ac:dyDescent="0.25">
      <c r="A246" t="s">
        <v>554</v>
      </c>
      <c r="B246" t="s">
        <v>77</v>
      </c>
      <c r="C246" t="str">
        <f>IF(ISBLANK(Table4[[#This Row],[Region]]),Table4[[#This Row],[Node Type]],Table4[[#This Row],[Region]])</f>
        <v/>
      </c>
      <c r="E246" t="str">
        <f>IF(ISERROR(SEARCH("Node",Table4[[#This Row],[Type]])),IF(ISERROR(SEARCH("Iliac",Table4[[#This Row],[Type]])),"",Table4[[#This Row],[Type]]),Table4[[#This Row],[Type]])</f>
        <v/>
      </c>
      <c r="H246">
        <v>1</v>
      </c>
      <c r="L246" t="s">
        <v>77</v>
      </c>
      <c r="P246" t="s">
        <v>85</v>
      </c>
    </row>
    <row r="247" spans="1:16" x14ac:dyDescent="0.25">
      <c r="A247" t="s">
        <v>556</v>
      </c>
      <c r="B247" t="s">
        <v>20</v>
      </c>
      <c r="C247" t="str">
        <f>IF(ISBLANK(Table4[[#This Row],[Region]]),Table4[[#This Row],[Node Type]],Table4[[#This Row],[Region]])</f>
        <v/>
      </c>
      <c r="E247" t="str">
        <f>IF(ISERROR(SEARCH("Node",Table4[[#This Row],[Type]])),IF(ISERROR(SEARCH("Iliac",Table4[[#This Row],[Type]])),"",Table4[[#This Row],[Type]]),Table4[[#This Row],[Type]])</f>
        <v/>
      </c>
      <c r="H247">
        <v>8</v>
      </c>
      <c r="I247">
        <v>27</v>
      </c>
      <c r="L247" t="s">
        <v>20</v>
      </c>
    </row>
    <row r="248" spans="1:16" x14ac:dyDescent="0.25">
      <c r="A248" t="s">
        <v>557</v>
      </c>
      <c r="B248" t="s">
        <v>20</v>
      </c>
      <c r="C248" t="str">
        <f>IF(ISBLANK(Table4[[#This Row],[Region]]),Table4[[#This Row],[Node Type]],Table4[[#This Row],[Region]])</f>
        <v/>
      </c>
      <c r="E248" t="str">
        <f>IF(ISERROR(SEARCH("Node",Table4[[#This Row],[Type]])),IF(ISERROR(SEARCH("Iliac",Table4[[#This Row],[Type]])),"",Table4[[#This Row],[Type]]),Table4[[#This Row],[Type]])</f>
        <v/>
      </c>
      <c r="H248">
        <v>7</v>
      </c>
      <c r="I248">
        <v>27</v>
      </c>
      <c r="L248" t="s">
        <v>20</v>
      </c>
    </row>
    <row r="249" spans="1:16" x14ac:dyDescent="0.25">
      <c r="A249" t="s">
        <v>558</v>
      </c>
      <c r="B249" t="s">
        <v>77</v>
      </c>
      <c r="C249" t="str">
        <f>IF(ISBLANK(Table4[[#This Row],[Region]]),Table4[[#This Row],[Node Type]],Table4[[#This Row],[Region]])</f>
        <v/>
      </c>
      <c r="E249" t="str">
        <f>IF(ISERROR(SEARCH("Node",Table4[[#This Row],[Type]])),IF(ISERROR(SEARCH("Iliac",Table4[[#This Row],[Type]])),"",Table4[[#This Row],[Type]]),Table4[[#This Row],[Type]])</f>
        <v/>
      </c>
      <c r="H249">
        <v>5</v>
      </c>
      <c r="I249">
        <v>27</v>
      </c>
      <c r="L249" t="s">
        <v>77</v>
      </c>
    </row>
    <row r="250" spans="1:16" x14ac:dyDescent="0.25">
      <c r="A250" t="s">
        <v>559</v>
      </c>
      <c r="B250" t="s">
        <v>77</v>
      </c>
      <c r="C250" t="str">
        <f>IF(ISBLANK(Table4[[#This Row],[Region]]),Table4[[#This Row],[Node Type]],Table4[[#This Row],[Region]])</f>
        <v/>
      </c>
      <c r="E250" t="str">
        <f>IF(ISERROR(SEARCH("Node",Table4[[#This Row],[Type]])),IF(ISERROR(SEARCH("Iliac",Table4[[#This Row],[Type]])),"",Table4[[#This Row],[Type]]),Table4[[#This Row],[Type]])</f>
        <v/>
      </c>
      <c r="H250">
        <v>3</v>
      </c>
      <c r="I250">
        <v>18</v>
      </c>
      <c r="L250" t="s">
        <v>77</v>
      </c>
    </row>
    <row r="251" spans="1:16" x14ac:dyDescent="0.25">
      <c r="A251" t="s">
        <v>561</v>
      </c>
      <c r="B251" t="s">
        <v>20</v>
      </c>
      <c r="C251" t="str">
        <f>IF(ISBLANK(Table4[[#This Row],[Region]]),Table4[[#This Row],[Node Type]],Table4[[#This Row],[Region]])</f>
        <v/>
      </c>
      <c r="E251" t="str">
        <f>IF(ISERROR(SEARCH("Node",Table4[[#This Row],[Type]])),IF(ISERROR(SEARCH("Iliac",Table4[[#This Row],[Type]])),"",Table4[[#This Row],[Type]]),Table4[[#This Row],[Type]])</f>
        <v/>
      </c>
      <c r="H251">
        <v>5</v>
      </c>
      <c r="I251">
        <v>27</v>
      </c>
      <c r="L251" t="s">
        <v>20</v>
      </c>
    </row>
    <row r="252" spans="1:16" x14ac:dyDescent="0.25">
      <c r="A252" t="s">
        <v>562</v>
      </c>
      <c r="B252" t="s">
        <v>20</v>
      </c>
      <c r="C252" t="str">
        <f>IF(ISBLANK(Table4[[#This Row],[Region]]),Table4[[#This Row],[Node Type]],Table4[[#This Row],[Region]])</f>
        <v/>
      </c>
      <c r="E252" t="str">
        <f>IF(ISERROR(SEARCH("Node",Table4[[#This Row],[Type]])),IF(ISERROR(SEARCH("Iliac",Table4[[#This Row],[Type]])),"",Table4[[#This Row],[Type]]),Table4[[#This Row],[Type]])</f>
        <v/>
      </c>
      <c r="H252">
        <v>3</v>
      </c>
      <c r="I252">
        <v>18</v>
      </c>
      <c r="L252" t="s">
        <v>20</v>
      </c>
    </row>
    <row r="253" spans="1:16" x14ac:dyDescent="0.25">
      <c r="A253" t="s">
        <v>563</v>
      </c>
      <c r="B253" t="s">
        <v>77</v>
      </c>
      <c r="C253" t="str">
        <f>IF(ISBLANK(Table4[[#This Row],[Region]]),Table4[[#This Row],[Node Type]],Table4[[#This Row],[Region]])</f>
        <v/>
      </c>
      <c r="E253" t="str">
        <f>IF(ISERROR(SEARCH("Node",Table4[[#This Row],[Type]])),IF(ISERROR(SEARCH("Iliac",Table4[[#This Row],[Type]])),"",Table4[[#This Row],[Type]]),Table4[[#This Row],[Type]])</f>
        <v/>
      </c>
      <c r="H253">
        <v>7</v>
      </c>
      <c r="I253">
        <v>27</v>
      </c>
      <c r="L253" t="s">
        <v>77</v>
      </c>
    </row>
    <row r="254" spans="1:16" x14ac:dyDescent="0.25">
      <c r="A254" t="s">
        <v>564</v>
      </c>
      <c r="B254" t="s">
        <v>77</v>
      </c>
      <c r="C254" t="str">
        <f>IF(ISBLANK(Table4[[#This Row],[Region]]),Table4[[#This Row],[Node Type]],Table4[[#This Row],[Region]])</f>
        <v/>
      </c>
      <c r="E254" t="str">
        <f>IF(ISERROR(SEARCH("Node",Table4[[#This Row],[Type]])),IF(ISERROR(SEARCH("Iliac",Table4[[#This Row],[Type]])),"",Table4[[#This Row],[Type]]),Table4[[#This Row],[Type]])</f>
        <v/>
      </c>
      <c r="H254">
        <v>8</v>
      </c>
      <c r="I254">
        <v>27</v>
      </c>
      <c r="L254" t="s">
        <v>77</v>
      </c>
    </row>
    <row r="255" spans="1:16" x14ac:dyDescent="0.25">
      <c r="A255" t="s">
        <v>565</v>
      </c>
      <c r="B255" t="s">
        <v>20</v>
      </c>
      <c r="C255" t="str">
        <f>IF(ISBLANK(Table4[[#This Row],[Region]]),Table4[[#This Row],[Node Type]],Table4[[#This Row],[Region]])</f>
        <v/>
      </c>
      <c r="E255" t="str">
        <f>IF(ISERROR(SEARCH("Node",Table4[[#This Row],[Type]])),IF(ISERROR(SEARCH("Iliac",Table4[[#This Row],[Type]])),"",Table4[[#This Row],[Type]]),Table4[[#This Row],[Type]])</f>
        <v/>
      </c>
      <c r="H255">
        <v>9</v>
      </c>
      <c r="I255">
        <v>27</v>
      </c>
      <c r="L255" t="s">
        <v>20</v>
      </c>
    </row>
    <row r="256" spans="1:16" x14ac:dyDescent="0.25">
      <c r="A256" t="s">
        <v>566</v>
      </c>
      <c r="B256" t="s">
        <v>77</v>
      </c>
      <c r="C256" t="str">
        <f>IF(ISBLANK(Table4[[#This Row],[Region]]),Table4[[#This Row],[Node Type]],Table4[[#This Row],[Region]])</f>
        <v/>
      </c>
      <c r="E256" t="str">
        <f>IF(ISERROR(SEARCH("Node",Table4[[#This Row],[Type]])),IF(ISERROR(SEARCH("Iliac",Table4[[#This Row],[Type]])),"",Table4[[#This Row],[Type]]),Table4[[#This Row],[Type]])</f>
        <v/>
      </c>
      <c r="H256">
        <v>9</v>
      </c>
      <c r="I256">
        <v>27</v>
      </c>
      <c r="L256" t="s">
        <v>77</v>
      </c>
    </row>
    <row r="257" spans="1:16" x14ac:dyDescent="0.25">
      <c r="A257" t="s">
        <v>570</v>
      </c>
      <c r="B257" t="s">
        <v>77</v>
      </c>
      <c r="C257" t="str">
        <f>IF(ISBLANK(Table4[[#This Row],[Region]]),Table4[[#This Row],[Node Type]],Table4[[#This Row],[Region]])</f>
        <v/>
      </c>
      <c r="E257" t="str">
        <f>IF(ISERROR(SEARCH("Node",Table4[[#This Row],[Type]])),IF(ISERROR(SEARCH("Iliac",Table4[[#This Row],[Type]])),"",Table4[[#This Row],[Type]]),Table4[[#This Row],[Type]])</f>
        <v/>
      </c>
      <c r="I257">
        <v>20</v>
      </c>
      <c r="L257" t="s">
        <v>77</v>
      </c>
      <c r="P257" t="s">
        <v>85</v>
      </c>
    </row>
    <row r="258" spans="1:16" x14ac:dyDescent="0.25">
      <c r="A258" t="s">
        <v>574</v>
      </c>
      <c r="B258" t="s">
        <v>77</v>
      </c>
      <c r="C258" t="str">
        <f>IF(ISBLANK(Table4[[#This Row],[Region]]),Table4[[#This Row],[Node Type]],Table4[[#This Row],[Region]])</f>
        <v/>
      </c>
      <c r="E258" t="str">
        <f>IF(ISERROR(SEARCH("Node",Table4[[#This Row],[Type]])),IF(ISERROR(SEARCH("Iliac",Table4[[#This Row],[Type]])),"",Table4[[#This Row],[Type]]),Table4[[#This Row],[Type]])</f>
        <v/>
      </c>
      <c r="H258">
        <v>3</v>
      </c>
      <c r="I258">
        <v>30</v>
      </c>
      <c r="L258" t="s">
        <v>77</v>
      </c>
    </row>
    <row r="259" spans="1:16" x14ac:dyDescent="0.25">
      <c r="A259" t="s">
        <v>575</v>
      </c>
      <c r="B259" t="s">
        <v>77</v>
      </c>
      <c r="C259" t="str">
        <f>IF(ISBLANK(Table4[[#This Row],[Region]]),Table4[[#This Row],[Node Type]],Table4[[#This Row],[Region]])</f>
        <v/>
      </c>
      <c r="E259" t="str">
        <f>IF(ISERROR(SEARCH("Node",Table4[[#This Row],[Type]])),IF(ISERROR(SEARCH("Iliac",Table4[[#This Row],[Type]])),"",Table4[[#This Row],[Type]]),Table4[[#This Row],[Type]])</f>
        <v/>
      </c>
      <c r="H259">
        <v>2</v>
      </c>
      <c r="I259">
        <v>30</v>
      </c>
      <c r="L259" t="s">
        <v>77</v>
      </c>
    </row>
    <row r="260" spans="1:16" x14ac:dyDescent="0.25">
      <c r="A260" t="s">
        <v>576</v>
      </c>
      <c r="B260" t="s">
        <v>20</v>
      </c>
      <c r="C260" t="str">
        <f>IF(ISBLANK(Table4[[#This Row],[Region]]),Table4[[#This Row],[Node Type]],Table4[[#This Row],[Region]])</f>
        <v/>
      </c>
      <c r="E260" t="str">
        <f>IF(ISERROR(SEARCH("Node",Table4[[#This Row],[Type]])),IF(ISERROR(SEARCH("Iliac",Table4[[#This Row],[Type]])),"",Table4[[#This Row],[Type]]),Table4[[#This Row],[Type]])</f>
        <v/>
      </c>
      <c r="H260">
        <v>3</v>
      </c>
      <c r="J260" t="s">
        <v>577</v>
      </c>
      <c r="L260" t="s">
        <v>20</v>
      </c>
    </row>
    <row r="261" spans="1:16" x14ac:dyDescent="0.25">
      <c r="A261" t="s">
        <v>578</v>
      </c>
      <c r="B261" t="s">
        <v>46</v>
      </c>
      <c r="C261" t="str">
        <f>IF(ISBLANK(Table4[[#This Row],[Region]]),Table4[[#This Row],[Node Type]],Table4[[#This Row],[Region]])</f>
        <v/>
      </c>
      <c r="E261" t="str">
        <f>IF(ISERROR(SEARCH("Node",Table4[[#This Row],[Type]])),IF(ISERROR(SEARCH("Iliac",Table4[[#This Row],[Type]])),"",Table4[[#This Row],[Type]]),Table4[[#This Row],[Type]])</f>
        <v/>
      </c>
      <c r="H261">
        <v>2</v>
      </c>
      <c r="L261" t="s">
        <v>46</v>
      </c>
    </row>
    <row r="262" spans="1:16" x14ac:dyDescent="0.25">
      <c r="A262" t="s">
        <v>579</v>
      </c>
      <c r="B262" t="s">
        <v>46</v>
      </c>
      <c r="C262" t="str">
        <f>IF(ISBLANK(Table4[[#This Row],[Region]]),Table4[[#This Row],[Node Type]],Table4[[#This Row],[Region]])</f>
        <v/>
      </c>
      <c r="E262" t="str">
        <f>IF(ISERROR(SEARCH("Node",Table4[[#This Row],[Type]])),IF(ISERROR(SEARCH("Iliac",Table4[[#This Row],[Type]])),"",Table4[[#This Row],[Type]]),Table4[[#This Row],[Type]])</f>
        <v/>
      </c>
      <c r="H262">
        <v>3</v>
      </c>
      <c r="L262" t="s">
        <v>46</v>
      </c>
    </row>
    <row r="263" spans="1:16" x14ac:dyDescent="0.25">
      <c r="A263" t="s">
        <v>580</v>
      </c>
      <c r="B263" t="s">
        <v>77</v>
      </c>
      <c r="C263" t="str">
        <f>IF(ISBLANK(Table4[[#This Row],[Region]]),Table4[[#This Row],[Node Type]],Table4[[#This Row],[Region]])</f>
        <v/>
      </c>
      <c r="E263" t="str">
        <f>IF(ISERROR(SEARCH("Node",Table4[[#This Row],[Type]])),IF(ISERROR(SEARCH("Iliac",Table4[[#This Row],[Type]])),"",Table4[[#This Row],[Type]]),Table4[[#This Row],[Type]])</f>
        <v/>
      </c>
      <c r="K263" t="s">
        <v>582</v>
      </c>
      <c r="L263" t="s">
        <v>77</v>
      </c>
      <c r="P263" t="s">
        <v>581</v>
      </c>
    </row>
    <row r="264" spans="1:16" x14ac:dyDescent="0.25">
      <c r="A264" t="s">
        <v>583</v>
      </c>
      <c r="B264" t="s">
        <v>77</v>
      </c>
      <c r="C264" t="str">
        <f>IF(ISBLANK(Table4[[#This Row],[Region]]),Table4[[#This Row],[Node Type]],Table4[[#This Row],[Region]])</f>
        <v/>
      </c>
      <c r="E264" t="str">
        <f>IF(ISERROR(SEARCH("Node",Table4[[#This Row],[Type]])),IF(ISERROR(SEARCH("Iliac",Table4[[#This Row],[Type]])),"",Table4[[#This Row],[Type]]),Table4[[#This Row],[Type]])</f>
        <v/>
      </c>
      <c r="H264">
        <v>3</v>
      </c>
      <c r="L264" t="s">
        <v>77</v>
      </c>
      <c r="P264" t="s">
        <v>85</v>
      </c>
    </row>
    <row r="265" spans="1:16" x14ac:dyDescent="0.25">
      <c r="A265" t="s">
        <v>584</v>
      </c>
      <c r="B265" t="s">
        <v>77</v>
      </c>
      <c r="C265" t="str">
        <f>IF(ISBLANK(Table4[[#This Row],[Region]]),Table4[[#This Row],[Node Type]],Table4[[#This Row],[Region]])</f>
        <v/>
      </c>
      <c r="E265" t="str">
        <f>IF(ISERROR(SEARCH("Node",Table4[[#This Row],[Type]])),IF(ISERROR(SEARCH("Iliac",Table4[[#This Row],[Type]])),"",Table4[[#This Row],[Type]]),Table4[[#This Row],[Type]])</f>
        <v/>
      </c>
      <c r="H265">
        <v>1</v>
      </c>
      <c r="I265">
        <v>27</v>
      </c>
      <c r="L265" t="s">
        <v>77</v>
      </c>
    </row>
    <row r="266" spans="1:16" x14ac:dyDescent="0.25">
      <c r="A266" t="s">
        <v>585</v>
      </c>
      <c r="B266" t="s">
        <v>77</v>
      </c>
      <c r="C266" t="str">
        <f>IF(ISBLANK(Table4[[#This Row],[Region]]),Table4[[#This Row],[Node Type]],Table4[[#This Row],[Region]])</f>
        <v/>
      </c>
      <c r="E266" t="str">
        <f>IF(ISERROR(SEARCH("Node",Table4[[#This Row],[Type]])),IF(ISERROR(SEARCH("Iliac",Table4[[#This Row],[Type]])),"",Table4[[#This Row],[Type]]),Table4[[#This Row],[Type]])</f>
        <v/>
      </c>
      <c r="H266">
        <v>2</v>
      </c>
      <c r="I266">
        <v>27</v>
      </c>
      <c r="L266" t="s">
        <v>77</v>
      </c>
    </row>
    <row r="267" spans="1:16" x14ac:dyDescent="0.25">
      <c r="A267" t="s">
        <v>586</v>
      </c>
      <c r="B267" t="s">
        <v>46</v>
      </c>
      <c r="C267" t="str">
        <f>IF(ISBLANK(Table4[[#This Row],[Region]]),Table4[[#This Row],[Node Type]],Table4[[#This Row],[Region]])</f>
        <v/>
      </c>
      <c r="E267" t="str">
        <f>IF(ISERROR(SEARCH("Node",Table4[[#This Row],[Type]])),IF(ISERROR(SEARCH("Iliac",Table4[[#This Row],[Type]])),"",Table4[[#This Row],[Type]]),Table4[[#This Row],[Type]])</f>
        <v/>
      </c>
      <c r="J267" t="s">
        <v>587</v>
      </c>
      <c r="L267" t="s">
        <v>46</v>
      </c>
    </row>
    <row r="268" spans="1:16" x14ac:dyDescent="0.25">
      <c r="A268" t="s">
        <v>588</v>
      </c>
      <c r="B268" t="s">
        <v>77</v>
      </c>
      <c r="C268" t="str">
        <f>IF(ISBLANK(Table4[[#This Row],[Region]]),Table4[[#This Row],[Node Type]],Table4[[#This Row],[Region]])</f>
        <v/>
      </c>
      <c r="E268" t="str">
        <f>IF(ISERROR(SEARCH("Node",Table4[[#This Row],[Type]])),IF(ISERROR(SEARCH("Iliac",Table4[[#This Row],[Type]])),"",Table4[[#This Row],[Type]]),Table4[[#This Row],[Type]])</f>
        <v/>
      </c>
      <c r="J268" t="s">
        <v>587</v>
      </c>
      <c r="L268" t="s">
        <v>77</v>
      </c>
    </row>
    <row r="269" spans="1:16" x14ac:dyDescent="0.25">
      <c r="A269" t="s">
        <v>589</v>
      </c>
      <c r="B269" t="s">
        <v>20</v>
      </c>
      <c r="C269" t="str">
        <f>IF(ISBLANK(Table4[[#This Row],[Region]]),Table4[[#This Row],[Node Type]],Table4[[#This Row],[Region]])</f>
        <v/>
      </c>
      <c r="E269" t="str">
        <f>IF(ISERROR(SEARCH("Node",Table4[[#This Row],[Type]])),IF(ISERROR(SEARCH("Iliac",Table4[[#This Row],[Type]])),"",Table4[[#This Row],[Type]]),Table4[[#This Row],[Type]])</f>
        <v/>
      </c>
      <c r="J269" t="s">
        <v>587</v>
      </c>
      <c r="L269" t="s">
        <v>20</v>
      </c>
    </row>
    <row r="270" spans="1:16" x14ac:dyDescent="0.25">
      <c r="A270" t="s">
        <v>590</v>
      </c>
      <c r="B270" t="s">
        <v>46</v>
      </c>
      <c r="C270" t="str">
        <f>IF(ISBLANK(Table4[[#This Row],[Region]]),Table4[[#This Row],[Node Type]],Table4[[#This Row],[Region]])</f>
        <v/>
      </c>
      <c r="E270" t="str">
        <f>IF(ISERROR(SEARCH("Node",Table4[[#This Row],[Type]])),IF(ISERROR(SEARCH("Iliac",Table4[[#This Row],[Type]])),"",Table4[[#This Row],[Type]]),Table4[[#This Row],[Type]])</f>
        <v/>
      </c>
      <c r="J270" t="s">
        <v>591</v>
      </c>
      <c r="L270" t="s">
        <v>46</v>
      </c>
    </row>
    <row r="271" spans="1:16" x14ac:dyDescent="0.25">
      <c r="A271" t="s">
        <v>592</v>
      </c>
      <c r="B271" t="s">
        <v>20</v>
      </c>
      <c r="C271" t="str">
        <f>IF(ISBLANK(Table4[[#This Row],[Region]]),Table4[[#This Row],[Node Type]],Table4[[#This Row],[Region]])</f>
        <v/>
      </c>
      <c r="E271" t="str">
        <f>IF(ISERROR(SEARCH("Node",Table4[[#This Row],[Type]])),IF(ISERROR(SEARCH("Iliac",Table4[[#This Row],[Type]])),"",Table4[[#This Row],[Type]]),Table4[[#This Row],[Type]])</f>
        <v/>
      </c>
      <c r="J271" t="s">
        <v>591</v>
      </c>
      <c r="L271" t="s">
        <v>20</v>
      </c>
    </row>
    <row r="272" spans="1:16" x14ac:dyDescent="0.25">
      <c r="A272" t="s">
        <v>593</v>
      </c>
      <c r="B272" t="s">
        <v>77</v>
      </c>
      <c r="C272" t="str">
        <f>IF(ISBLANK(Table4[[#This Row],[Region]]),Table4[[#This Row],[Node Type]],Table4[[#This Row],[Region]])</f>
        <v/>
      </c>
      <c r="E272" t="str">
        <f>IF(ISERROR(SEARCH("Node",Table4[[#This Row],[Type]])),IF(ISERROR(SEARCH("Iliac",Table4[[#This Row],[Type]])),"",Table4[[#This Row],[Type]]),Table4[[#This Row],[Type]])</f>
        <v/>
      </c>
      <c r="J272" t="s">
        <v>591</v>
      </c>
      <c r="L272" t="s">
        <v>77</v>
      </c>
    </row>
    <row r="273" spans="1:16" x14ac:dyDescent="0.25">
      <c r="A273" t="s">
        <v>598</v>
      </c>
      <c r="B273" t="s">
        <v>20</v>
      </c>
      <c r="C273" t="str">
        <f>IF(ISBLANK(Table4[[#This Row],[Region]]),Table4[[#This Row],[Node Type]],Table4[[#This Row],[Region]])</f>
        <v/>
      </c>
      <c r="E273" t="str">
        <f>IF(ISERROR(SEARCH("Node",Table4[[#This Row],[Type]])),IF(ISERROR(SEARCH("Iliac",Table4[[#This Row],[Type]])),"",Table4[[#This Row],[Type]]),Table4[[#This Row],[Type]])</f>
        <v/>
      </c>
      <c r="H273">
        <v>2</v>
      </c>
      <c r="I273">
        <v>20</v>
      </c>
      <c r="L273" t="s">
        <v>20</v>
      </c>
    </row>
    <row r="274" spans="1:16" x14ac:dyDescent="0.25">
      <c r="A274" t="s">
        <v>600</v>
      </c>
      <c r="B274" t="s">
        <v>77</v>
      </c>
      <c r="C274" t="str">
        <f>IF(ISBLANK(Table4[[#This Row],[Region]]),Table4[[#This Row],[Node Type]],Table4[[#This Row],[Region]])</f>
        <v/>
      </c>
      <c r="E274" t="str">
        <f>IF(ISERROR(SEARCH("Node",Table4[[#This Row],[Type]])),IF(ISERROR(SEARCH("Iliac",Table4[[#This Row],[Type]])),"",Table4[[#This Row],[Type]]),Table4[[#This Row],[Type]])</f>
        <v/>
      </c>
      <c r="H274">
        <v>1</v>
      </c>
      <c r="I274">
        <v>20</v>
      </c>
      <c r="L274" t="s">
        <v>77</v>
      </c>
    </row>
    <row r="275" spans="1:16" x14ac:dyDescent="0.25">
      <c r="A275" t="s">
        <v>601</v>
      </c>
      <c r="B275" t="s">
        <v>77</v>
      </c>
      <c r="C275" t="str">
        <f>IF(ISBLANK(Table4[[#This Row],[Region]]),Table4[[#This Row],[Node Type]],Table4[[#This Row],[Region]])</f>
        <v/>
      </c>
      <c r="E275" t="str">
        <f>IF(ISERROR(SEARCH("Node",Table4[[#This Row],[Type]])),IF(ISERROR(SEARCH("Iliac",Table4[[#This Row],[Type]])),"",Table4[[#This Row],[Type]]),Table4[[#This Row],[Type]])</f>
        <v/>
      </c>
      <c r="H275">
        <v>2</v>
      </c>
      <c r="I275">
        <v>20</v>
      </c>
      <c r="L275" t="s">
        <v>77</v>
      </c>
    </row>
    <row r="276" spans="1:16" x14ac:dyDescent="0.25">
      <c r="A276" t="s">
        <v>224</v>
      </c>
      <c r="B276" t="s">
        <v>173</v>
      </c>
      <c r="C276" t="str">
        <f>IF(ISBLANK(Table4[[#This Row],[Region]]),Table4[[#This Row],[Node Type]],Table4[[#This Row],[Region]])</f>
        <v/>
      </c>
      <c r="E276" t="str">
        <f>IF(ISERROR(SEARCH("Node",Table4[[#This Row],[Type]])),IF(ISERROR(SEARCH("Iliac",Table4[[#This Row],[Type]])),"",Table4[[#This Row],[Type]]),Table4[[#This Row],[Type]])</f>
        <v/>
      </c>
      <c r="H276">
        <v>4</v>
      </c>
      <c r="L276" t="s">
        <v>20</v>
      </c>
    </row>
    <row r="277" spans="1:16" x14ac:dyDescent="0.25">
      <c r="A277" t="s">
        <v>604</v>
      </c>
      <c r="B277" t="s">
        <v>173</v>
      </c>
      <c r="C277" t="str">
        <f>IF(ISBLANK(Table4[[#This Row],[Region]]),Table4[[#This Row],[Node Type]],Table4[[#This Row],[Region]])</f>
        <v/>
      </c>
      <c r="E277" t="str">
        <f>IF(ISERROR(SEARCH("Node",Table4[[#This Row],[Type]])),IF(ISERROR(SEARCH("Iliac",Table4[[#This Row],[Type]])),"",Table4[[#This Row],[Type]]),Table4[[#This Row],[Type]])</f>
        <v/>
      </c>
      <c r="K277" t="s">
        <v>605</v>
      </c>
      <c r="L277" t="s">
        <v>20</v>
      </c>
    </row>
    <row r="278" spans="1:16" x14ac:dyDescent="0.25">
      <c r="A278" t="s">
        <v>611</v>
      </c>
      <c r="B278" t="s">
        <v>77</v>
      </c>
      <c r="C278" t="str">
        <f>IF(ISBLANK(Table4[[#This Row],[Region]]),Table4[[#This Row],[Node Type]],Table4[[#This Row],[Region]])</f>
        <v/>
      </c>
      <c r="E278" t="str">
        <f>IF(ISERROR(SEARCH("Node",Table4[[#This Row],[Type]])),IF(ISERROR(SEARCH("Iliac",Table4[[#This Row],[Type]])),"",Table4[[#This Row],[Type]]),Table4[[#This Row],[Type]])</f>
        <v/>
      </c>
      <c r="H278">
        <v>2</v>
      </c>
      <c r="I278">
        <v>21</v>
      </c>
      <c r="L278" t="s">
        <v>77</v>
      </c>
    </row>
    <row r="279" spans="1:16" x14ac:dyDescent="0.25">
      <c r="A279" t="s">
        <v>613</v>
      </c>
      <c r="B279" t="s">
        <v>77</v>
      </c>
      <c r="C279" t="str">
        <f>IF(ISBLANK(Table4[[#This Row],[Region]]),Table4[[#This Row],[Node Type]],Table4[[#This Row],[Region]])</f>
        <v/>
      </c>
      <c r="E279" t="str">
        <f>IF(ISERROR(SEARCH("Node",Table4[[#This Row],[Type]])),IF(ISERROR(SEARCH("Iliac",Table4[[#This Row],[Type]])),"",Table4[[#This Row],[Type]]),Table4[[#This Row],[Type]])</f>
        <v/>
      </c>
      <c r="H279">
        <v>3</v>
      </c>
      <c r="I279">
        <v>21</v>
      </c>
      <c r="L279" t="s">
        <v>77</v>
      </c>
    </row>
    <row r="280" spans="1:16" x14ac:dyDescent="0.25">
      <c r="A280" t="s">
        <v>614</v>
      </c>
      <c r="B280" t="s">
        <v>77</v>
      </c>
      <c r="C280" t="str">
        <f>IF(ISBLANK(Table4[[#This Row],[Region]]),Table4[[#This Row],[Node Type]],Table4[[#This Row],[Region]])</f>
        <v/>
      </c>
      <c r="E280" t="str">
        <f>IF(ISERROR(SEARCH("Node",Table4[[#This Row],[Type]])),IF(ISERROR(SEARCH("Iliac",Table4[[#This Row],[Type]])),"",Table4[[#This Row],[Type]]),Table4[[#This Row],[Type]])</f>
        <v/>
      </c>
      <c r="H280">
        <v>4</v>
      </c>
      <c r="I280">
        <v>21</v>
      </c>
      <c r="L280" t="s">
        <v>77</v>
      </c>
    </row>
    <row r="281" spans="1:16" x14ac:dyDescent="0.25">
      <c r="A281" t="s">
        <v>618</v>
      </c>
      <c r="B281" t="s">
        <v>46</v>
      </c>
      <c r="C281" t="str">
        <f>IF(ISBLANK(Table4[[#This Row],[Region]]),Table4[[#This Row],[Node Type]],Table4[[#This Row],[Region]])</f>
        <v/>
      </c>
      <c r="E281" t="str">
        <f>IF(ISERROR(SEARCH("Node",Table4[[#This Row],[Type]])),IF(ISERROR(SEARCH("Iliac",Table4[[#This Row],[Type]])),"",Table4[[#This Row],[Type]]),Table4[[#This Row],[Type]])</f>
        <v/>
      </c>
      <c r="L281" t="s">
        <v>46</v>
      </c>
      <c r="P281" t="s">
        <v>85</v>
      </c>
    </row>
    <row r="282" spans="1:16" x14ac:dyDescent="0.25">
      <c r="A282" t="s">
        <v>622</v>
      </c>
      <c r="B282" t="s">
        <v>173</v>
      </c>
      <c r="C282" t="str">
        <f>IF(ISBLANK(Table4[[#This Row],[Region]]),Table4[[#This Row],[Node Type]],Table4[[#This Row],[Region]])</f>
        <v/>
      </c>
      <c r="E282" t="str">
        <f>IF(ISERROR(SEARCH("Node",Table4[[#This Row],[Type]])),IF(ISERROR(SEARCH("Iliac",Table4[[#This Row],[Type]])),"",Table4[[#This Row],[Type]]),Table4[[#This Row],[Type]])</f>
        <v/>
      </c>
      <c r="I282">
        <v>40</v>
      </c>
      <c r="L282" t="s">
        <v>77</v>
      </c>
    </row>
    <row r="283" spans="1:16" x14ac:dyDescent="0.25">
      <c r="A283" t="s">
        <v>624</v>
      </c>
      <c r="B283" t="s">
        <v>20</v>
      </c>
      <c r="C283" t="str">
        <f>IF(ISBLANK(Table4[[#This Row],[Region]]),Table4[[#This Row],[Node Type]],Table4[[#This Row],[Region]])</f>
        <v/>
      </c>
      <c r="E283" t="str">
        <f>IF(ISERROR(SEARCH("Node",Table4[[#This Row],[Type]])),IF(ISERROR(SEARCH("Iliac",Table4[[#This Row],[Type]])),"",Table4[[#This Row],[Type]]),Table4[[#This Row],[Type]])</f>
        <v/>
      </c>
      <c r="L283" t="s">
        <v>20</v>
      </c>
      <c r="M283" t="s">
        <v>625</v>
      </c>
    </row>
    <row r="284" spans="1:16" x14ac:dyDescent="0.25">
      <c r="A284" t="s">
        <v>634</v>
      </c>
      <c r="B284" t="s">
        <v>173</v>
      </c>
      <c r="C284" t="str">
        <f>IF(ISBLANK(Table4[[#This Row],[Region]]),Table4[[#This Row],[Node Type]],Table4[[#This Row],[Region]])</f>
        <v/>
      </c>
      <c r="E284" t="str">
        <f>IF(ISERROR(SEARCH("Node",Table4[[#This Row],[Type]])),IF(ISERROR(SEARCH("Iliac",Table4[[#This Row],[Type]])),"",Table4[[#This Row],[Type]]),Table4[[#This Row],[Type]])</f>
        <v/>
      </c>
      <c r="I284">
        <v>40</v>
      </c>
      <c r="L284" t="s">
        <v>46</v>
      </c>
    </row>
    <row r="285" spans="1:16" x14ac:dyDescent="0.25">
      <c r="A285" t="s">
        <v>635</v>
      </c>
      <c r="B285" t="s">
        <v>173</v>
      </c>
      <c r="C285" t="str">
        <f>IF(ISBLANK(Table4[[#This Row],[Region]]),Table4[[#This Row],[Node Type]],Table4[[#This Row],[Region]])</f>
        <v/>
      </c>
      <c r="E285" t="str">
        <f>IF(ISERROR(SEARCH("Node",Table4[[#This Row],[Type]])),IF(ISERROR(SEARCH("Iliac",Table4[[#This Row],[Type]])),"",Table4[[#This Row],[Type]]),Table4[[#This Row],[Type]])</f>
        <v/>
      </c>
      <c r="I285">
        <v>60</v>
      </c>
      <c r="L285" t="s">
        <v>46</v>
      </c>
    </row>
    <row r="286" spans="1:16" x14ac:dyDescent="0.25">
      <c r="A286" t="s">
        <v>637</v>
      </c>
      <c r="B286" t="s">
        <v>173</v>
      </c>
      <c r="C286" t="str">
        <f>IF(ISBLANK(Table4[[#This Row],[Region]]),Table4[[#This Row],[Node Type]],Table4[[#This Row],[Region]])</f>
        <v/>
      </c>
      <c r="E286" t="str">
        <f>IF(ISERROR(SEARCH("Node",Table4[[#This Row],[Type]])),IF(ISERROR(SEARCH("Iliac",Table4[[#This Row],[Type]])),"",Table4[[#This Row],[Type]]),Table4[[#This Row],[Type]])</f>
        <v/>
      </c>
      <c r="I286">
        <v>60</v>
      </c>
      <c r="L286" t="s">
        <v>77</v>
      </c>
    </row>
    <row r="287" spans="1:16" x14ac:dyDescent="0.25">
      <c r="A287" t="s">
        <v>638</v>
      </c>
      <c r="B287" t="s">
        <v>173</v>
      </c>
      <c r="C287" t="str">
        <f>IF(ISBLANK(Table4[[#This Row],[Region]]),Table4[[#This Row],[Node Type]],Table4[[#This Row],[Region]])</f>
        <v/>
      </c>
      <c r="E287" t="str">
        <f>IF(ISERROR(SEARCH("Node",Table4[[#This Row],[Type]])),IF(ISERROR(SEARCH("Iliac",Table4[[#This Row],[Type]])),"",Table4[[#This Row],[Type]]),Table4[[#This Row],[Type]])</f>
        <v/>
      </c>
      <c r="I287">
        <v>54</v>
      </c>
      <c r="L287" t="s">
        <v>46</v>
      </c>
    </row>
    <row r="288" spans="1:16" x14ac:dyDescent="0.25">
      <c r="A288" t="s">
        <v>640</v>
      </c>
      <c r="B288" t="s">
        <v>173</v>
      </c>
      <c r="C288" t="str">
        <f>IF(ISBLANK(Table4[[#This Row],[Region]]),Table4[[#This Row],[Node Type]],Table4[[#This Row],[Region]])</f>
        <v/>
      </c>
      <c r="E288" t="str">
        <f>IF(ISERROR(SEARCH("Node",Table4[[#This Row],[Type]])),IF(ISERROR(SEARCH("Iliac",Table4[[#This Row],[Type]])),"",Table4[[#This Row],[Type]]),Table4[[#This Row],[Type]])</f>
        <v/>
      </c>
      <c r="I288">
        <v>54</v>
      </c>
      <c r="L288" t="s">
        <v>77</v>
      </c>
    </row>
    <row r="289" spans="1:19" x14ac:dyDescent="0.25">
      <c r="A289" t="s">
        <v>645</v>
      </c>
      <c r="B289" t="s">
        <v>46</v>
      </c>
      <c r="C289" t="str">
        <f>IF(ISBLANK(Table4[[#This Row],[Region]]),Table4[[#This Row],[Node Type]],Table4[[#This Row],[Region]])</f>
        <v/>
      </c>
      <c r="E289" t="str">
        <f>IF(ISERROR(SEARCH("Node",Table4[[#This Row],[Type]])),IF(ISERROR(SEARCH("Iliac",Table4[[#This Row],[Type]])),"",Table4[[#This Row],[Type]]),Table4[[#This Row],[Type]])</f>
        <v/>
      </c>
      <c r="I289">
        <v>64</v>
      </c>
      <c r="L289" t="s">
        <v>46</v>
      </c>
      <c r="N289" t="s">
        <v>108</v>
      </c>
    </row>
    <row r="290" spans="1:19" x14ac:dyDescent="0.25">
      <c r="A290" t="s">
        <v>648</v>
      </c>
      <c r="B290" t="s">
        <v>173</v>
      </c>
      <c r="C290" t="str">
        <f>IF(ISBLANK(Table4[[#This Row],[Region]]),Table4[[#This Row],[Node Type]],Table4[[#This Row],[Region]])</f>
        <v/>
      </c>
      <c r="E290" t="str">
        <f>IF(ISERROR(SEARCH("Node",Table4[[#This Row],[Type]])),IF(ISERROR(SEARCH("Iliac",Table4[[#This Row],[Type]])),"",Table4[[#This Row],[Type]]),Table4[[#This Row],[Type]])</f>
        <v/>
      </c>
      <c r="L290" t="s">
        <v>20</v>
      </c>
      <c r="O290" t="s">
        <v>294</v>
      </c>
      <c r="R290" t="s">
        <v>215</v>
      </c>
      <c r="S290">
        <v>1</v>
      </c>
    </row>
    <row r="291" spans="1:19" x14ac:dyDescent="0.25">
      <c r="A291" t="s">
        <v>649</v>
      </c>
      <c r="B291" t="s">
        <v>77</v>
      </c>
      <c r="C291" t="str">
        <f>IF(ISBLANK(Table4[[#This Row],[Region]]),Table4[[#This Row],[Node Type]],Table4[[#This Row],[Region]])</f>
        <v/>
      </c>
      <c r="E291" t="str">
        <f>IF(ISERROR(SEARCH("Node",Table4[[#This Row],[Type]])),IF(ISERROR(SEARCH("Iliac",Table4[[#This Row],[Type]])),"",Table4[[#This Row],[Type]]),Table4[[#This Row],[Type]])</f>
        <v/>
      </c>
      <c r="I291">
        <v>48</v>
      </c>
      <c r="L291" t="s">
        <v>77</v>
      </c>
      <c r="N291" t="s">
        <v>108</v>
      </c>
    </row>
    <row r="292" spans="1:19" x14ac:dyDescent="0.25">
      <c r="A292" t="s">
        <v>650</v>
      </c>
      <c r="B292" t="s">
        <v>77</v>
      </c>
      <c r="C292" t="str">
        <f>IF(ISBLANK(Table4[[#This Row],[Region]]),Table4[[#This Row],[Node Type]],Table4[[#This Row],[Region]])</f>
        <v/>
      </c>
      <c r="E292" t="str">
        <f>IF(ISERROR(SEARCH("Node",Table4[[#This Row],[Type]])),IF(ISERROR(SEARCH("Iliac",Table4[[#This Row],[Type]])),"",Table4[[#This Row],[Type]]),Table4[[#This Row],[Type]])</f>
        <v/>
      </c>
      <c r="I292">
        <v>64</v>
      </c>
      <c r="L292" t="s">
        <v>77</v>
      </c>
      <c r="N292" t="s">
        <v>108</v>
      </c>
    </row>
    <row r="293" spans="1:19" x14ac:dyDescent="0.25">
      <c r="A293" t="s">
        <v>651</v>
      </c>
      <c r="B293" t="s">
        <v>46</v>
      </c>
      <c r="C293" t="str">
        <f>IF(ISBLANK(Table4[[#This Row],[Region]]),Table4[[#This Row],[Node Type]],Table4[[#This Row],[Region]])</f>
        <v/>
      </c>
      <c r="E293" t="str">
        <f>IF(ISERROR(SEARCH("Node",Table4[[#This Row],[Type]])),IF(ISERROR(SEARCH("Iliac",Table4[[#This Row],[Type]])),"",Table4[[#This Row],[Type]]),Table4[[#This Row],[Type]])</f>
        <v/>
      </c>
      <c r="I293">
        <v>48</v>
      </c>
      <c r="L293" t="s">
        <v>46</v>
      </c>
      <c r="N293" t="s">
        <v>108</v>
      </c>
    </row>
    <row r="294" spans="1:19" x14ac:dyDescent="0.25">
      <c r="A294" t="s">
        <v>653</v>
      </c>
      <c r="B294" t="s">
        <v>77</v>
      </c>
      <c r="C294" t="str">
        <f>IF(ISBLANK(Table4[[#This Row],[Region]]),Table4[[#This Row],[Node Type]],Table4[[#This Row],[Region]])</f>
        <v/>
      </c>
      <c r="E294" t="str">
        <f>IF(ISERROR(SEARCH("Node",Table4[[#This Row],[Type]])),IF(ISERROR(SEARCH("Iliac",Table4[[#This Row],[Type]])),"",Table4[[#This Row],[Type]]),Table4[[#This Row],[Type]])</f>
        <v/>
      </c>
      <c r="I294">
        <v>64</v>
      </c>
      <c r="L294" t="s">
        <v>77</v>
      </c>
      <c r="N294" t="s">
        <v>108</v>
      </c>
      <c r="P294" t="s">
        <v>85</v>
      </c>
    </row>
    <row r="295" spans="1:19" x14ac:dyDescent="0.25">
      <c r="A295" t="s">
        <v>654</v>
      </c>
      <c r="B295" t="s">
        <v>77</v>
      </c>
      <c r="C295" t="str">
        <f>IF(ISBLANK(Table4[[#This Row],[Region]]),Table4[[#This Row],[Node Type]],Table4[[#This Row],[Region]])</f>
        <v/>
      </c>
      <c r="E295" t="str">
        <f>IF(ISERROR(SEARCH("Node",Table4[[#This Row],[Type]])),IF(ISERROR(SEARCH("Iliac",Table4[[#This Row],[Type]])),"",Table4[[#This Row],[Type]]),Table4[[#This Row],[Type]])</f>
        <v/>
      </c>
      <c r="I295">
        <v>48</v>
      </c>
      <c r="L295" t="s">
        <v>77</v>
      </c>
      <c r="N295" t="s">
        <v>108</v>
      </c>
      <c r="O295" t="s">
        <v>292</v>
      </c>
      <c r="P295" t="s">
        <v>85</v>
      </c>
    </row>
    <row r="296" spans="1:19" x14ac:dyDescent="0.25">
      <c r="A296" t="s">
        <v>655</v>
      </c>
      <c r="B296" t="s">
        <v>77</v>
      </c>
      <c r="C296" t="str">
        <f>IF(ISBLANK(Table4[[#This Row],[Region]]),Table4[[#This Row],[Node Type]],Table4[[#This Row],[Region]])</f>
        <v/>
      </c>
      <c r="E296" t="str">
        <f>IF(ISERROR(SEARCH("Node",Table4[[#This Row],[Type]])),IF(ISERROR(SEARCH("Iliac",Table4[[#This Row],[Type]])),"",Table4[[#This Row],[Type]]),Table4[[#This Row],[Type]])</f>
        <v/>
      </c>
      <c r="I296">
        <v>48</v>
      </c>
      <c r="L296" t="s">
        <v>77</v>
      </c>
      <c r="N296" t="s">
        <v>108</v>
      </c>
      <c r="O296" t="s">
        <v>290</v>
      </c>
      <c r="P296" t="s">
        <v>85</v>
      </c>
    </row>
    <row r="297" spans="1:19" x14ac:dyDescent="0.25">
      <c r="A297" t="s">
        <v>662</v>
      </c>
      <c r="B297" t="s">
        <v>77</v>
      </c>
      <c r="C297" t="str">
        <f>IF(ISBLANK(Table4[[#This Row],[Region]]),Table4[[#This Row],[Node Type]],Table4[[#This Row],[Region]])</f>
        <v/>
      </c>
      <c r="E297" t="str">
        <f>IF(ISERROR(SEARCH("Node",Table4[[#This Row],[Type]])),IF(ISERROR(SEARCH("Iliac",Table4[[#This Row],[Type]])),"",Table4[[#This Row],[Type]]),Table4[[#This Row],[Type]])</f>
        <v/>
      </c>
      <c r="I297">
        <v>30.8</v>
      </c>
      <c r="L297" t="s">
        <v>77</v>
      </c>
    </row>
    <row r="298" spans="1:19" x14ac:dyDescent="0.25">
      <c r="A298" t="s">
        <v>672</v>
      </c>
      <c r="B298" t="s">
        <v>77</v>
      </c>
      <c r="C298" t="str">
        <f>IF(ISBLANK(Table4[[#This Row],[Region]]),Table4[[#This Row],[Node Type]],Table4[[#This Row],[Region]])</f>
        <v/>
      </c>
      <c r="E298" t="str">
        <f>IF(ISERROR(SEARCH("Node",Table4[[#This Row],[Type]])),IF(ISERROR(SEARCH("Iliac",Table4[[#This Row],[Type]])),"",Table4[[#This Row],[Type]]),Table4[[#This Row],[Type]])</f>
        <v/>
      </c>
      <c r="L298" t="s">
        <v>77</v>
      </c>
      <c r="O298" t="s">
        <v>292</v>
      </c>
      <c r="P298" t="s">
        <v>85</v>
      </c>
    </row>
    <row r="299" spans="1:19" x14ac:dyDescent="0.25">
      <c r="A299" t="s">
        <v>673</v>
      </c>
      <c r="B299" t="s">
        <v>77</v>
      </c>
      <c r="C299" t="str">
        <f>IF(ISBLANK(Table4[[#This Row],[Region]]),Table4[[#This Row],[Node Type]],Table4[[#This Row],[Region]])</f>
        <v/>
      </c>
      <c r="E299" t="str">
        <f>IF(ISERROR(SEARCH("Node",Table4[[#This Row],[Type]])),IF(ISERROR(SEARCH("Iliac",Table4[[#This Row],[Type]])),"",Table4[[#This Row],[Type]]),Table4[[#This Row],[Type]])</f>
        <v/>
      </c>
      <c r="L299" t="s">
        <v>77</v>
      </c>
      <c r="O299" t="s">
        <v>290</v>
      </c>
      <c r="P299" t="s">
        <v>85</v>
      </c>
    </row>
    <row r="300" spans="1:19" x14ac:dyDescent="0.25">
      <c r="A300" t="s">
        <v>675</v>
      </c>
      <c r="B300" t="s">
        <v>77</v>
      </c>
      <c r="C300" t="str">
        <f>IF(ISBLANK(Table4[[#This Row],[Region]]),Table4[[#This Row],[Node Type]],Table4[[#This Row],[Region]])</f>
        <v/>
      </c>
      <c r="E300" t="str">
        <f>IF(ISERROR(SEARCH("Node",Table4[[#This Row],[Type]])),IF(ISERROR(SEARCH("Iliac",Table4[[#This Row],[Type]])),"",Table4[[#This Row],[Type]]),Table4[[#This Row],[Type]])</f>
        <v/>
      </c>
      <c r="L300" t="s">
        <v>77</v>
      </c>
      <c r="O300" t="s">
        <v>294</v>
      </c>
      <c r="P300" t="s">
        <v>85</v>
      </c>
    </row>
    <row r="301" spans="1:19" x14ac:dyDescent="0.25">
      <c r="A301" t="s">
        <v>677</v>
      </c>
      <c r="B301" t="s">
        <v>77</v>
      </c>
      <c r="C301" t="str">
        <f>IF(ISBLANK(Table4[[#This Row],[Region]]),Table4[[#This Row],[Node Type]],Table4[[#This Row],[Region]])</f>
        <v/>
      </c>
      <c r="E301" t="str">
        <f>IF(ISERROR(SEARCH("Node",Table4[[#This Row],[Type]])),IF(ISERROR(SEARCH("Iliac",Table4[[#This Row],[Type]])),"",Table4[[#This Row],[Type]]),Table4[[#This Row],[Type]])</f>
        <v/>
      </c>
      <c r="L301" t="s">
        <v>77</v>
      </c>
      <c r="O301" t="s">
        <v>290</v>
      </c>
      <c r="P301" t="s">
        <v>85</v>
      </c>
    </row>
    <row r="302" spans="1:19" x14ac:dyDescent="0.25">
      <c r="A302" t="s">
        <v>678</v>
      </c>
      <c r="B302" t="s">
        <v>77</v>
      </c>
      <c r="C302" t="str">
        <f>IF(ISBLANK(Table4[[#This Row],[Region]]),Table4[[#This Row],[Node Type]],Table4[[#This Row],[Region]])</f>
        <v/>
      </c>
      <c r="E302" t="str">
        <f>IF(ISERROR(SEARCH("Node",Table4[[#This Row],[Type]])),IF(ISERROR(SEARCH("Iliac",Table4[[#This Row],[Type]])),"",Table4[[#This Row],[Type]]),Table4[[#This Row],[Type]])</f>
        <v/>
      </c>
      <c r="L302" t="s">
        <v>77</v>
      </c>
      <c r="O302" t="s">
        <v>292</v>
      </c>
      <c r="P302" t="s">
        <v>85</v>
      </c>
    </row>
    <row r="303" spans="1:19" x14ac:dyDescent="0.25">
      <c r="A303" t="s">
        <v>683</v>
      </c>
      <c r="B303" t="s">
        <v>20</v>
      </c>
      <c r="C303" t="str">
        <f>IF(ISBLANK(Table4[[#This Row],[Region]]),Table4[[#This Row],[Node Type]],Table4[[#This Row],[Region]])</f>
        <v/>
      </c>
      <c r="E303" t="str">
        <f>IF(ISERROR(SEARCH("Node",Table4[[#This Row],[Type]])),IF(ISERROR(SEARCH("Iliac",Table4[[#This Row],[Type]])),"",Table4[[#This Row],[Type]]),Table4[[#This Row],[Type]])</f>
        <v/>
      </c>
      <c r="H303">
        <v>1</v>
      </c>
      <c r="I303">
        <v>24</v>
      </c>
      <c r="L303" t="s">
        <v>20</v>
      </c>
    </row>
    <row r="304" spans="1:19" x14ac:dyDescent="0.25">
      <c r="A304" t="s">
        <v>685</v>
      </c>
      <c r="B304" t="s">
        <v>20</v>
      </c>
      <c r="C304" t="str">
        <f>IF(ISBLANK(Table4[[#This Row],[Region]]),Table4[[#This Row],[Node Type]],Table4[[#This Row],[Region]])</f>
        <v/>
      </c>
      <c r="E304" t="str">
        <f>IF(ISERROR(SEARCH("Node",Table4[[#This Row],[Type]])),IF(ISERROR(SEARCH("Iliac",Table4[[#This Row],[Type]])),"",Table4[[#This Row],[Type]]),Table4[[#This Row],[Type]])</f>
        <v/>
      </c>
      <c r="H304">
        <v>2</v>
      </c>
      <c r="I304">
        <v>21</v>
      </c>
      <c r="L304" t="s">
        <v>20</v>
      </c>
    </row>
    <row r="305" spans="1:16" x14ac:dyDescent="0.25">
      <c r="A305" t="s">
        <v>687</v>
      </c>
      <c r="B305" t="s">
        <v>20</v>
      </c>
      <c r="C305" t="str">
        <f>IF(ISBLANK(Table4[[#This Row],[Region]]),Table4[[#This Row],[Node Type]],Table4[[#This Row],[Region]])</f>
        <v/>
      </c>
      <c r="E305" t="str">
        <f>IF(ISERROR(SEARCH("Node",Table4[[#This Row],[Type]])),IF(ISERROR(SEARCH("Iliac",Table4[[#This Row],[Type]])),"",Table4[[#This Row],[Type]]),Table4[[#This Row],[Type]])</f>
        <v/>
      </c>
      <c r="H305">
        <v>3</v>
      </c>
      <c r="I305">
        <v>24</v>
      </c>
      <c r="L305" t="s">
        <v>20</v>
      </c>
    </row>
    <row r="306" spans="1:16" x14ac:dyDescent="0.25">
      <c r="A306" t="s">
        <v>688</v>
      </c>
      <c r="B306" t="s">
        <v>20</v>
      </c>
      <c r="C306" t="str">
        <f>IF(ISBLANK(Table4[[#This Row],[Region]]),Table4[[#This Row],[Node Type]],Table4[[#This Row],[Region]])</f>
        <v/>
      </c>
      <c r="E306" t="str">
        <f>IF(ISERROR(SEARCH("Node",Table4[[#This Row],[Type]])),IF(ISERROR(SEARCH("Iliac",Table4[[#This Row],[Type]])),"",Table4[[#This Row],[Type]]),Table4[[#This Row],[Type]])</f>
        <v/>
      </c>
      <c r="H306">
        <v>4</v>
      </c>
      <c r="I306">
        <v>24</v>
      </c>
      <c r="L306" t="s">
        <v>20</v>
      </c>
    </row>
    <row r="307" spans="1:16" x14ac:dyDescent="0.25">
      <c r="A307" t="s">
        <v>689</v>
      </c>
      <c r="B307" t="s">
        <v>20</v>
      </c>
      <c r="C307" t="str">
        <f>IF(ISBLANK(Table4[[#This Row],[Region]]),Table4[[#This Row],[Node Type]],Table4[[#This Row],[Region]])</f>
        <v/>
      </c>
      <c r="E307" t="str">
        <f>IF(ISERROR(SEARCH("Node",Table4[[#This Row],[Type]])),IF(ISERROR(SEARCH("Iliac",Table4[[#This Row],[Type]])),"",Table4[[#This Row],[Type]]),Table4[[#This Row],[Type]])</f>
        <v/>
      </c>
      <c r="H307">
        <v>5</v>
      </c>
      <c r="I307">
        <v>24</v>
      </c>
      <c r="L307" t="s">
        <v>20</v>
      </c>
    </row>
    <row r="308" spans="1:16" x14ac:dyDescent="0.25">
      <c r="A308" t="s">
        <v>690</v>
      </c>
      <c r="B308" t="s">
        <v>77</v>
      </c>
      <c r="C308" t="str">
        <f>IF(ISBLANK(Table4[[#This Row],[Region]]),Table4[[#This Row],[Node Type]],Table4[[#This Row],[Region]])</f>
        <v/>
      </c>
      <c r="E308" t="str">
        <f>IF(ISERROR(SEARCH("Node",Table4[[#This Row],[Type]])),IF(ISERROR(SEARCH("Iliac",Table4[[#This Row],[Type]])),"",Table4[[#This Row],[Type]]),Table4[[#This Row],[Type]])</f>
        <v/>
      </c>
      <c r="H308">
        <v>1</v>
      </c>
      <c r="I308">
        <v>24</v>
      </c>
      <c r="L308" t="s">
        <v>77</v>
      </c>
    </row>
    <row r="309" spans="1:16" x14ac:dyDescent="0.25">
      <c r="A309" t="s">
        <v>691</v>
      </c>
      <c r="B309" t="s">
        <v>77</v>
      </c>
      <c r="C309" t="str">
        <f>IF(ISBLANK(Table4[[#This Row],[Region]]),Table4[[#This Row],[Node Type]],Table4[[#This Row],[Region]])</f>
        <v/>
      </c>
      <c r="E309" t="str">
        <f>IF(ISERROR(SEARCH("Node",Table4[[#This Row],[Type]])),IF(ISERROR(SEARCH("Iliac",Table4[[#This Row],[Type]])),"",Table4[[#This Row],[Type]]),Table4[[#This Row],[Type]])</f>
        <v/>
      </c>
      <c r="H309">
        <v>2</v>
      </c>
      <c r="I309">
        <v>21</v>
      </c>
      <c r="L309" t="s">
        <v>77</v>
      </c>
    </row>
    <row r="310" spans="1:16" x14ac:dyDescent="0.25">
      <c r="A310" t="s">
        <v>692</v>
      </c>
      <c r="B310" t="s">
        <v>77</v>
      </c>
      <c r="C310" t="str">
        <f>IF(ISBLANK(Table4[[#This Row],[Region]]),Table4[[#This Row],[Node Type]],Table4[[#This Row],[Region]])</f>
        <v/>
      </c>
      <c r="E310" t="str">
        <f>IF(ISERROR(SEARCH("Node",Table4[[#This Row],[Type]])),IF(ISERROR(SEARCH("Iliac",Table4[[#This Row],[Type]])),"",Table4[[#This Row],[Type]]),Table4[[#This Row],[Type]])</f>
        <v/>
      </c>
      <c r="H310">
        <v>3</v>
      </c>
      <c r="I310">
        <v>24</v>
      </c>
      <c r="L310" t="s">
        <v>77</v>
      </c>
    </row>
    <row r="311" spans="1:16" x14ac:dyDescent="0.25">
      <c r="A311" t="s">
        <v>693</v>
      </c>
      <c r="B311" t="s">
        <v>77</v>
      </c>
      <c r="C311" t="str">
        <f>IF(ISBLANK(Table4[[#This Row],[Region]]),Table4[[#This Row],[Node Type]],Table4[[#This Row],[Region]])</f>
        <v/>
      </c>
      <c r="E311" t="str">
        <f>IF(ISERROR(SEARCH("Node",Table4[[#This Row],[Type]])),IF(ISERROR(SEARCH("Iliac",Table4[[#This Row],[Type]])),"",Table4[[#This Row],[Type]]),Table4[[#This Row],[Type]])</f>
        <v/>
      </c>
      <c r="H311">
        <v>4</v>
      </c>
      <c r="I311">
        <v>24</v>
      </c>
      <c r="L311" t="s">
        <v>77</v>
      </c>
    </row>
    <row r="312" spans="1:16" x14ac:dyDescent="0.25">
      <c r="A312" t="s">
        <v>694</v>
      </c>
      <c r="B312" t="s">
        <v>77</v>
      </c>
      <c r="C312" t="str">
        <f>IF(ISBLANK(Table4[[#This Row],[Region]]),Table4[[#This Row],[Node Type]],Table4[[#This Row],[Region]])</f>
        <v/>
      </c>
      <c r="E312" t="str">
        <f>IF(ISERROR(SEARCH("Node",Table4[[#This Row],[Type]])),IF(ISERROR(SEARCH("Iliac",Table4[[#This Row],[Type]])),"",Table4[[#This Row],[Type]]),Table4[[#This Row],[Type]])</f>
        <v/>
      </c>
      <c r="H312">
        <v>5</v>
      </c>
      <c r="I312">
        <v>24</v>
      </c>
      <c r="L312" t="s">
        <v>77</v>
      </c>
    </row>
    <row r="313" spans="1:16" x14ac:dyDescent="0.25">
      <c r="A313" t="s">
        <v>697</v>
      </c>
      <c r="B313" t="s">
        <v>46</v>
      </c>
      <c r="C313" t="str">
        <f>IF(ISBLANK(Table4[[#This Row],[Region]]),Table4[[#This Row],[Node Type]],Table4[[#This Row],[Region]])</f>
        <v/>
      </c>
      <c r="E313" t="str">
        <f>IF(ISERROR(SEARCH("Node",Table4[[#This Row],[Type]])),IF(ISERROR(SEARCH("Iliac",Table4[[#This Row],[Type]])),"",Table4[[#This Row],[Type]]),Table4[[#This Row],[Type]])</f>
        <v/>
      </c>
      <c r="I313">
        <v>48</v>
      </c>
      <c r="L313" t="s">
        <v>46</v>
      </c>
    </row>
    <row r="314" spans="1:16" x14ac:dyDescent="0.25">
      <c r="A314" t="s">
        <v>698</v>
      </c>
      <c r="B314" t="s">
        <v>46</v>
      </c>
      <c r="C314" t="str">
        <f>IF(ISBLANK(Table4[[#This Row],[Region]]),Table4[[#This Row],[Node Type]],Table4[[#This Row],[Region]])</f>
        <v/>
      </c>
      <c r="E314" t="str">
        <f>IF(ISERROR(SEARCH("Node",Table4[[#This Row],[Type]])),IF(ISERROR(SEARCH("Iliac",Table4[[#This Row],[Type]])),"",Table4[[#This Row],[Type]]),Table4[[#This Row],[Type]])</f>
        <v/>
      </c>
      <c r="I314">
        <v>68</v>
      </c>
      <c r="L314" t="s">
        <v>46</v>
      </c>
    </row>
    <row r="315" spans="1:16" x14ac:dyDescent="0.25">
      <c r="A315" t="s">
        <v>699</v>
      </c>
      <c r="B315" t="s">
        <v>77</v>
      </c>
      <c r="C315" t="str">
        <f>IF(ISBLANK(Table4[[#This Row],[Region]]),Table4[[#This Row],[Node Type]],Table4[[#This Row],[Region]])</f>
        <v/>
      </c>
      <c r="E315" t="str">
        <f>IF(ISERROR(SEARCH("Node",Table4[[#This Row],[Type]])),IF(ISERROR(SEARCH("Iliac",Table4[[#This Row],[Type]])),"",Table4[[#This Row],[Type]]),Table4[[#This Row],[Type]])</f>
        <v/>
      </c>
      <c r="I315">
        <v>48</v>
      </c>
      <c r="L315" t="s">
        <v>77</v>
      </c>
      <c r="P315" t="s">
        <v>85</v>
      </c>
    </row>
    <row r="316" spans="1:16" x14ac:dyDescent="0.25">
      <c r="A316" t="s">
        <v>700</v>
      </c>
      <c r="B316" t="s">
        <v>77</v>
      </c>
      <c r="C316" t="str">
        <f>IF(ISBLANK(Table4[[#This Row],[Region]]),Table4[[#This Row],[Node Type]],Table4[[#This Row],[Region]])</f>
        <v/>
      </c>
      <c r="E316" t="str">
        <f>IF(ISERROR(SEARCH("Node",Table4[[#This Row],[Type]])),IF(ISERROR(SEARCH("Iliac",Table4[[#This Row],[Type]])),"",Table4[[#This Row],[Type]]),Table4[[#This Row],[Type]])</f>
        <v/>
      </c>
      <c r="I316">
        <v>48</v>
      </c>
      <c r="L316" t="s">
        <v>77</v>
      </c>
      <c r="O316" t="s">
        <v>290</v>
      </c>
      <c r="P316" t="s">
        <v>85</v>
      </c>
    </row>
    <row r="317" spans="1:16" x14ac:dyDescent="0.25">
      <c r="A317" t="s">
        <v>701</v>
      </c>
      <c r="B317" t="s">
        <v>77</v>
      </c>
      <c r="C317" t="str">
        <f>IF(ISBLANK(Table4[[#This Row],[Region]]),Table4[[#This Row],[Node Type]],Table4[[#This Row],[Region]])</f>
        <v/>
      </c>
      <c r="E317" t="str">
        <f>IF(ISERROR(SEARCH("Node",Table4[[#This Row],[Type]])),IF(ISERROR(SEARCH("Iliac",Table4[[#This Row],[Type]])),"",Table4[[#This Row],[Type]]),Table4[[#This Row],[Type]])</f>
        <v/>
      </c>
      <c r="I317">
        <v>48</v>
      </c>
      <c r="L317" t="s">
        <v>77</v>
      </c>
      <c r="O317" t="s">
        <v>292</v>
      </c>
      <c r="P317" t="s">
        <v>85</v>
      </c>
    </row>
    <row r="318" spans="1:16" x14ac:dyDescent="0.25">
      <c r="A318" t="s">
        <v>702</v>
      </c>
      <c r="B318" t="s">
        <v>77</v>
      </c>
      <c r="C318" t="str">
        <f>IF(ISBLANK(Table4[[#This Row],[Region]]),Table4[[#This Row],[Node Type]],Table4[[#This Row],[Region]])</f>
        <v/>
      </c>
      <c r="E318" t="str">
        <f>IF(ISERROR(SEARCH("Node",Table4[[#This Row],[Type]])),IF(ISERROR(SEARCH("Iliac",Table4[[#This Row],[Type]])),"",Table4[[#This Row],[Type]]),Table4[[#This Row],[Type]])</f>
        <v/>
      </c>
      <c r="I318">
        <v>56</v>
      </c>
      <c r="L318" t="s">
        <v>77</v>
      </c>
    </row>
    <row r="319" spans="1:16" x14ac:dyDescent="0.25">
      <c r="A319" t="s">
        <v>703</v>
      </c>
      <c r="B319" t="s">
        <v>77</v>
      </c>
      <c r="C319" t="str">
        <f>IF(ISBLANK(Table4[[#This Row],[Region]]),Table4[[#This Row],[Node Type]],Table4[[#This Row],[Region]])</f>
        <v/>
      </c>
      <c r="E319" t="str">
        <f>IF(ISERROR(SEARCH("Node",Table4[[#This Row],[Type]])),IF(ISERROR(SEARCH("Iliac",Table4[[#This Row],[Type]])),"",Table4[[#This Row],[Type]]),Table4[[#This Row],[Type]])</f>
        <v/>
      </c>
      <c r="I319">
        <v>68</v>
      </c>
      <c r="L319" t="s">
        <v>77</v>
      </c>
    </row>
    <row r="320" spans="1:16" x14ac:dyDescent="0.25">
      <c r="A320" t="s">
        <v>704</v>
      </c>
      <c r="B320" t="s">
        <v>77</v>
      </c>
      <c r="C320" t="str">
        <f>IF(ISBLANK(Table4[[#This Row],[Region]]),Table4[[#This Row],[Node Type]],Table4[[#This Row],[Region]])</f>
        <v/>
      </c>
      <c r="E320" t="str">
        <f>IF(ISERROR(SEARCH("Node",Table4[[#This Row],[Type]])),IF(ISERROR(SEARCH("Iliac",Table4[[#This Row],[Type]])),"",Table4[[#This Row],[Type]]),Table4[[#This Row],[Type]])</f>
        <v/>
      </c>
      <c r="I320">
        <v>56</v>
      </c>
      <c r="L320" t="s">
        <v>77</v>
      </c>
      <c r="P320" t="s">
        <v>85</v>
      </c>
    </row>
    <row r="321" spans="1:16" x14ac:dyDescent="0.25">
      <c r="A321" t="s">
        <v>709</v>
      </c>
      <c r="B321" t="s">
        <v>77</v>
      </c>
      <c r="C321" t="str">
        <f>IF(ISBLANK(Table4[[#This Row],[Region]]),Table4[[#This Row],[Node Type]],Table4[[#This Row],[Region]])</f>
        <v/>
      </c>
      <c r="E321" t="str">
        <f>IF(ISERROR(SEARCH("Node",Table4[[#This Row],[Type]])),IF(ISERROR(SEARCH("Iliac",Table4[[#This Row],[Type]])),"",Table4[[#This Row],[Type]]),Table4[[#This Row],[Type]])</f>
        <v/>
      </c>
      <c r="I321">
        <v>48</v>
      </c>
      <c r="L321" t="s">
        <v>77</v>
      </c>
      <c r="O321" t="s">
        <v>294</v>
      </c>
      <c r="P321" t="s">
        <v>85</v>
      </c>
    </row>
    <row r="322" spans="1:16" x14ac:dyDescent="0.25">
      <c r="A322" t="s">
        <v>710</v>
      </c>
      <c r="B322" t="s">
        <v>20</v>
      </c>
      <c r="C322" t="str">
        <f>IF(ISBLANK(Table4[[#This Row],[Region]]),Table4[[#This Row],[Node Type]],Table4[[#This Row],[Region]])</f>
        <v/>
      </c>
      <c r="E322" t="str">
        <f>IF(ISERROR(SEARCH("Node",Table4[[#This Row],[Type]])),IF(ISERROR(SEARCH("Iliac",Table4[[#This Row],[Type]])),"",Table4[[#This Row],[Type]]),Table4[[#This Row],[Type]])</f>
        <v/>
      </c>
      <c r="H322">
        <v>1</v>
      </c>
      <c r="I322">
        <v>24</v>
      </c>
      <c r="L322" t="s">
        <v>20</v>
      </c>
    </row>
    <row r="323" spans="1:16" x14ac:dyDescent="0.25">
      <c r="A323" t="s">
        <v>711</v>
      </c>
      <c r="B323" t="s">
        <v>20</v>
      </c>
      <c r="C323" t="str">
        <f>IF(ISBLANK(Table4[[#This Row],[Region]]),Table4[[#This Row],[Node Type]],Table4[[#This Row],[Region]])</f>
        <v/>
      </c>
      <c r="E323" t="str">
        <f>IF(ISERROR(SEARCH("Node",Table4[[#This Row],[Type]])),IF(ISERROR(SEARCH("Iliac",Table4[[#This Row],[Type]])),"",Table4[[#This Row],[Type]]),Table4[[#This Row],[Type]])</f>
        <v/>
      </c>
      <c r="H323">
        <v>2</v>
      </c>
      <c r="I323">
        <v>24</v>
      </c>
      <c r="L323" t="s">
        <v>20</v>
      </c>
    </row>
    <row r="324" spans="1:16" x14ac:dyDescent="0.25">
      <c r="A324" t="s">
        <v>712</v>
      </c>
      <c r="B324" t="s">
        <v>77</v>
      </c>
      <c r="C324" t="str">
        <f>IF(ISBLANK(Table4[[#This Row],[Region]]),Table4[[#This Row],[Node Type]],Table4[[#This Row],[Region]])</f>
        <v/>
      </c>
      <c r="E324" t="str">
        <f>IF(ISERROR(SEARCH("Node",Table4[[#This Row],[Type]])),IF(ISERROR(SEARCH("Iliac",Table4[[#This Row],[Type]])),"",Table4[[#This Row],[Type]]),Table4[[#This Row],[Type]])</f>
        <v/>
      </c>
      <c r="H324">
        <v>1</v>
      </c>
      <c r="I324">
        <v>24</v>
      </c>
      <c r="L324" t="s">
        <v>77</v>
      </c>
    </row>
    <row r="325" spans="1:16" x14ac:dyDescent="0.25">
      <c r="A325" t="s">
        <v>713</v>
      </c>
      <c r="B325" t="s">
        <v>77</v>
      </c>
      <c r="C325" t="str">
        <f>IF(ISBLANK(Table4[[#This Row],[Region]]),Table4[[#This Row],[Node Type]],Table4[[#This Row],[Region]])</f>
        <v/>
      </c>
      <c r="E325" t="str">
        <f>IF(ISERROR(SEARCH("Node",Table4[[#This Row],[Type]])),IF(ISERROR(SEARCH("Iliac",Table4[[#This Row],[Type]])),"",Table4[[#This Row],[Type]]),Table4[[#This Row],[Type]])</f>
        <v/>
      </c>
      <c r="H325">
        <v>2</v>
      </c>
      <c r="I325">
        <v>24</v>
      </c>
      <c r="L325" t="s">
        <v>77</v>
      </c>
    </row>
    <row r="326" spans="1:16" x14ac:dyDescent="0.25">
      <c r="A326" t="s">
        <v>722</v>
      </c>
      <c r="B326" t="s">
        <v>77</v>
      </c>
      <c r="C326" t="str">
        <f>IF(ISBLANK(Table4[[#This Row],[Region]]),Table4[[#This Row],[Node Type]],Table4[[#This Row],[Region]])</f>
        <v/>
      </c>
      <c r="E326" t="str">
        <f>IF(ISERROR(SEARCH("Node",Table4[[#This Row],[Type]])),IF(ISERROR(SEARCH("Iliac",Table4[[#This Row],[Type]])),"",Table4[[#This Row],[Type]]),Table4[[#This Row],[Type]])</f>
        <v/>
      </c>
      <c r="L326" t="s">
        <v>77</v>
      </c>
    </row>
    <row r="327" spans="1:16" x14ac:dyDescent="0.25">
      <c r="A327" t="s">
        <v>726</v>
      </c>
      <c r="B327" t="s">
        <v>77</v>
      </c>
      <c r="C327" t="str">
        <f>IF(ISBLANK(Table4[[#This Row],[Region]]),Table4[[#This Row],[Node Type]],Table4[[#This Row],[Region]])</f>
        <v/>
      </c>
      <c r="E327" t="str">
        <f>IF(ISERROR(SEARCH("Node",Table4[[#This Row],[Type]])),IF(ISERROR(SEARCH("Iliac",Table4[[#This Row],[Type]])),"",Table4[[#This Row],[Type]]),Table4[[#This Row],[Type]])</f>
        <v/>
      </c>
      <c r="I327">
        <v>20</v>
      </c>
      <c r="L327" t="s">
        <v>77</v>
      </c>
    </row>
    <row r="328" spans="1:16" x14ac:dyDescent="0.25">
      <c r="A328" t="s">
        <v>728</v>
      </c>
      <c r="B328" t="s">
        <v>77</v>
      </c>
      <c r="C328" t="str">
        <f>IF(ISBLANK(Table4[[#This Row],[Region]]),Table4[[#This Row],[Node Type]],Table4[[#This Row],[Region]])</f>
        <v/>
      </c>
      <c r="E328" t="str">
        <f>IF(ISERROR(SEARCH("Node",Table4[[#This Row],[Type]])),IF(ISERROR(SEARCH("Iliac",Table4[[#This Row],[Type]])),"",Table4[[#This Row],[Type]]),Table4[[#This Row],[Type]])</f>
        <v/>
      </c>
      <c r="H328">
        <v>12</v>
      </c>
      <c r="L328" t="s">
        <v>77</v>
      </c>
    </row>
    <row r="329" spans="1:16" x14ac:dyDescent="0.25">
      <c r="A329" t="s">
        <v>733</v>
      </c>
      <c r="B329" t="s">
        <v>77</v>
      </c>
      <c r="C329" t="str">
        <f>IF(ISBLANK(Table4[[#This Row],[Region]]),Table4[[#This Row],[Node Type]],Table4[[#This Row],[Region]])</f>
        <v/>
      </c>
      <c r="E329" t="str">
        <f>IF(ISERROR(SEARCH("Node",Table4[[#This Row],[Type]])),IF(ISERROR(SEARCH("Iliac",Table4[[#This Row],[Type]])),"",Table4[[#This Row],[Type]]),Table4[[#This Row],[Type]])</f>
        <v/>
      </c>
      <c r="H329">
        <v>1</v>
      </c>
      <c r="I329">
        <v>18</v>
      </c>
      <c r="L329" t="s">
        <v>77</v>
      </c>
    </row>
    <row r="330" spans="1:16" x14ac:dyDescent="0.25">
      <c r="A330" t="s">
        <v>734</v>
      </c>
      <c r="B330" t="s">
        <v>77</v>
      </c>
      <c r="C330" t="str">
        <f>IF(ISBLANK(Table4[[#This Row],[Region]]),Table4[[#This Row],[Node Type]],Table4[[#This Row],[Region]])</f>
        <v/>
      </c>
      <c r="E330" t="str">
        <f>IF(ISERROR(SEARCH("Node",Table4[[#This Row],[Type]])),IF(ISERROR(SEARCH("Iliac",Table4[[#This Row],[Type]])),"",Table4[[#This Row],[Type]]),Table4[[#This Row],[Type]])</f>
        <v/>
      </c>
      <c r="H330">
        <v>2</v>
      </c>
      <c r="I330">
        <v>18</v>
      </c>
      <c r="L330" t="s">
        <v>77</v>
      </c>
    </row>
    <row r="331" spans="1:16" x14ac:dyDescent="0.25">
      <c r="A331" t="s">
        <v>735</v>
      </c>
      <c r="B331" t="s">
        <v>77</v>
      </c>
      <c r="C331" t="str">
        <f>IF(ISBLANK(Table4[[#This Row],[Region]]),Table4[[#This Row],[Node Type]],Table4[[#This Row],[Region]])</f>
        <v/>
      </c>
      <c r="E331" t="str">
        <f>IF(ISERROR(SEARCH("Node",Table4[[#This Row],[Type]])),IF(ISERROR(SEARCH("Iliac",Table4[[#This Row],[Type]])),"",Table4[[#This Row],[Type]]),Table4[[#This Row],[Type]])</f>
        <v/>
      </c>
      <c r="H331">
        <v>4</v>
      </c>
      <c r="I331">
        <v>18</v>
      </c>
      <c r="L331" t="s">
        <v>77</v>
      </c>
    </row>
    <row r="332" spans="1:16" x14ac:dyDescent="0.25">
      <c r="A332" t="s">
        <v>736</v>
      </c>
      <c r="B332" t="s">
        <v>77</v>
      </c>
      <c r="C332" t="str">
        <f>IF(ISBLANK(Table4[[#This Row],[Region]]),Table4[[#This Row],[Node Type]],Table4[[#This Row],[Region]])</f>
        <v/>
      </c>
      <c r="E332" t="str">
        <f>IF(ISERROR(SEARCH("Node",Table4[[#This Row],[Type]])),IF(ISERROR(SEARCH("Iliac",Table4[[#This Row],[Type]])),"",Table4[[#This Row],[Type]]),Table4[[#This Row],[Type]])</f>
        <v/>
      </c>
      <c r="H332">
        <v>5</v>
      </c>
      <c r="I332">
        <v>21</v>
      </c>
      <c r="L332" t="s">
        <v>77</v>
      </c>
    </row>
    <row r="333" spans="1:16" x14ac:dyDescent="0.25">
      <c r="A333" t="s">
        <v>737</v>
      </c>
      <c r="B333" t="s">
        <v>77</v>
      </c>
      <c r="C333" t="str">
        <f>IF(ISBLANK(Table4[[#This Row],[Region]]),Table4[[#This Row],[Node Type]],Table4[[#This Row],[Region]])</f>
        <v/>
      </c>
      <c r="E333" t="str">
        <f>IF(ISERROR(SEARCH("Node",Table4[[#This Row],[Type]])),IF(ISERROR(SEARCH("Iliac",Table4[[#This Row],[Type]])),"",Table4[[#This Row],[Type]]),Table4[[#This Row],[Type]])</f>
        <v/>
      </c>
      <c r="H333">
        <v>6</v>
      </c>
      <c r="I333">
        <v>21</v>
      </c>
      <c r="L333" t="s">
        <v>77</v>
      </c>
    </row>
    <row r="334" spans="1:16" x14ac:dyDescent="0.25">
      <c r="A334" t="s">
        <v>738</v>
      </c>
      <c r="B334" t="s">
        <v>20</v>
      </c>
      <c r="C334" t="str">
        <f>IF(ISBLANK(Table4[[#This Row],[Region]]),Table4[[#This Row],[Node Type]],Table4[[#This Row],[Region]])</f>
        <v/>
      </c>
      <c r="E334" t="str">
        <f>IF(ISERROR(SEARCH("Node",Table4[[#This Row],[Type]])),IF(ISERROR(SEARCH("Iliac",Table4[[#This Row],[Type]])),"",Table4[[#This Row],[Type]]),Table4[[#This Row],[Type]])</f>
        <v/>
      </c>
      <c r="H334">
        <v>7</v>
      </c>
      <c r="I334">
        <v>21</v>
      </c>
      <c r="L334" t="s">
        <v>20</v>
      </c>
    </row>
    <row r="335" spans="1:16" x14ac:dyDescent="0.25">
      <c r="A335" t="s">
        <v>740</v>
      </c>
      <c r="B335" t="s">
        <v>20</v>
      </c>
      <c r="C335" t="str">
        <f>IF(ISBLANK(Table4[[#This Row],[Region]]),Table4[[#This Row],[Node Type]],Table4[[#This Row],[Region]])</f>
        <v/>
      </c>
      <c r="E335" t="str">
        <f>IF(ISERROR(SEARCH("Node",Table4[[#This Row],[Type]])),IF(ISERROR(SEARCH("Iliac",Table4[[#This Row],[Type]])),"",Table4[[#This Row],[Type]]),Table4[[#This Row],[Type]])</f>
        <v/>
      </c>
      <c r="H335">
        <v>8</v>
      </c>
      <c r="L335" t="s">
        <v>20</v>
      </c>
    </row>
    <row r="336" spans="1:16" x14ac:dyDescent="0.25">
      <c r="A336" t="s">
        <v>741</v>
      </c>
      <c r="B336" t="s">
        <v>20</v>
      </c>
      <c r="C336" t="str">
        <f>IF(ISBLANK(Table4[[#This Row],[Region]]),Table4[[#This Row],[Node Type]],Table4[[#This Row],[Region]])</f>
        <v/>
      </c>
      <c r="E336" t="str">
        <f>IF(ISERROR(SEARCH("Node",Table4[[#This Row],[Type]])),IF(ISERROR(SEARCH("Iliac",Table4[[#This Row],[Type]])),"",Table4[[#This Row],[Type]]),Table4[[#This Row],[Type]])</f>
        <v/>
      </c>
      <c r="H336">
        <v>9</v>
      </c>
      <c r="L336" t="s">
        <v>20</v>
      </c>
    </row>
    <row r="337" spans="1:13" x14ac:dyDescent="0.25">
      <c r="A337" t="s">
        <v>742</v>
      </c>
      <c r="B337" t="s">
        <v>20</v>
      </c>
      <c r="C337" t="str">
        <f>IF(ISBLANK(Table4[[#This Row],[Region]]),Table4[[#This Row],[Node Type]],Table4[[#This Row],[Region]])</f>
        <v/>
      </c>
      <c r="E337" t="str">
        <f>IF(ISERROR(SEARCH("Node",Table4[[#This Row],[Type]])),IF(ISERROR(SEARCH("Iliac",Table4[[#This Row],[Type]])),"",Table4[[#This Row],[Type]]),Table4[[#This Row],[Type]])</f>
        <v/>
      </c>
      <c r="H337">
        <v>10</v>
      </c>
      <c r="L337" t="s">
        <v>20</v>
      </c>
    </row>
    <row r="338" spans="1:13" x14ac:dyDescent="0.25">
      <c r="A338" t="s">
        <v>743</v>
      </c>
      <c r="B338" t="s">
        <v>20</v>
      </c>
      <c r="C338" t="str">
        <f>IF(ISBLANK(Table4[[#This Row],[Region]]),Table4[[#This Row],[Node Type]],Table4[[#This Row],[Region]])</f>
        <v/>
      </c>
      <c r="E338" t="str">
        <f>IF(ISERROR(SEARCH("Node",Table4[[#This Row],[Type]])),IF(ISERROR(SEARCH("Iliac",Table4[[#This Row],[Type]])),"",Table4[[#This Row],[Type]]),Table4[[#This Row],[Type]])</f>
        <v/>
      </c>
      <c r="H338">
        <v>11</v>
      </c>
      <c r="L338" t="s">
        <v>20</v>
      </c>
    </row>
    <row r="339" spans="1:13" x14ac:dyDescent="0.25">
      <c r="A339" t="s">
        <v>744</v>
      </c>
      <c r="B339" t="s">
        <v>77</v>
      </c>
      <c r="C339" t="str">
        <f>IF(ISBLANK(Table4[[#This Row],[Region]]),Table4[[#This Row],[Node Type]],Table4[[#This Row],[Region]])</f>
        <v/>
      </c>
      <c r="E339" t="str">
        <f>IF(ISERROR(SEARCH("Node",Table4[[#This Row],[Type]])),IF(ISERROR(SEARCH("Iliac",Table4[[#This Row],[Type]])),"",Table4[[#This Row],[Type]]),Table4[[#This Row],[Type]])</f>
        <v/>
      </c>
      <c r="H339">
        <v>7</v>
      </c>
      <c r="I339">
        <v>21</v>
      </c>
      <c r="L339" t="s">
        <v>77</v>
      </c>
    </row>
    <row r="340" spans="1:13" x14ac:dyDescent="0.25">
      <c r="A340" t="s">
        <v>745</v>
      </c>
      <c r="B340" t="s">
        <v>77</v>
      </c>
      <c r="C340" t="str">
        <f>IF(ISBLANK(Table4[[#This Row],[Region]]),Table4[[#This Row],[Node Type]],Table4[[#This Row],[Region]])</f>
        <v/>
      </c>
      <c r="E340" t="str">
        <f>IF(ISERROR(SEARCH("Node",Table4[[#This Row],[Type]])),IF(ISERROR(SEARCH("Iliac",Table4[[#This Row],[Type]])),"",Table4[[#This Row],[Type]]),Table4[[#This Row],[Type]])</f>
        <v/>
      </c>
      <c r="H340">
        <v>8</v>
      </c>
      <c r="I340">
        <v>21</v>
      </c>
      <c r="L340" t="s">
        <v>77</v>
      </c>
    </row>
    <row r="341" spans="1:13" x14ac:dyDescent="0.25">
      <c r="A341" t="s">
        <v>746</v>
      </c>
      <c r="B341" t="s">
        <v>77</v>
      </c>
      <c r="C341" t="str">
        <f>IF(ISBLANK(Table4[[#This Row],[Region]]),Table4[[#This Row],[Node Type]],Table4[[#This Row],[Region]])</f>
        <v/>
      </c>
      <c r="E341" t="str">
        <f>IF(ISERROR(SEARCH("Node",Table4[[#This Row],[Type]])),IF(ISERROR(SEARCH("Iliac",Table4[[#This Row],[Type]])),"",Table4[[#This Row],[Type]]),Table4[[#This Row],[Type]])</f>
        <v/>
      </c>
      <c r="H341">
        <v>9</v>
      </c>
      <c r="I341">
        <v>21</v>
      </c>
      <c r="L341" t="s">
        <v>77</v>
      </c>
    </row>
    <row r="342" spans="1:13" x14ac:dyDescent="0.25">
      <c r="A342" t="s">
        <v>747</v>
      </c>
      <c r="B342" t="s">
        <v>77</v>
      </c>
      <c r="C342" t="str">
        <f>IF(ISBLANK(Table4[[#This Row],[Region]]),Table4[[#This Row],[Node Type]],Table4[[#This Row],[Region]])</f>
        <v/>
      </c>
      <c r="E342" t="str">
        <f>IF(ISERROR(SEARCH("Node",Table4[[#This Row],[Type]])),IF(ISERROR(SEARCH("Iliac",Table4[[#This Row],[Type]])),"",Table4[[#This Row],[Type]]),Table4[[#This Row],[Type]])</f>
        <v/>
      </c>
      <c r="H342">
        <v>10</v>
      </c>
      <c r="I342">
        <v>21</v>
      </c>
      <c r="L342" t="s">
        <v>77</v>
      </c>
    </row>
    <row r="343" spans="1:13" x14ac:dyDescent="0.25">
      <c r="A343" t="s">
        <v>748</v>
      </c>
      <c r="B343" t="s">
        <v>77</v>
      </c>
      <c r="C343" t="str">
        <f>IF(ISBLANK(Table4[[#This Row],[Region]]),Table4[[#This Row],[Node Type]],Table4[[#This Row],[Region]])</f>
        <v/>
      </c>
      <c r="E343" t="str">
        <f>IF(ISERROR(SEARCH("Node",Table4[[#This Row],[Type]])),IF(ISERROR(SEARCH("Iliac",Table4[[#This Row],[Type]])),"",Table4[[#This Row],[Type]]),Table4[[#This Row],[Type]])</f>
        <v/>
      </c>
      <c r="H343">
        <v>11</v>
      </c>
      <c r="I343">
        <v>21</v>
      </c>
      <c r="L343" t="s">
        <v>77</v>
      </c>
    </row>
    <row r="344" spans="1:13" x14ac:dyDescent="0.25">
      <c r="A344" t="s">
        <v>749</v>
      </c>
      <c r="B344" t="s">
        <v>20</v>
      </c>
      <c r="C344" t="str">
        <f>IF(ISBLANK(Table4[[#This Row],[Region]]),Table4[[#This Row],[Node Type]],Table4[[#This Row],[Region]])</f>
        <v/>
      </c>
      <c r="E344" t="str">
        <f>IF(ISERROR(SEARCH("Node",Table4[[#This Row],[Type]])),IF(ISERROR(SEARCH("Iliac",Table4[[#This Row],[Type]])),"",Table4[[#This Row],[Type]]),Table4[[#This Row],[Type]])</f>
        <v/>
      </c>
      <c r="H344">
        <v>12</v>
      </c>
      <c r="L344" t="s">
        <v>20</v>
      </c>
    </row>
    <row r="345" spans="1:13" x14ac:dyDescent="0.25">
      <c r="A345" t="s">
        <v>750</v>
      </c>
      <c r="B345" t="s">
        <v>77</v>
      </c>
      <c r="C345" t="str">
        <f>IF(ISBLANK(Table4[[#This Row],[Region]]),Table4[[#This Row],[Node Type]],Table4[[#This Row],[Region]])</f>
        <v/>
      </c>
      <c r="E345" t="str">
        <f>IF(ISERROR(SEARCH("Node",Table4[[#This Row],[Type]])),IF(ISERROR(SEARCH("Iliac",Table4[[#This Row],[Type]])),"",Table4[[#This Row],[Type]]),Table4[[#This Row],[Type]])</f>
        <v/>
      </c>
      <c r="H345">
        <v>12</v>
      </c>
      <c r="I345">
        <v>21</v>
      </c>
      <c r="L345" t="s">
        <v>77</v>
      </c>
    </row>
    <row r="346" spans="1:13" x14ac:dyDescent="0.25">
      <c r="A346" t="s">
        <v>758</v>
      </c>
      <c r="B346" t="s">
        <v>77</v>
      </c>
      <c r="C346" t="str">
        <f>IF(ISBLANK(Table4[[#This Row],[Region]]),Table4[[#This Row],[Node Type]],Table4[[#This Row],[Region]])</f>
        <v/>
      </c>
      <c r="E346" t="str">
        <f>IF(ISERROR(SEARCH("Node",Table4[[#This Row],[Type]])),IF(ISERROR(SEARCH("Iliac",Table4[[#This Row],[Type]])),"",Table4[[#This Row],[Type]]),Table4[[#This Row],[Type]])</f>
        <v/>
      </c>
      <c r="H346">
        <v>4</v>
      </c>
      <c r="I346">
        <v>24</v>
      </c>
      <c r="L346" t="s">
        <v>77</v>
      </c>
    </row>
    <row r="347" spans="1:13" x14ac:dyDescent="0.25">
      <c r="A347" t="s">
        <v>759</v>
      </c>
      <c r="B347" t="s">
        <v>77</v>
      </c>
      <c r="C347" t="str">
        <f>IF(ISBLANK(Table4[[#This Row],[Region]]),Table4[[#This Row],[Node Type]],Table4[[#This Row],[Region]])</f>
        <v/>
      </c>
      <c r="E347" t="str">
        <f>IF(ISERROR(SEARCH("Node",Table4[[#This Row],[Type]])),IF(ISERROR(SEARCH("Iliac",Table4[[#This Row],[Type]])),"",Table4[[#This Row],[Type]]),Table4[[#This Row],[Type]])</f>
        <v/>
      </c>
      <c r="L347" t="s">
        <v>77</v>
      </c>
      <c r="M347" t="s">
        <v>249</v>
      </c>
    </row>
    <row r="348" spans="1:13" x14ac:dyDescent="0.25">
      <c r="A348" t="s">
        <v>766</v>
      </c>
      <c r="B348" t="s">
        <v>20</v>
      </c>
      <c r="C348" t="str">
        <f>IF(ISBLANK(Table4[[#This Row],[Region]]),Table4[[#This Row],[Node Type]],Table4[[#This Row],[Region]])</f>
        <v/>
      </c>
      <c r="E348" t="str">
        <f>IF(ISERROR(SEARCH("Node",Table4[[#This Row],[Type]])),IF(ISERROR(SEARCH("Iliac",Table4[[#This Row],[Type]])),"",Table4[[#This Row],[Type]]),Table4[[#This Row],[Type]])</f>
        <v/>
      </c>
      <c r="H348">
        <v>2</v>
      </c>
      <c r="I348">
        <v>24</v>
      </c>
      <c r="L348" t="s">
        <v>20</v>
      </c>
    </row>
    <row r="349" spans="1:13" x14ac:dyDescent="0.25">
      <c r="A349" t="s">
        <v>771</v>
      </c>
      <c r="B349" t="s">
        <v>77</v>
      </c>
      <c r="C349" t="str">
        <f>IF(ISBLANK(Table4[[#This Row],[Region]]),Table4[[#This Row],[Node Type]],Table4[[#This Row],[Region]])</f>
        <v/>
      </c>
      <c r="E349" t="str">
        <f>IF(ISERROR(SEARCH("Node",Table4[[#This Row],[Type]])),IF(ISERROR(SEARCH("Iliac",Table4[[#This Row],[Type]])),"",Table4[[#This Row],[Type]]),Table4[[#This Row],[Type]])</f>
        <v/>
      </c>
      <c r="I349">
        <v>16</v>
      </c>
      <c r="L349" t="s">
        <v>77</v>
      </c>
    </row>
    <row r="350" spans="1:13" x14ac:dyDescent="0.25">
      <c r="A350" t="s">
        <v>776</v>
      </c>
      <c r="B350" t="s">
        <v>20</v>
      </c>
      <c r="C350" t="str">
        <f>IF(ISBLANK(Table4[[#This Row],[Region]]),Table4[[#This Row],[Node Type]],Table4[[#This Row],[Region]])</f>
        <v/>
      </c>
      <c r="E350" t="str">
        <f>IF(ISERROR(SEARCH("Node",Table4[[#This Row],[Type]])),IF(ISERROR(SEARCH("Iliac",Table4[[#This Row],[Type]])),"",Table4[[#This Row],[Type]]),Table4[[#This Row],[Type]])</f>
        <v/>
      </c>
      <c r="H350">
        <v>3</v>
      </c>
      <c r="I350">
        <v>27</v>
      </c>
      <c r="L350" t="s">
        <v>20</v>
      </c>
    </row>
    <row r="351" spans="1:13" x14ac:dyDescent="0.25">
      <c r="A351" t="s">
        <v>777</v>
      </c>
      <c r="B351" t="s">
        <v>20</v>
      </c>
      <c r="C351" t="str">
        <f>IF(ISBLANK(Table4[[#This Row],[Region]]),Table4[[#This Row],[Node Type]],Table4[[#This Row],[Region]])</f>
        <v/>
      </c>
      <c r="E351" t="str">
        <f>IF(ISERROR(SEARCH("Node",Table4[[#This Row],[Type]])),IF(ISERROR(SEARCH("Iliac",Table4[[#This Row],[Type]])),"",Table4[[#This Row],[Type]]),Table4[[#This Row],[Type]])</f>
        <v/>
      </c>
      <c r="H351">
        <v>2</v>
      </c>
      <c r="I351">
        <v>27</v>
      </c>
      <c r="L351" t="s">
        <v>20</v>
      </c>
    </row>
    <row r="352" spans="1:13" x14ac:dyDescent="0.25">
      <c r="A352" t="s">
        <v>778</v>
      </c>
      <c r="B352" t="s">
        <v>20</v>
      </c>
      <c r="C352" t="str">
        <f>IF(ISBLANK(Table4[[#This Row],[Region]]),Table4[[#This Row],[Node Type]],Table4[[#This Row],[Region]])</f>
        <v/>
      </c>
      <c r="E352" t="str">
        <f>IF(ISERROR(SEARCH("Node",Table4[[#This Row],[Type]])),IF(ISERROR(SEARCH("Iliac",Table4[[#This Row],[Type]])),"",Table4[[#This Row],[Type]]),Table4[[#This Row],[Type]])</f>
        <v/>
      </c>
      <c r="H352">
        <v>1</v>
      </c>
      <c r="I352">
        <v>27</v>
      </c>
      <c r="L352" t="s">
        <v>20</v>
      </c>
    </row>
    <row r="353" spans="1:19" x14ac:dyDescent="0.25">
      <c r="A353" t="s">
        <v>779</v>
      </c>
      <c r="B353" t="s">
        <v>77</v>
      </c>
      <c r="C353" t="str">
        <f>IF(ISBLANK(Table4[[#This Row],[Region]]),Table4[[#This Row],[Node Type]],Table4[[#This Row],[Region]])</f>
        <v/>
      </c>
      <c r="E353" t="str">
        <f>IF(ISERROR(SEARCH("Node",Table4[[#This Row],[Type]])),IF(ISERROR(SEARCH("Iliac",Table4[[#This Row],[Type]])),"",Table4[[#This Row],[Type]]),Table4[[#This Row],[Type]])</f>
        <v/>
      </c>
      <c r="H353">
        <v>1</v>
      </c>
      <c r="I353">
        <v>27</v>
      </c>
      <c r="L353" t="s">
        <v>77</v>
      </c>
    </row>
    <row r="354" spans="1:19" x14ac:dyDescent="0.25">
      <c r="A354" t="s">
        <v>780</v>
      </c>
      <c r="B354" t="s">
        <v>77</v>
      </c>
      <c r="C354" t="str">
        <f>IF(ISBLANK(Table4[[#This Row],[Region]]),Table4[[#This Row],[Node Type]],Table4[[#This Row],[Region]])</f>
        <v/>
      </c>
      <c r="E354" t="str">
        <f>IF(ISERROR(SEARCH("Node",Table4[[#This Row],[Type]])),IF(ISERROR(SEARCH("Iliac",Table4[[#This Row],[Type]])),"",Table4[[#This Row],[Type]]),Table4[[#This Row],[Type]])</f>
        <v/>
      </c>
      <c r="H354">
        <v>2</v>
      </c>
      <c r="I354">
        <v>27</v>
      </c>
      <c r="L354" t="s">
        <v>77</v>
      </c>
    </row>
    <row r="355" spans="1:19" x14ac:dyDescent="0.25">
      <c r="A355" t="s">
        <v>782</v>
      </c>
      <c r="B355" t="s">
        <v>20</v>
      </c>
      <c r="C355" t="str">
        <f>IF(ISBLANK(Table4[[#This Row],[Region]]),Table4[[#This Row],[Node Type]],Table4[[#This Row],[Region]])</f>
        <v/>
      </c>
      <c r="E355" t="str">
        <f>IF(ISERROR(SEARCH("Node",Table4[[#This Row],[Type]])),IF(ISERROR(SEARCH("Iliac",Table4[[#This Row],[Type]])),"",Table4[[#This Row],[Type]]),Table4[[#This Row],[Type]])</f>
        <v/>
      </c>
      <c r="H355">
        <v>1</v>
      </c>
      <c r="I355">
        <v>27</v>
      </c>
      <c r="L355" t="s">
        <v>20</v>
      </c>
    </row>
    <row r="356" spans="1:19" x14ac:dyDescent="0.25">
      <c r="A356" t="s">
        <v>783</v>
      </c>
      <c r="B356" t="s">
        <v>77</v>
      </c>
      <c r="C356" t="str">
        <f>IF(ISBLANK(Table4[[#This Row],[Region]]),Table4[[#This Row],[Node Type]],Table4[[#This Row],[Region]])</f>
        <v/>
      </c>
      <c r="E356" t="str">
        <f>IF(ISERROR(SEARCH("Node",Table4[[#This Row],[Type]])),IF(ISERROR(SEARCH("Iliac",Table4[[#This Row],[Type]])),"",Table4[[#This Row],[Type]]),Table4[[#This Row],[Type]])</f>
        <v/>
      </c>
      <c r="H356">
        <v>1</v>
      </c>
      <c r="I356">
        <v>27</v>
      </c>
      <c r="L356" t="s">
        <v>77</v>
      </c>
    </row>
    <row r="357" spans="1:19" x14ac:dyDescent="0.25">
      <c r="A357" t="s">
        <v>784</v>
      </c>
      <c r="B357" t="s">
        <v>20</v>
      </c>
      <c r="C357" t="str">
        <f>IF(ISBLANK(Table4[[#This Row],[Region]]),Table4[[#This Row],[Node Type]],Table4[[#This Row],[Region]])</f>
        <v/>
      </c>
      <c r="E357" t="str">
        <f>IF(ISERROR(SEARCH("Node",Table4[[#This Row],[Type]])),IF(ISERROR(SEARCH("Iliac",Table4[[#This Row],[Type]])),"",Table4[[#This Row],[Type]]),Table4[[#This Row],[Type]])</f>
        <v/>
      </c>
      <c r="H357">
        <v>2</v>
      </c>
      <c r="I357">
        <v>27</v>
      </c>
      <c r="L357" t="s">
        <v>20</v>
      </c>
    </row>
    <row r="358" spans="1:19" x14ac:dyDescent="0.25">
      <c r="A358" t="s">
        <v>785</v>
      </c>
      <c r="B358" t="s">
        <v>77</v>
      </c>
      <c r="C358" t="str">
        <f>IF(ISBLANK(Table4[[#This Row],[Region]]),Table4[[#This Row],[Node Type]],Table4[[#This Row],[Region]])</f>
        <v/>
      </c>
      <c r="E358" t="str">
        <f>IF(ISERROR(SEARCH("Node",Table4[[#This Row],[Type]])),IF(ISERROR(SEARCH("Iliac",Table4[[#This Row],[Type]])),"",Table4[[#This Row],[Type]]),Table4[[#This Row],[Type]])</f>
        <v/>
      </c>
      <c r="H358">
        <v>2</v>
      </c>
      <c r="I358">
        <v>27</v>
      </c>
      <c r="L358" t="s">
        <v>77</v>
      </c>
    </row>
    <row r="359" spans="1:19" x14ac:dyDescent="0.25">
      <c r="A359" t="s">
        <v>786</v>
      </c>
      <c r="B359" t="s">
        <v>77</v>
      </c>
      <c r="C359" t="str">
        <f>IF(ISBLANK(Table4[[#This Row],[Region]]),Table4[[#This Row],[Node Type]],Table4[[#This Row],[Region]])</f>
        <v/>
      </c>
      <c r="E359" t="str">
        <f>IF(ISERROR(SEARCH("Node",Table4[[#This Row],[Type]])),IF(ISERROR(SEARCH("Iliac",Table4[[#This Row],[Type]])),"",Table4[[#This Row],[Type]]),Table4[[#This Row],[Type]])</f>
        <v/>
      </c>
      <c r="H359">
        <v>2</v>
      </c>
      <c r="I359">
        <v>24</v>
      </c>
      <c r="L359" t="s">
        <v>77</v>
      </c>
    </row>
    <row r="360" spans="1:19" x14ac:dyDescent="0.25">
      <c r="A360" t="s">
        <v>787</v>
      </c>
      <c r="B360" t="s">
        <v>20</v>
      </c>
      <c r="C360" t="str">
        <f>IF(ISBLANK(Table4[[#This Row],[Region]]),Table4[[#This Row],[Node Type]],Table4[[#This Row],[Region]])</f>
        <v/>
      </c>
      <c r="E360" t="str">
        <f>IF(ISERROR(SEARCH("Node",Table4[[#This Row],[Type]])),IF(ISERROR(SEARCH("Iliac",Table4[[#This Row],[Type]])),"",Table4[[#This Row],[Type]]),Table4[[#This Row],[Type]])</f>
        <v/>
      </c>
      <c r="H360">
        <v>1</v>
      </c>
      <c r="I360">
        <v>35</v>
      </c>
      <c r="L360" t="s">
        <v>20</v>
      </c>
    </row>
    <row r="361" spans="1:19" x14ac:dyDescent="0.25">
      <c r="A361" t="s">
        <v>789</v>
      </c>
      <c r="B361" t="s">
        <v>77</v>
      </c>
      <c r="C361" t="str">
        <f>IF(ISBLANK(Table4[[#This Row],[Region]]),Table4[[#This Row],[Node Type]],Table4[[#This Row],[Region]])</f>
        <v/>
      </c>
      <c r="E361" t="str">
        <f>IF(ISERROR(SEARCH("Node",Table4[[#This Row],[Type]])),IF(ISERROR(SEARCH("Iliac",Table4[[#This Row],[Type]])),"",Table4[[#This Row],[Type]]),Table4[[#This Row],[Type]])</f>
        <v/>
      </c>
      <c r="H361">
        <v>1</v>
      </c>
      <c r="I361">
        <v>35</v>
      </c>
      <c r="L361" t="s">
        <v>77</v>
      </c>
    </row>
    <row r="362" spans="1:19" x14ac:dyDescent="0.25">
      <c r="A362" t="s">
        <v>802</v>
      </c>
      <c r="B362" t="s">
        <v>77</v>
      </c>
      <c r="C362" t="str">
        <f>IF(ISBLANK(Table4[[#This Row],[Region]]),Table4[[#This Row],[Node Type]],Table4[[#This Row],[Region]])</f>
        <v/>
      </c>
      <c r="E362" t="str">
        <f>IF(ISERROR(SEARCH("Node",Table4[[#This Row],[Type]])),IF(ISERROR(SEARCH("Iliac",Table4[[#This Row],[Type]])),"",Table4[[#This Row],[Type]]),Table4[[#This Row],[Type]])</f>
        <v/>
      </c>
      <c r="I362">
        <v>60</v>
      </c>
      <c r="L362" t="s">
        <v>77</v>
      </c>
      <c r="P362" t="s">
        <v>85</v>
      </c>
    </row>
    <row r="363" spans="1:19" x14ac:dyDescent="0.25">
      <c r="A363" t="s">
        <v>805</v>
      </c>
      <c r="B363" t="s">
        <v>46</v>
      </c>
      <c r="C363" t="str">
        <f>IF(ISBLANK(Table4[[#This Row],[Region]]),Table4[[#This Row],[Node Type]],Table4[[#This Row],[Region]])</f>
        <v/>
      </c>
      <c r="E363" t="str">
        <f>IF(ISERROR(SEARCH("Node",Table4[[#This Row],[Type]])),IF(ISERROR(SEARCH("Iliac",Table4[[#This Row],[Type]])),"",Table4[[#This Row],[Type]]),Table4[[#This Row],[Type]])</f>
        <v/>
      </c>
      <c r="I363">
        <v>54</v>
      </c>
      <c r="L363" t="s">
        <v>46</v>
      </c>
      <c r="N363" t="s">
        <v>108</v>
      </c>
    </row>
    <row r="364" spans="1:19" x14ac:dyDescent="0.25">
      <c r="A364" t="s">
        <v>806</v>
      </c>
      <c r="B364" t="s">
        <v>77</v>
      </c>
      <c r="C364" t="str">
        <f>IF(ISBLANK(Table4[[#This Row],[Region]]),Table4[[#This Row],[Node Type]],Table4[[#This Row],[Region]])</f>
        <v/>
      </c>
      <c r="E364" t="str">
        <f>IF(ISERROR(SEARCH("Node",Table4[[#This Row],[Type]])),IF(ISERROR(SEARCH("Iliac",Table4[[#This Row],[Type]])),"",Table4[[#This Row],[Type]]),Table4[[#This Row],[Type]])</f>
        <v/>
      </c>
      <c r="I364">
        <v>54</v>
      </c>
      <c r="L364" t="s">
        <v>77</v>
      </c>
      <c r="N364" t="s">
        <v>108</v>
      </c>
    </row>
    <row r="365" spans="1:19" x14ac:dyDescent="0.25">
      <c r="A365" t="s">
        <v>809</v>
      </c>
      <c r="B365" t="s">
        <v>87</v>
      </c>
      <c r="C365" t="str">
        <f>IF(ISBLANK(Table4[[#This Row],[Region]]),Table4[[#This Row],[Node Type]],Table4[[#This Row],[Region]])</f>
        <v/>
      </c>
      <c r="E365" t="str">
        <f>IF(ISERROR(SEARCH("Node",Table4[[#This Row],[Type]])),IF(ISERROR(SEARCH("Iliac",Table4[[#This Row],[Type]])),"",Table4[[#This Row],[Type]]),Table4[[#This Row],[Type]])</f>
        <v/>
      </c>
      <c r="H365">
        <v>1</v>
      </c>
      <c r="L365" t="s">
        <v>77</v>
      </c>
      <c r="R365" t="s">
        <v>215</v>
      </c>
      <c r="S365">
        <v>20</v>
      </c>
    </row>
    <row r="366" spans="1:19" x14ac:dyDescent="0.25">
      <c r="A366" t="s">
        <v>810</v>
      </c>
      <c r="B366" t="s">
        <v>46</v>
      </c>
      <c r="C366" t="str">
        <f>IF(ISBLANK(Table4[[#This Row],[Region]]),Table4[[#This Row],[Node Type]],Table4[[#This Row],[Region]])</f>
        <v/>
      </c>
      <c r="E366" t="str">
        <f>IF(ISERROR(SEARCH("Node",Table4[[#This Row],[Type]])),IF(ISERROR(SEARCH("Iliac",Table4[[#This Row],[Type]])),"",Table4[[#This Row],[Type]]),Table4[[#This Row],[Type]])</f>
        <v/>
      </c>
      <c r="H366">
        <v>1</v>
      </c>
      <c r="L366" t="s">
        <v>45</v>
      </c>
    </row>
    <row r="367" spans="1:19" x14ac:dyDescent="0.25">
      <c r="A367" t="s">
        <v>811</v>
      </c>
      <c r="B367" t="s">
        <v>20</v>
      </c>
      <c r="C367" t="str">
        <f>IF(ISBLANK(Table4[[#This Row],[Region]]),Table4[[#This Row],[Node Type]],Table4[[#This Row],[Region]])</f>
        <v/>
      </c>
      <c r="E367" t="str">
        <f>IF(ISERROR(SEARCH("Node",Table4[[#This Row],[Type]])),IF(ISERROR(SEARCH("Iliac",Table4[[#This Row],[Type]])),"",Table4[[#This Row],[Type]]),Table4[[#This Row],[Type]])</f>
        <v/>
      </c>
      <c r="H367">
        <v>1</v>
      </c>
      <c r="J367" t="s">
        <v>43</v>
      </c>
      <c r="L367" t="s">
        <v>20</v>
      </c>
    </row>
    <row r="368" spans="1:19" x14ac:dyDescent="0.25">
      <c r="A368" t="s">
        <v>812</v>
      </c>
      <c r="B368" t="s">
        <v>20</v>
      </c>
      <c r="C368" t="str">
        <f>IF(ISBLANK(Table4[[#This Row],[Region]]),Table4[[#This Row],[Node Type]],Table4[[#This Row],[Region]])</f>
        <v/>
      </c>
      <c r="E368" t="str">
        <f>IF(ISERROR(SEARCH("Node",Table4[[#This Row],[Type]])),IF(ISERROR(SEARCH("Iliac",Table4[[#This Row],[Type]])),"",Table4[[#This Row],[Type]]),Table4[[#This Row],[Type]])</f>
        <v/>
      </c>
      <c r="H368">
        <v>1</v>
      </c>
      <c r="J368" t="s">
        <v>41</v>
      </c>
      <c r="L368" t="s">
        <v>20</v>
      </c>
    </row>
    <row r="369" spans="1:19" x14ac:dyDescent="0.25">
      <c r="A369" t="s">
        <v>813</v>
      </c>
      <c r="B369" t="s">
        <v>20</v>
      </c>
      <c r="C369" t="str">
        <f>IF(ISBLANK(Table4[[#This Row],[Region]]),Table4[[#This Row],[Node Type]],Table4[[#This Row],[Region]])</f>
        <v/>
      </c>
      <c r="E369" t="str">
        <f>IF(ISERROR(SEARCH("Node",Table4[[#This Row],[Type]])),IF(ISERROR(SEARCH("Iliac",Table4[[#This Row],[Type]])),"",Table4[[#This Row],[Type]]),Table4[[#This Row],[Type]])</f>
        <v/>
      </c>
      <c r="H369">
        <v>1</v>
      </c>
      <c r="L369" t="s">
        <v>20</v>
      </c>
    </row>
    <row r="370" spans="1:19" x14ac:dyDescent="0.25">
      <c r="A370" t="s">
        <v>814</v>
      </c>
      <c r="B370" t="s">
        <v>20</v>
      </c>
      <c r="C370" t="str">
        <f>IF(ISBLANK(Table4[[#This Row],[Region]]),Table4[[#This Row],[Node Type]],Table4[[#This Row],[Region]])</f>
        <v/>
      </c>
      <c r="E370" t="str">
        <f>IF(ISERROR(SEARCH("Node",Table4[[#This Row],[Type]])),IF(ISERROR(SEARCH("Iliac",Table4[[#This Row],[Type]])),"",Table4[[#This Row],[Type]]),Table4[[#This Row],[Type]])</f>
        <v/>
      </c>
      <c r="H370">
        <v>1</v>
      </c>
      <c r="L370" t="s">
        <v>20</v>
      </c>
    </row>
    <row r="371" spans="1:19" x14ac:dyDescent="0.25">
      <c r="A371" t="s">
        <v>817</v>
      </c>
      <c r="B371" t="s">
        <v>20</v>
      </c>
      <c r="C371" t="str">
        <f>IF(ISBLANK(Table4[[#This Row],[Region]]),Table4[[#This Row],[Node Type]],Table4[[#This Row],[Region]])</f>
        <v/>
      </c>
      <c r="E371" t="str">
        <f>IF(ISERROR(SEARCH("Node",Table4[[#This Row],[Type]])),IF(ISERROR(SEARCH("Iliac",Table4[[#This Row],[Type]])),"",Table4[[#This Row],[Type]]),Table4[[#This Row],[Type]])</f>
        <v/>
      </c>
      <c r="H371">
        <v>2</v>
      </c>
      <c r="J371" t="s">
        <v>41</v>
      </c>
      <c r="L371" t="s">
        <v>20</v>
      </c>
    </row>
    <row r="372" spans="1:19" x14ac:dyDescent="0.25">
      <c r="A372" t="s">
        <v>818</v>
      </c>
      <c r="B372" t="s">
        <v>20</v>
      </c>
      <c r="C372" t="str">
        <f>IF(ISBLANK(Table4[[#This Row],[Region]]),Table4[[#This Row],[Node Type]],Table4[[#This Row],[Region]])</f>
        <v/>
      </c>
      <c r="E372" t="str">
        <f>IF(ISERROR(SEARCH("Node",Table4[[#This Row],[Type]])),IF(ISERROR(SEARCH("Iliac",Table4[[#This Row],[Type]])),"",Table4[[#This Row],[Type]]),Table4[[#This Row],[Type]])</f>
        <v/>
      </c>
      <c r="H372">
        <v>2</v>
      </c>
      <c r="J372" t="s">
        <v>43</v>
      </c>
      <c r="L372" t="s">
        <v>20</v>
      </c>
    </row>
    <row r="373" spans="1:19" x14ac:dyDescent="0.25">
      <c r="A373" t="s">
        <v>819</v>
      </c>
      <c r="B373" t="s">
        <v>20</v>
      </c>
      <c r="C373" t="str">
        <f>IF(ISBLANK(Table4[[#This Row],[Region]]),Table4[[#This Row],[Node Type]],Table4[[#This Row],[Region]])</f>
        <v/>
      </c>
      <c r="E373" t="str">
        <f>IF(ISERROR(SEARCH("Node",Table4[[#This Row],[Type]])),IF(ISERROR(SEARCH("Iliac",Table4[[#This Row],[Type]])),"",Table4[[#This Row],[Type]]),Table4[[#This Row],[Type]])</f>
        <v/>
      </c>
      <c r="H373">
        <v>2</v>
      </c>
      <c r="L373" t="s">
        <v>20</v>
      </c>
    </row>
    <row r="374" spans="1:19" x14ac:dyDescent="0.25">
      <c r="A374" t="s">
        <v>820</v>
      </c>
      <c r="B374" t="s">
        <v>20</v>
      </c>
      <c r="C374" t="str">
        <f>IF(ISBLANK(Table4[[#This Row],[Region]]),Table4[[#This Row],[Node Type]],Table4[[#This Row],[Region]])</f>
        <v/>
      </c>
      <c r="E374" t="str">
        <f>IF(ISERROR(SEARCH("Node",Table4[[#This Row],[Type]])),IF(ISERROR(SEARCH("Iliac",Table4[[#This Row],[Type]])),"",Table4[[#This Row],[Type]]),Table4[[#This Row],[Type]])</f>
        <v/>
      </c>
      <c r="H374">
        <v>2</v>
      </c>
      <c r="L374" t="s">
        <v>20</v>
      </c>
    </row>
    <row r="375" spans="1:19" x14ac:dyDescent="0.25">
      <c r="A375" t="s">
        <v>821</v>
      </c>
      <c r="B375" t="s">
        <v>20</v>
      </c>
      <c r="C375" t="str">
        <f>IF(ISBLANK(Table4[[#This Row],[Region]]),Table4[[#This Row],[Node Type]],Table4[[#This Row],[Region]])</f>
        <v/>
      </c>
      <c r="E375" t="str">
        <f>IF(ISERROR(SEARCH("Node",Table4[[#This Row],[Type]])),IF(ISERROR(SEARCH("Iliac",Table4[[#This Row],[Type]])),"",Table4[[#This Row],[Type]]),Table4[[#This Row],[Type]])</f>
        <v/>
      </c>
      <c r="H375">
        <v>2</v>
      </c>
      <c r="L375" t="s">
        <v>44</v>
      </c>
    </row>
    <row r="376" spans="1:19" x14ac:dyDescent="0.25">
      <c r="A376" t="s">
        <v>822</v>
      </c>
      <c r="B376" t="s">
        <v>46</v>
      </c>
      <c r="C376" t="str">
        <f>IF(ISBLANK(Table4[[#This Row],[Region]]),Table4[[#This Row],[Node Type]],Table4[[#This Row],[Region]])</f>
        <v/>
      </c>
      <c r="E376" t="str">
        <f>IF(ISERROR(SEARCH("Node",Table4[[#This Row],[Type]])),IF(ISERROR(SEARCH("Iliac",Table4[[#This Row],[Type]])),"",Table4[[#This Row],[Type]]),Table4[[#This Row],[Type]])</f>
        <v/>
      </c>
      <c r="H376">
        <v>2</v>
      </c>
      <c r="L376" t="s">
        <v>45</v>
      </c>
    </row>
    <row r="377" spans="1:19" x14ac:dyDescent="0.25">
      <c r="A377" t="s">
        <v>823</v>
      </c>
      <c r="B377" t="s">
        <v>77</v>
      </c>
      <c r="C377" t="str">
        <f>IF(ISBLANK(Table4[[#This Row],[Region]]),Table4[[#This Row],[Node Type]],Table4[[#This Row],[Region]])</f>
        <v/>
      </c>
      <c r="E377" t="str">
        <f>IF(ISERROR(SEARCH("Node",Table4[[#This Row],[Type]])),IF(ISERROR(SEARCH("Iliac",Table4[[#This Row],[Type]])),"",Table4[[#This Row],[Type]]),Table4[[#This Row],[Type]])</f>
        <v/>
      </c>
      <c r="H377">
        <v>2</v>
      </c>
      <c r="L377" t="s">
        <v>77</v>
      </c>
    </row>
    <row r="378" spans="1:19" x14ac:dyDescent="0.25">
      <c r="A378" t="s">
        <v>824</v>
      </c>
      <c r="B378" t="s">
        <v>87</v>
      </c>
      <c r="C378" t="str">
        <f>IF(ISBLANK(Table4[[#This Row],[Region]]),Table4[[#This Row],[Node Type]],Table4[[#This Row],[Region]])</f>
        <v/>
      </c>
      <c r="E378" t="str">
        <f>IF(ISERROR(SEARCH("Node",Table4[[#This Row],[Type]])),IF(ISERROR(SEARCH("Iliac",Table4[[#This Row],[Type]])),"",Table4[[#This Row],[Type]]),Table4[[#This Row],[Type]])</f>
        <v/>
      </c>
      <c r="H378">
        <v>2</v>
      </c>
      <c r="L378" t="s">
        <v>77</v>
      </c>
      <c r="R378" t="s">
        <v>215</v>
      </c>
      <c r="S378">
        <v>20</v>
      </c>
    </row>
    <row r="379" spans="1:19" x14ac:dyDescent="0.25">
      <c r="A379" t="s">
        <v>838</v>
      </c>
      <c r="B379" t="s">
        <v>77</v>
      </c>
      <c r="C379" t="str">
        <f>IF(ISBLANK(Table4[[#This Row],[Region]]),Table4[[#This Row],[Node Type]],Table4[[#This Row],[Region]])</f>
        <v/>
      </c>
      <c r="E379" t="str">
        <f>IF(ISERROR(SEARCH("Node",Table4[[#This Row],[Type]])),IF(ISERROR(SEARCH("Iliac",Table4[[#This Row],[Type]])),"",Table4[[#This Row],[Type]]),Table4[[#This Row],[Type]])</f>
        <v/>
      </c>
      <c r="L379" t="s">
        <v>77</v>
      </c>
      <c r="M379" t="s">
        <v>249</v>
      </c>
    </row>
    <row r="380" spans="1:19" x14ac:dyDescent="0.25">
      <c r="A380" t="s">
        <v>842</v>
      </c>
      <c r="B380" t="s">
        <v>173</v>
      </c>
      <c r="C380" t="str">
        <f>IF(ISBLANK(Table4[[#This Row],[Region]]),Table4[[#This Row],[Node Type]],Table4[[#This Row],[Region]])</f>
        <v/>
      </c>
      <c r="E380" t="str">
        <f>IF(ISERROR(SEARCH("Node",Table4[[#This Row],[Type]])),IF(ISERROR(SEARCH("Iliac",Table4[[#This Row],[Type]])),"",Table4[[#This Row],[Type]]),Table4[[#This Row],[Type]])</f>
        <v/>
      </c>
      <c r="J380" t="s">
        <v>83</v>
      </c>
      <c r="L380" t="s">
        <v>77</v>
      </c>
    </row>
    <row r="381" spans="1:19" x14ac:dyDescent="0.25">
      <c r="A381" t="s">
        <v>848</v>
      </c>
      <c r="B381" t="s">
        <v>77</v>
      </c>
      <c r="C381" t="str">
        <f>IF(ISBLANK(Table4[[#This Row],[Region]]),Table4[[#This Row],[Node Type]],Table4[[#This Row],[Region]])</f>
        <v/>
      </c>
      <c r="E381" t="str">
        <f>IF(ISERROR(SEARCH("Node",Table4[[#This Row],[Type]])),IF(ISERROR(SEARCH("Iliac",Table4[[#This Row],[Type]])),"",Table4[[#This Row],[Type]]),Table4[[#This Row],[Type]])</f>
        <v/>
      </c>
      <c r="H381">
        <v>2</v>
      </c>
      <c r="I381">
        <v>35</v>
      </c>
      <c r="L381" t="s">
        <v>77</v>
      </c>
    </row>
    <row r="382" spans="1:19" x14ac:dyDescent="0.25">
      <c r="A382" t="s">
        <v>849</v>
      </c>
      <c r="B382" t="s">
        <v>77</v>
      </c>
      <c r="C382" t="str">
        <f>IF(ISBLANK(Table4[[#This Row],[Region]]),Table4[[#This Row],[Node Type]],Table4[[#This Row],[Region]])</f>
        <v/>
      </c>
      <c r="E382" t="str">
        <f>IF(ISERROR(SEARCH("Node",Table4[[#This Row],[Type]])),IF(ISERROR(SEARCH("Iliac",Table4[[#This Row],[Type]])),"",Table4[[#This Row],[Type]]),Table4[[#This Row],[Type]])</f>
        <v/>
      </c>
      <c r="J382" t="s">
        <v>850</v>
      </c>
      <c r="L382" t="s">
        <v>77</v>
      </c>
      <c r="P382" t="s">
        <v>85</v>
      </c>
    </row>
    <row r="383" spans="1:19" x14ac:dyDescent="0.25">
      <c r="A383" t="s">
        <v>852</v>
      </c>
      <c r="B383" t="s">
        <v>77</v>
      </c>
      <c r="C383" t="str">
        <f>IF(ISBLANK(Table4[[#This Row],[Region]]),Table4[[#This Row],[Node Type]],Table4[[#This Row],[Region]])</f>
        <v/>
      </c>
      <c r="E383" t="str">
        <f>IF(ISERROR(SEARCH("Node",Table4[[#This Row],[Type]])),IF(ISERROR(SEARCH("Iliac",Table4[[#This Row],[Type]])),"",Table4[[#This Row],[Type]]),Table4[[#This Row],[Type]])</f>
        <v/>
      </c>
      <c r="L383" t="s">
        <v>77</v>
      </c>
      <c r="M383" t="s">
        <v>249</v>
      </c>
    </row>
    <row r="384" spans="1:19" x14ac:dyDescent="0.25">
      <c r="A384" t="s">
        <v>842</v>
      </c>
      <c r="B384" t="s">
        <v>77</v>
      </c>
      <c r="C384" t="str">
        <f>IF(ISBLANK(Table4[[#This Row],[Region]]),Table4[[#This Row],[Node Type]],Table4[[#This Row],[Region]])</f>
        <v/>
      </c>
      <c r="E384" t="str">
        <f>IF(ISERROR(SEARCH("Node",Table4[[#This Row],[Type]])),IF(ISERROR(SEARCH("Iliac",Table4[[#This Row],[Type]])),"",Table4[[#This Row],[Type]]),Table4[[#This Row],[Type]])</f>
        <v/>
      </c>
      <c r="J384" t="s">
        <v>83</v>
      </c>
      <c r="L384" t="s">
        <v>77</v>
      </c>
    </row>
    <row r="385" spans="1:17" x14ac:dyDescent="0.25">
      <c r="A385" t="s">
        <v>857</v>
      </c>
      <c r="B385" t="s">
        <v>48</v>
      </c>
      <c r="C385" t="str">
        <f>IF(ISBLANK(Table4[[#This Row],[Region]]),Table4[[#This Row],[Node Type]],Table4[[#This Row],[Region]])</f>
        <v/>
      </c>
      <c r="E385" t="str">
        <f>IF(ISERROR(SEARCH("Node",Table4[[#This Row],[Type]])),IF(ISERROR(SEARCH("Iliac",Table4[[#This Row],[Type]])),"",Table4[[#This Row],[Type]]),Table4[[#This Row],[Type]])</f>
        <v/>
      </c>
      <c r="J385" t="s">
        <v>859</v>
      </c>
      <c r="L385" t="s">
        <v>46</v>
      </c>
      <c r="M385" t="s">
        <v>858</v>
      </c>
    </row>
    <row r="386" spans="1:17" x14ac:dyDescent="0.25">
      <c r="A386" t="s">
        <v>860</v>
      </c>
      <c r="B386" t="s">
        <v>77</v>
      </c>
      <c r="C386" t="str">
        <f>IF(ISBLANK(Table4[[#This Row],[Region]]),Table4[[#This Row],[Node Type]],Table4[[#This Row],[Region]])</f>
        <v/>
      </c>
      <c r="E386" t="str">
        <f>IF(ISERROR(SEARCH("Node",Table4[[#This Row],[Type]])),IF(ISERROR(SEARCH("Iliac",Table4[[#This Row],[Type]])),"",Table4[[#This Row],[Type]]),Table4[[#This Row],[Type]])</f>
        <v/>
      </c>
      <c r="J386" t="s">
        <v>859</v>
      </c>
      <c r="L386" t="s">
        <v>77</v>
      </c>
      <c r="M386" t="s">
        <v>858</v>
      </c>
    </row>
    <row r="387" spans="1:17" x14ac:dyDescent="0.25">
      <c r="A387" t="s">
        <v>867</v>
      </c>
      <c r="B387" t="s">
        <v>77</v>
      </c>
      <c r="C387" t="str">
        <f>IF(ISBLANK(Table4[[#This Row],[Region]]),Table4[[#This Row],[Node Type]],Table4[[#This Row],[Region]])</f>
        <v/>
      </c>
      <c r="E387" t="str">
        <f>IF(ISERROR(SEARCH("Node",Table4[[#This Row],[Type]])),IF(ISERROR(SEARCH("Iliac",Table4[[#This Row],[Type]])),"",Table4[[#This Row],[Type]]),Table4[[#This Row],[Type]])</f>
        <v/>
      </c>
      <c r="I387">
        <v>24</v>
      </c>
      <c r="L387" t="s">
        <v>77</v>
      </c>
    </row>
    <row r="388" spans="1:17" x14ac:dyDescent="0.25">
      <c r="A388" t="s">
        <v>872</v>
      </c>
      <c r="B388" t="s">
        <v>77</v>
      </c>
      <c r="C388" t="str">
        <f>IF(ISBLANK(Table4[[#This Row],[Region]]),Table4[[#This Row],[Node Type]],Table4[[#This Row],[Region]])</f>
        <v/>
      </c>
      <c r="E388" t="str">
        <f>IF(ISERROR(SEARCH("Node",Table4[[#This Row],[Type]])),IF(ISERROR(SEARCH("Iliac",Table4[[#This Row],[Type]])),"",Table4[[#This Row],[Type]]),Table4[[#This Row],[Type]])</f>
        <v/>
      </c>
      <c r="L388" t="s">
        <v>77</v>
      </c>
      <c r="N388" t="s">
        <v>873</v>
      </c>
    </row>
    <row r="389" spans="1:17" x14ac:dyDescent="0.25">
      <c r="A389" t="s">
        <v>874</v>
      </c>
      <c r="B389" t="s">
        <v>77</v>
      </c>
      <c r="C389" t="str">
        <f>IF(ISBLANK(Table4[[#This Row],[Region]]),Table4[[#This Row],[Node Type]],Table4[[#This Row],[Region]])</f>
        <v/>
      </c>
      <c r="E389" t="str">
        <f>IF(ISERROR(SEARCH("Node",Table4[[#This Row],[Type]])),IF(ISERROR(SEARCH("Iliac",Table4[[#This Row],[Type]])),"",Table4[[#This Row],[Type]]),Table4[[#This Row],[Type]])</f>
        <v/>
      </c>
      <c r="L389" t="s">
        <v>77</v>
      </c>
      <c r="N389" t="s">
        <v>873</v>
      </c>
      <c r="P389" t="s">
        <v>85</v>
      </c>
    </row>
    <row r="390" spans="1:17" x14ac:dyDescent="0.25">
      <c r="A390" t="s">
        <v>875</v>
      </c>
      <c r="B390" t="s">
        <v>46</v>
      </c>
      <c r="C390" t="str">
        <f>IF(ISBLANK(Table4[[#This Row],[Region]]),Table4[[#This Row],[Node Type]],Table4[[#This Row],[Region]])</f>
        <v/>
      </c>
      <c r="E390" t="str">
        <f>IF(ISERROR(SEARCH("Node",Table4[[#This Row],[Type]])),IF(ISERROR(SEARCH("Iliac",Table4[[#This Row],[Type]])),"",Table4[[#This Row],[Type]]),Table4[[#This Row],[Type]])</f>
        <v/>
      </c>
      <c r="L390" t="s">
        <v>45</v>
      </c>
      <c r="N390" t="s">
        <v>873</v>
      </c>
    </row>
    <row r="391" spans="1:17" x14ac:dyDescent="0.25">
      <c r="A391" t="s">
        <v>876</v>
      </c>
      <c r="B391" t="s">
        <v>20</v>
      </c>
      <c r="C391" t="str">
        <f>IF(ISBLANK(Table4[[#This Row],[Region]]),Table4[[#This Row],[Node Type]],Table4[[#This Row],[Region]])</f>
        <v/>
      </c>
      <c r="E391" t="str">
        <f>IF(ISERROR(SEARCH("Node",Table4[[#This Row],[Type]])),IF(ISERROR(SEARCH("Iliac",Table4[[#This Row],[Type]])),"",Table4[[#This Row],[Type]]),Table4[[#This Row],[Type]])</f>
        <v/>
      </c>
      <c r="L391" t="s">
        <v>44</v>
      </c>
      <c r="N391" t="s">
        <v>873</v>
      </c>
    </row>
    <row r="392" spans="1:17" x14ac:dyDescent="0.25">
      <c r="A392" t="s">
        <v>877</v>
      </c>
      <c r="B392" t="s">
        <v>77</v>
      </c>
      <c r="C392" t="str">
        <f>IF(ISBLANK(Table4[[#This Row],[Region]]),Table4[[#This Row],[Node Type]],Table4[[#This Row],[Region]])</f>
        <v/>
      </c>
      <c r="E392" t="str">
        <f>IF(ISERROR(SEARCH("Node",Table4[[#This Row],[Type]])),IF(ISERROR(SEARCH("Iliac",Table4[[#This Row],[Type]])),"",Table4[[#This Row],[Type]]),Table4[[#This Row],[Type]])</f>
        <v/>
      </c>
      <c r="L392" t="s">
        <v>77</v>
      </c>
      <c r="N392" t="s">
        <v>878</v>
      </c>
      <c r="P392" t="s">
        <v>85</v>
      </c>
    </row>
    <row r="393" spans="1:17" x14ac:dyDescent="0.25">
      <c r="A393" t="s">
        <v>879</v>
      </c>
      <c r="B393" t="s">
        <v>20</v>
      </c>
      <c r="C393" t="str">
        <f>IF(ISBLANK(Table4[[#This Row],[Region]]),Table4[[#This Row],[Node Type]],Table4[[#This Row],[Region]])</f>
        <v/>
      </c>
      <c r="E393" t="str">
        <f>IF(ISERROR(SEARCH("Node",Table4[[#This Row],[Type]])),IF(ISERROR(SEARCH("Iliac",Table4[[#This Row],[Type]])),"",Table4[[#This Row],[Type]]),Table4[[#This Row],[Type]])</f>
        <v/>
      </c>
      <c r="L393" t="s">
        <v>44</v>
      </c>
      <c r="N393" t="s">
        <v>878</v>
      </c>
    </row>
    <row r="394" spans="1:17" x14ac:dyDescent="0.25">
      <c r="A394" t="s">
        <v>880</v>
      </c>
      <c r="B394" t="s">
        <v>46</v>
      </c>
      <c r="C394" t="str">
        <f>IF(ISBLANK(Table4[[#This Row],[Region]]),Table4[[#This Row],[Node Type]],Table4[[#This Row],[Region]])</f>
        <v/>
      </c>
      <c r="E394" t="str">
        <f>IF(ISERROR(SEARCH("Node",Table4[[#This Row],[Type]])),IF(ISERROR(SEARCH("Iliac",Table4[[#This Row],[Type]])),"",Table4[[#This Row],[Type]]),Table4[[#This Row],[Type]])</f>
        <v/>
      </c>
      <c r="L394" t="s">
        <v>45</v>
      </c>
      <c r="N394" t="s">
        <v>878</v>
      </c>
    </row>
    <row r="395" spans="1:17" x14ac:dyDescent="0.25">
      <c r="A395" t="s">
        <v>881</v>
      </c>
      <c r="B395" t="s">
        <v>77</v>
      </c>
      <c r="C395" t="str">
        <f>IF(ISBLANK(Table4[[#This Row],[Region]]),Table4[[#This Row],[Node Type]],Table4[[#This Row],[Region]])</f>
        <v/>
      </c>
      <c r="E395" t="str">
        <f>IF(ISERROR(SEARCH("Node",Table4[[#This Row],[Type]])),IF(ISERROR(SEARCH("Iliac",Table4[[#This Row],[Type]])),"",Table4[[#This Row],[Type]]),Table4[[#This Row],[Type]])</f>
        <v/>
      </c>
      <c r="L395" t="s">
        <v>77</v>
      </c>
      <c r="N395" t="s">
        <v>878</v>
      </c>
    </row>
    <row r="396" spans="1:17" x14ac:dyDescent="0.25">
      <c r="A396" t="s">
        <v>133</v>
      </c>
      <c r="B396" t="s">
        <v>884</v>
      </c>
      <c r="C396" t="str">
        <f>IF(ISBLANK(Table4[[#This Row],[Region]]),Table4[[#This Row],[Node Type]],Table4[[#This Row],[Region]])</f>
        <v>IMC</v>
      </c>
      <c r="D396" t="s">
        <v>134</v>
      </c>
      <c r="E396" t="str">
        <f>IF(ISERROR(SEARCH("Node",Table4[[#This Row],[Type]])),IF(ISERROR(SEARCH("Iliac",Table4[[#This Row],[Type]])),"",Table4[[#This Row],[Type]]),Table4[[#This Row],[Type]])</f>
        <v>Nodes</v>
      </c>
      <c r="L396" t="s">
        <v>48</v>
      </c>
    </row>
    <row r="397" spans="1:17" x14ac:dyDescent="0.25">
      <c r="A397" t="s">
        <v>885</v>
      </c>
      <c r="B397" t="s">
        <v>77</v>
      </c>
      <c r="C397" t="str">
        <f>IF(ISBLANK(Table4[[#This Row],[Region]]),Table4[[#This Row],[Node Type]],Table4[[#This Row],[Region]])</f>
        <v/>
      </c>
      <c r="E397" t="str">
        <f>IF(ISERROR(SEARCH("Node",Table4[[#This Row],[Type]])),IF(ISERROR(SEARCH("Iliac",Table4[[#This Row],[Type]])),"",Table4[[#This Row],[Type]]),Table4[[#This Row],[Type]])</f>
        <v/>
      </c>
      <c r="J397" t="s">
        <v>83</v>
      </c>
      <c r="L397" t="s">
        <v>77</v>
      </c>
      <c r="O397" t="s">
        <v>294</v>
      </c>
    </row>
    <row r="398" spans="1:17" x14ac:dyDescent="0.25">
      <c r="A398" t="s">
        <v>887</v>
      </c>
      <c r="B398" t="s">
        <v>46</v>
      </c>
      <c r="C398" t="str">
        <f>IF(ISBLANK(Table4[[#This Row],[Region]]),Table4[[#This Row],[Node Type]],Table4[[#This Row],[Region]])</f>
        <v/>
      </c>
      <c r="E398" t="str">
        <f>IF(ISERROR(SEARCH("Node",Table4[[#This Row],[Type]])),IF(ISERROR(SEARCH("Iliac",Table4[[#This Row],[Type]])),"",Table4[[#This Row],[Type]]),Table4[[#This Row],[Type]])</f>
        <v/>
      </c>
      <c r="I398">
        <v>63</v>
      </c>
      <c r="L398" t="s">
        <v>46</v>
      </c>
    </row>
    <row r="399" spans="1:17" x14ac:dyDescent="0.25">
      <c r="A399" t="s">
        <v>888</v>
      </c>
      <c r="B399" t="s">
        <v>48</v>
      </c>
      <c r="C399" t="str">
        <f>IF(ISBLANK(Table4[[#This Row],[Region]]),Table4[[#This Row],[Node Type]],Table4[[#This Row],[Region]])</f>
        <v/>
      </c>
      <c r="E399" t="str">
        <f>IF(ISERROR(SEARCH("Node",Table4[[#This Row],[Type]])),IF(ISERROR(SEARCH("Iliac",Table4[[#This Row],[Type]])),"",Table4[[#This Row],[Type]]),Table4[[#This Row],[Type]])</f>
        <v/>
      </c>
      <c r="L399" t="s">
        <v>20</v>
      </c>
      <c r="M399" t="s">
        <v>79</v>
      </c>
      <c r="Q399" t="s">
        <v>889</v>
      </c>
    </row>
    <row r="400" spans="1:17" x14ac:dyDescent="0.25">
      <c r="A400" t="s">
        <v>890</v>
      </c>
      <c r="B400" t="s">
        <v>20</v>
      </c>
      <c r="C400" t="str">
        <f>IF(ISBLANK(Table4[[#This Row],[Region]]),Table4[[#This Row],[Node Type]],Table4[[#This Row],[Region]])</f>
        <v/>
      </c>
      <c r="E400" t="str">
        <f>IF(ISERROR(SEARCH("Node",Table4[[#This Row],[Type]])),IF(ISERROR(SEARCH("Iliac",Table4[[#This Row],[Type]])),"",Table4[[#This Row],[Type]]),Table4[[#This Row],[Type]])</f>
        <v/>
      </c>
      <c r="L400" t="s">
        <v>20</v>
      </c>
      <c r="M400" t="s">
        <v>235</v>
      </c>
    </row>
    <row r="401" spans="1:16" x14ac:dyDescent="0.25">
      <c r="A401" t="s">
        <v>892</v>
      </c>
      <c r="B401" t="s">
        <v>77</v>
      </c>
      <c r="C401" t="str">
        <f>IF(ISBLANK(Table4[[#This Row],[Region]]),Table4[[#This Row],[Node Type]],Table4[[#This Row],[Region]])</f>
        <v/>
      </c>
      <c r="E401" t="str">
        <f>IF(ISERROR(SEARCH("Node",Table4[[#This Row],[Type]])),IF(ISERROR(SEARCH("Iliac",Table4[[#This Row],[Type]])),"",Table4[[#This Row],[Type]]),Table4[[#This Row],[Type]])</f>
        <v/>
      </c>
      <c r="I401">
        <v>63</v>
      </c>
      <c r="L401" t="s">
        <v>77</v>
      </c>
      <c r="N401" t="s">
        <v>106</v>
      </c>
      <c r="O401" t="s">
        <v>290</v>
      </c>
      <c r="P401" t="s">
        <v>85</v>
      </c>
    </row>
    <row r="402" spans="1:16" x14ac:dyDescent="0.25">
      <c r="A402" t="s">
        <v>893</v>
      </c>
      <c r="B402" t="s">
        <v>77</v>
      </c>
      <c r="C402" t="str">
        <f>IF(ISBLANK(Table4[[#This Row],[Region]]),Table4[[#This Row],[Node Type]],Table4[[#This Row],[Region]])</f>
        <v/>
      </c>
      <c r="E402" t="str">
        <f>IF(ISERROR(SEARCH("Node",Table4[[#This Row],[Type]])),IF(ISERROR(SEARCH("Iliac",Table4[[#This Row],[Type]])),"",Table4[[#This Row],[Type]]),Table4[[#This Row],[Type]])</f>
        <v/>
      </c>
      <c r="I402">
        <v>63</v>
      </c>
      <c r="L402" t="s">
        <v>77</v>
      </c>
      <c r="N402" t="s">
        <v>106</v>
      </c>
      <c r="O402" t="s">
        <v>292</v>
      </c>
      <c r="P402" t="s">
        <v>85</v>
      </c>
    </row>
    <row r="403" spans="1:16" x14ac:dyDescent="0.25">
      <c r="A403" t="s">
        <v>894</v>
      </c>
      <c r="B403" t="s">
        <v>77</v>
      </c>
      <c r="C403" t="str">
        <f>IF(ISBLANK(Table4[[#This Row],[Region]]),Table4[[#This Row],[Node Type]],Table4[[#This Row],[Region]])</f>
        <v/>
      </c>
      <c r="E403" t="str">
        <f>IF(ISERROR(SEARCH("Node",Table4[[#This Row],[Type]])),IF(ISERROR(SEARCH("Iliac",Table4[[#This Row],[Type]])),"",Table4[[#This Row],[Type]]),Table4[[#This Row],[Type]])</f>
        <v/>
      </c>
      <c r="I403">
        <v>63</v>
      </c>
      <c r="L403" t="s">
        <v>77</v>
      </c>
      <c r="N403" t="s">
        <v>108</v>
      </c>
      <c r="O403" t="s">
        <v>292</v>
      </c>
      <c r="P403" t="s">
        <v>85</v>
      </c>
    </row>
    <row r="404" spans="1:16" x14ac:dyDescent="0.25">
      <c r="A404" t="s">
        <v>903</v>
      </c>
      <c r="B404" t="s">
        <v>77</v>
      </c>
      <c r="C404" t="str">
        <f>IF(ISBLANK(Table4[[#This Row],[Region]]),Table4[[#This Row],[Node Type]],Table4[[#This Row],[Region]])</f>
        <v/>
      </c>
      <c r="E404" t="str">
        <f>IF(ISERROR(SEARCH("Node",Table4[[#This Row],[Type]])),IF(ISERROR(SEARCH("Iliac",Table4[[#This Row],[Type]])),"",Table4[[#This Row],[Type]]),Table4[[#This Row],[Type]])</f>
        <v/>
      </c>
      <c r="L404" t="s">
        <v>77</v>
      </c>
      <c r="O404" t="s">
        <v>292</v>
      </c>
      <c r="P404" t="s">
        <v>85</v>
      </c>
    </row>
    <row r="405" spans="1:16" x14ac:dyDescent="0.25">
      <c r="A405" t="s">
        <v>904</v>
      </c>
      <c r="B405" t="s">
        <v>77</v>
      </c>
      <c r="C405" t="str">
        <f>IF(ISBLANK(Table4[[#This Row],[Region]]),Table4[[#This Row],[Node Type]],Table4[[#This Row],[Region]])</f>
        <v/>
      </c>
      <c r="E405" t="str">
        <f>IF(ISERROR(SEARCH("Node",Table4[[#This Row],[Type]])),IF(ISERROR(SEARCH("Iliac",Table4[[#This Row],[Type]])),"",Table4[[#This Row],[Type]]),Table4[[#This Row],[Type]])</f>
        <v/>
      </c>
      <c r="L405" t="s">
        <v>77</v>
      </c>
      <c r="O405" t="s">
        <v>290</v>
      </c>
      <c r="P405" t="s">
        <v>85</v>
      </c>
    </row>
    <row r="406" spans="1:16" x14ac:dyDescent="0.25">
      <c r="A406" t="s">
        <v>909</v>
      </c>
      <c r="B406" t="s">
        <v>46</v>
      </c>
      <c r="C406" t="str">
        <f>IF(ISBLANK(Table4[[#This Row],[Region]]),Table4[[#This Row],[Node Type]],Table4[[#This Row],[Region]])</f>
        <v/>
      </c>
      <c r="E406" t="str">
        <f>IF(ISERROR(SEARCH("Node",Table4[[#This Row],[Type]])),IF(ISERROR(SEARCH("Iliac",Table4[[#This Row],[Type]])),"",Table4[[#This Row],[Type]]),Table4[[#This Row],[Type]])</f>
        <v/>
      </c>
      <c r="J406" t="s">
        <v>910</v>
      </c>
      <c r="L406" t="s">
        <v>46</v>
      </c>
      <c r="M406" t="s">
        <v>235</v>
      </c>
    </row>
    <row r="407" spans="1:16" x14ac:dyDescent="0.25">
      <c r="A407" t="s">
        <v>377</v>
      </c>
      <c r="B407" t="s">
        <v>48</v>
      </c>
      <c r="C407" t="str">
        <f>IF(ISBLANK(Table4[[#This Row],[Region]]),Table4[[#This Row],[Node Type]],Table4[[#This Row],[Region]])</f>
        <v>Iliac Vessels</v>
      </c>
      <c r="E407" t="str">
        <f>IF(ISERROR(SEARCH("Node",Table4[[#This Row],[Type]])),IF(ISERROR(SEARCH("Iliac",Table4[[#This Row],[Type]])),"",Table4[[#This Row],[Type]]),Table4[[#This Row],[Type]])</f>
        <v>Iliac Vessels</v>
      </c>
      <c r="L407" t="s">
        <v>377</v>
      </c>
    </row>
    <row r="408" spans="1:16" x14ac:dyDescent="0.25">
      <c r="A408" t="s">
        <v>911</v>
      </c>
      <c r="B408" t="s">
        <v>48</v>
      </c>
      <c r="C408" t="str">
        <f>IF(ISBLANK(Table4[[#This Row],[Region]]),Table4[[#This Row],[Node Type]],Table4[[#This Row],[Region]])</f>
        <v/>
      </c>
      <c r="E408" t="str">
        <f>IF(ISERROR(SEARCH("Node",Table4[[#This Row],[Type]])),IF(ISERROR(SEARCH("Iliac",Table4[[#This Row],[Type]])),"",Table4[[#This Row],[Type]]),Table4[[#This Row],[Type]])</f>
        <v/>
      </c>
      <c r="J408" t="s">
        <v>912</v>
      </c>
      <c r="L408" t="s">
        <v>46</v>
      </c>
    </row>
    <row r="409" spans="1:16" x14ac:dyDescent="0.25">
      <c r="A409" t="s">
        <v>914</v>
      </c>
      <c r="B409" t="s">
        <v>77</v>
      </c>
      <c r="C409" t="str">
        <f>IF(ISBLANK(Table4[[#This Row],[Region]]),Table4[[#This Row],[Node Type]],Table4[[#This Row],[Region]])</f>
        <v/>
      </c>
      <c r="E409" t="str">
        <f>IF(ISERROR(SEARCH("Node",Table4[[#This Row],[Type]])),IF(ISERROR(SEARCH("Iliac",Table4[[#This Row],[Type]])),"",Table4[[#This Row],[Type]]),Table4[[#This Row],[Type]])</f>
        <v/>
      </c>
      <c r="I409">
        <v>36</v>
      </c>
      <c r="L409" t="s">
        <v>77</v>
      </c>
      <c r="P409" t="s">
        <v>83</v>
      </c>
    </row>
    <row r="410" spans="1:16" x14ac:dyDescent="0.25">
      <c r="A410" t="s">
        <v>919</v>
      </c>
      <c r="B410" t="s">
        <v>173</v>
      </c>
      <c r="C410" t="str">
        <f>IF(ISBLANK(Table4[[#This Row],[Region]]),Table4[[#This Row],[Node Type]],Table4[[#This Row],[Region]])</f>
        <v/>
      </c>
      <c r="E410" t="str">
        <f>IF(ISERROR(SEARCH("Node",Table4[[#This Row],[Type]])),IF(ISERROR(SEARCH("Iliac",Table4[[#This Row],[Type]])),"",Table4[[#This Row],[Type]]),Table4[[#This Row],[Type]])</f>
        <v/>
      </c>
      <c r="I410">
        <v>59.4</v>
      </c>
      <c r="L410" t="s">
        <v>46</v>
      </c>
    </row>
    <row r="411" spans="1:16" x14ac:dyDescent="0.25">
      <c r="A411" t="s">
        <v>920</v>
      </c>
      <c r="B411" t="s">
        <v>173</v>
      </c>
      <c r="C411" t="str">
        <f>IF(ISBLANK(Table4[[#This Row],[Region]]),Table4[[#This Row],[Node Type]],Table4[[#This Row],[Region]])</f>
        <v/>
      </c>
      <c r="E411" t="str">
        <f>IF(ISERROR(SEARCH("Node",Table4[[#This Row],[Type]])),IF(ISERROR(SEARCH("Iliac",Table4[[#This Row],[Type]])),"",Table4[[#This Row],[Type]]),Table4[[#This Row],[Type]])</f>
        <v/>
      </c>
      <c r="L411" t="s">
        <v>46</v>
      </c>
      <c r="M411" t="s">
        <v>858</v>
      </c>
    </row>
    <row r="412" spans="1:16" x14ac:dyDescent="0.25">
      <c r="A412" t="s">
        <v>49</v>
      </c>
      <c r="B412" t="s">
        <v>48</v>
      </c>
      <c r="C412" t="str">
        <f>IF(ISBLANK(Table4[[#This Row],[Region]]),Table4[[#This Row],[Node Type]],Table4[[#This Row],[Region]])</f>
        <v>Node</v>
      </c>
      <c r="E412" t="str">
        <f>IF(ISERROR(SEARCH("Node",Table4[[#This Row],[Type]])),IF(ISERROR(SEARCH("Iliac",Table4[[#This Row],[Type]])),"",Table4[[#This Row],[Type]]),Table4[[#This Row],[Type]])</f>
        <v>Node</v>
      </c>
      <c r="L412" t="s">
        <v>49</v>
      </c>
    </row>
    <row r="413" spans="1:16" x14ac:dyDescent="0.25">
      <c r="A413" t="s">
        <v>921</v>
      </c>
      <c r="B413" t="s">
        <v>173</v>
      </c>
      <c r="C413" t="str">
        <f>IF(ISBLANK(Table4[[#This Row],[Region]]),Table4[[#This Row],[Node Type]],Table4[[#This Row],[Region]])</f>
        <v/>
      </c>
      <c r="E413" t="str">
        <f>IF(ISERROR(SEARCH("Node",Table4[[#This Row],[Type]])),IF(ISERROR(SEARCH("Iliac",Table4[[#This Row],[Type]])),"",Table4[[#This Row],[Type]]),Table4[[#This Row],[Type]])</f>
        <v/>
      </c>
      <c r="I413">
        <v>59.4</v>
      </c>
      <c r="L413" t="s">
        <v>77</v>
      </c>
    </row>
    <row r="414" spans="1:16" x14ac:dyDescent="0.25">
      <c r="A414" t="s">
        <v>929</v>
      </c>
      <c r="B414" t="s">
        <v>20</v>
      </c>
      <c r="C414" t="str">
        <f>IF(ISBLANK(Table4[[#This Row],[Region]]),Table4[[#This Row],[Node Type]],Table4[[#This Row],[Region]])</f>
        <v/>
      </c>
      <c r="E414" t="str">
        <f>IF(ISERROR(SEARCH("Node",Table4[[#This Row],[Type]])),IF(ISERROR(SEARCH("Iliac",Table4[[#This Row],[Type]])),"",Table4[[#This Row],[Type]]),Table4[[#This Row],[Type]])</f>
        <v/>
      </c>
      <c r="H414">
        <v>1</v>
      </c>
      <c r="I414">
        <v>30</v>
      </c>
      <c r="L414" t="s">
        <v>20</v>
      </c>
    </row>
    <row r="415" spans="1:16" x14ac:dyDescent="0.25">
      <c r="A415" t="s">
        <v>931</v>
      </c>
      <c r="B415" t="s">
        <v>20</v>
      </c>
      <c r="C415" t="str">
        <f>IF(ISBLANK(Table4[[#This Row],[Region]]),Table4[[#This Row],[Node Type]],Table4[[#This Row],[Region]])</f>
        <v/>
      </c>
      <c r="E415" t="str">
        <f>IF(ISERROR(SEARCH("Node",Table4[[#This Row],[Type]])),IF(ISERROR(SEARCH("Iliac",Table4[[#This Row],[Type]])),"",Table4[[#This Row],[Type]]),Table4[[#This Row],[Type]])</f>
        <v/>
      </c>
      <c r="H415">
        <v>2</v>
      </c>
      <c r="I415">
        <v>22.5</v>
      </c>
      <c r="L415" t="s">
        <v>20</v>
      </c>
    </row>
    <row r="416" spans="1:16" x14ac:dyDescent="0.25">
      <c r="A416" t="s">
        <v>933</v>
      </c>
      <c r="B416" t="s">
        <v>20</v>
      </c>
      <c r="C416" t="str">
        <f>IF(ISBLANK(Table4[[#This Row],[Region]]),Table4[[#This Row],[Node Type]],Table4[[#This Row],[Region]])</f>
        <v/>
      </c>
      <c r="E416" t="str">
        <f>IF(ISERROR(SEARCH("Node",Table4[[#This Row],[Type]])),IF(ISERROR(SEARCH("Iliac",Table4[[#This Row],[Type]])),"",Table4[[#This Row],[Type]]),Table4[[#This Row],[Type]])</f>
        <v/>
      </c>
      <c r="H416">
        <v>3</v>
      </c>
      <c r="I416">
        <v>22.5</v>
      </c>
      <c r="L416" t="s">
        <v>20</v>
      </c>
    </row>
    <row r="417" spans="1:14" x14ac:dyDescent="0.25">
      <c r="A417" t="s">
        <v>934</v>
      </c>
      <c r="B417" t="s">
        <v>20</v>
      </c>
      <c r="C417" t="str">
        <f>IF(ISBLANK(Table4[[#This Row],[Region]]),Table4[[#This Row],[Node Type]],Table4[[#This Row],[Region]])</f>
        <v/>
      </c>
      <c r="E417" t="str">
        <f>IF(ISERROR(SEARCH("Node",Table4[[#This Row],[Type]])),IF(ISERROR(SEARCH("Iliac",Table4[[#This Row],[Type]])),"",Table4[[#This Row],[Type]]),Table4[[#This Row],[Type]])</f>
        <v/>
      </c>
      <c r="H417">
        <v>4</v>
      </c>
      <c r="I417">
        <v>22.5</v>
      </c>
      <c r="L417" t="s">
        <v>20</v>
      </c>
    </row>
    <row r="418" spans="1:14" x14ac:dyDescent="0.25">
      <c r="A418" t="s">
        <v>935</v>
      </c>
      <c r="B418" t="s">
        <v>20</v>
      </c>
      <c r="C418" t="str">
        <f>IF(ISBLANK(Table4[[#This Row],[Region]]),Table4[[#This Row],[Node Type]],Table4[[#This Row],[Region]])</f>
        <v/>
      </c>
      <c r="E418" t="str">
        <f>IF(ISERROR(SEARCH("Node",Table4[[#This Row],[Type]])),IF(ISERROR(SEARCH("Iliac",Table4[[#This Row],[Type]])),"",Table4[[#This Row],[Type]]),Table4[[#This Row],[Type]])</f>
        <v/>
      </c>
      <c r="H418">
        <v>5</v>
      </c>
      <c r="I418">
        <v>22.5</v>
      </c>
      <c r="L418" t="s">
        <v>20</v>
      </c>
    </row>
    <row r="419" spans="1:14" x14ac:dyDescent="0.25">
      <c r="A419" t="s">
        <v>936</v>
      </c>
      <c r="B419" t="s">
        <v>77</v>
      </c>
      <c r="C419" t="str">
        <f>IF(ISBLANK(Table4[[#This Row],[Region]]),Table4[[#This Row],[Node Type]],Table4[[#This Row],[Region]])</f>
        <v/>
      </c>
      <c r="E419" t="str">
        <f>IF(ISERROR(SEARCH("Node",Table4[[#This Row],[Type]])),IF(ISERROR(SEARCH("Iliac",Table4[[#This Row],[Type]])),"",Table4[[#This Row],[Type]]),Table4[[#This Row],[Type]])</f>
        <v/>
      </c>
      <c r="H419">
        <v>1</v>
      </c>
      <c r="I419">
        <v>30</v>
      </c>
      <c r="L419" t="s">
        <v>77</v>
      </c>
    </row>
    <row r="420" spans="1:14" x14ac:dyDescent="0.25">
      <c r="A420" t="s">
        <v>937</v>
      </c>
      <c r="B420" t="s">
        <v>77</v>
      </c>
      <c r="C420" t="str">
        <f>IF(ISBLANK(Table4[[#This Row],[Region]]),Table4[[#This Row],[Node Type]],Table4[[#This Row],[Region]])</f>
        <v/>
      </c>
      <c r="E420" t="str">
        <f>IF(ISERROR(SEARCH("Node",Table4[[#This Row],[Type]])),IF(ISERROR(SEARCH("Iliac",Table4[[#This Row],[Type]])),"",Table4[[#This Row],[Type]]),Table4[[#This Row],[Type]])</f>
        <v/>
      </c>
      <c r="H420">
        <v>2</v>
      </c>
      <c r="I420">
        <v>22.5</v>
      </c>
      <c r="L420" t="s">
        <v>77</v>
      </c>
    </row>
    <row r="421" spans="1:14" x14ac:dyDescent="0.25">
      <c r="A421" t="s">
        <v>938</v>
      </c>
      <c r="B421" t="s">
        <v>77</v>
      </c>
      <c r="C421" t="str">
        <f>IF(ISBLANK(Table4[[#This Row],[Region]]),Table4[[#This Row],[Node Type]],Table4[[#This Row],[Region]])</f>
        <v/>
      </c>
      <c r="E421" t="str">
        <f>IF(ISERROR(SEARCH("Node",Table4[[#This Row],[Type]])),IF(ISERROR(SEARCH("Iliac",Table4[[#This Row],[Type]])),"",Table4[[#This Row],[Type]]),Table4[[#This Row],[Type]])</f>
        <v/>
      </c>
      <c r="H421">
        <v>3</v>
      </c>
      <c r="I421">
        <v>22.5</v>
      </c>
      <c r="L421" t="s">
        <v>77</v>
      </c>
    </row>
    <row r="422" spans="1:14" x14ac:dyDescent="0.25">
      <c r="A422" t="s">
        <v>939</v>
      </c>
      <c r="B422" t="s">
        <v>77</v>
      </c>
      <c r="C422" t="str">
        <f>IF(ISBLANK(Table4[[#This Row],[Region]]),Table4[[#This Row],[Node Type]],Table4[[#This Row],[Region]])</f>
        <v/>
      </c>
      <c r="E422" t="str">
        <f>IF(ISERROR(SEARCH("Node",Table4[[#This Row],[Type]])),IF(ISERROR(SEARCH("Iliac",Table4[[#This Row],[Type]])),"",Table4[[#This Row],[Type]]),Table4[[#This Row],[Type]])</f>
        <v/>
      </c>
      <c r="H422">
        <v>4</v>
      </c>
      <c r="I422">
        <v>22.5</v>
      </c>
      <c r="L422" t="s">
        <v>77</v>
      </c>
    </row>
    <row r="423" spans="1:14" x14ac:dyDescent="0.25">
      <c r="A423" t="s">
        <v>940</v>
      </c>
      <c r="B423" t="s">
        <v>77</v>
      </c>
      <c r="C423" t="str">
        <f>IF(ISBLANK(Table4[[#This Row],[Region]]),Table4[[#This Row],[Node Type]],Table4[[#This Row],[Region]])</f>
        <v/>
      </c>
      <c r="E423" t="str">
        <f>IF(ISERROR(SEARCH("Node",Table4[[#This Row],[Type]])),IF(ISERROR(SEARCH("Iliac",Table4[[#This Row],[Type]])),"",Table4[[#This Row],[Type]]),Table4[[#This Row],[Type]])</f>
        <v/>
      </c>
      <c r="H423">
        <v>5</v>
      </c>
      <c r="I423">
        <v>22.5</v>
      </c>
      <c r="L423" t="s">
        <v>77</v>
      </c>
    </row>
    <row r="424" spans="1:14" x14ac:dyDescent="0.25">
      <c r="A424" t="s">
        <v>942</v>
      </c>
      <c r="B424" t="s">
        <v>46</v>
      </c>
      <c r="C424" t="str">
        <f>IF(ISBLANK(Table4[[#This Row],[Region]]),Table4[[#This Row],[Node Type]],Table4[[#This Row],[Region]])</f>
        <v/>
      </c>
      <c r="E424" t="str">
        <f>IF(ISERROR(SEARCH("Node",Table4[[#This Row],[Type]])),IF(ISERROR(SEARCH("Iliac",Table4[[#This Row],[Type]])),"",Table4[[#This Row],[Type]]),Table4[[#This Row],[Type]])</f>
        <v/>
      </c>
      <c r="I424">
        <v>56</v>
      </c>
      <c r="L424" t="s">
        <v>46</v>
      </c>
    </row>
    <row r="425" spans="1:14" x14ac:dyDescent="0.25">
      <c r="A425" t="s">
        <v>48</v>
      </c>
      <c r="B425" t="s">
        <v>173</v>
      </c>
      <c r="C425" t="str">
        <f>IF(ISBLANK(Table4[[#This Row],[Region]]),Table4[[#This Row],[Node Type]],Table4[[#This Row],[Region]])</f>
        <v>Nodes</v>
      </c>
      <c r="E425" t="str">
        <f>IF(ISERROR(SEARCH("Node",Table4[[#This Row],[Type]])),IF(ISERROR(SEARCH("Iliac",Table4[[#This Row],[Type]])),"",Table4[[#This Row],[Type]]),Table4[[#This Row],[Type]])</f>
        <v>Nodes</v>
      </c>
      <c r="L425" t="s">
        <v>48</v>
      </c>
    </row>
    <row r="426" spans="1:14" x14ac:dyDescent="0.25">
      <c r="A426" t="s">
        <v>947</v>
      </c>
      <c r="B426" t="s">
        <v>46</v>
      </c>
      <c r="C426" t="str">
        <f>IF(ISBLANK(Table4[[#This Row],[Region]]),Table4[[#This Row],[Node Type]],Table4[[#This Row],[Region]])</f>
        <v/>
      </c>
      <c r="E426" t="str">
        <f>IF(ISERROR(SEARCH("Node",Table4[[#This Row],[Type]])),IF(ISERROR(SEARCH("Iliac",Table4[[#This Row],[Type]])),"",Table4[[#This Row],[Type]]),Table4[[#This Row],[Type]])</f>
        <v/>
      </c>
      <c r="L426" t="s">
        <v>46</v>
      </c>
      <c r="M426" t="s">
        <v>79</v>
      </c>
    </row>
    <row r="427" spans="1:14" x14ac:dyDescent="0.25">
      <c r="A427" t="s">
        <v>948</v>
      </c>
      <c r="B427" t="s">
        <v>46</v>
      </c>
      <c r="C427" t="str">
        <f>IF(ISBLANK(Table4[[#This Row],[Region]]),Table4[[#This Row],[Node Type]],Table4[[#This Row],[Region]])</f>
        <v/>
      </c>
      <c r="E427" t="str">
        <f>IF(ISERROR(SEARCH("Node",Table4[[#This Row],[Type]])),IF(ISERROR(SEARCH("Iliac",Table4[[#This Row],[Type]])),"",Table4[[#This Row],[Type]]),Table4[[#This Row],[Type]])</f>
        <v/>
      </c>
      <c r="I427">
        <v>70</v>
      </c>
      <c r="L427" t="s">
        <v>46</v>
      </c>
      <c r="M427" t="s">
        <v>79</v>
      </c>
    </row>
    <row r="428" spans="1:14" x14ac:dyDescent="0.25">
      <c r="A428" t="s">
        <v>949</v>
      </c>
      <c r="B428" t="s">
        <v>46</v>
      </c>
      <c r="C428" t="str">
        <f>IF(ISBLANK(Table4[[#This Row],[Region]]),Table4[[#This Row],[Node Type]],Table4[[#This Row],[Region]])</f>
        <v/>
      </c>
      <c r="E428" t="str">
        <f>IF(ISERROR(SEARCH("Node",Table4[[#This Row],[Type]])),IF(ISERROR(SEARCH("Iliac",Table4[[#This Row],[Type]])),"",Table4[[#This Row],[Type]]),Table4[[#This Row],[Type]])</f>
        <v/>
      </c>
      <c r="L428" t="s">
        <v>46</v>
      </c>
      <c r="M428" t="s">
        <v>79</v>
      </c>
      <c r="N428" t="s">
        <v>106</v>
      </c>
    </row>
    <row r="429" spans="1:14" x14ac:dyDescent="0.25">
      <c r="A429" t="s">
        <v>950</v>
      </c>
      <c r="B429" t="s">
        <v>20</v>
      </c>
      <c r="C429" t="str">
        <f>IF(ISBLANK(Table4[[#This Row],[Region]]),Table4[[#This Row],[Node Type]],Table4[[#This Row],[Region]])</f>
        <v/>
      </c>
      <c r="E429" t="str">
        <f>IF(ISERROR(SEARCH("Node",Table4[[#This Row],[Type]])),IF(ISERROR(SEARCH("Iliac",Table4[[#This Row],[Type]])),"",Table4[[#This Row],[Type]]),Table4[[#This Row],[Type]])</f>
        <v/>
      </c>
      <c r="L429" t="s">
        <v>20</v>
      </c>
      <c r="M429" t="s">
        <v>79</v>
      </c>
    </row>
    <row r="430" spans="1:14" x14ac:dyDescent="0.25">
      <c r="A430" t="s">
        <v>951</v>
      </c>
      <c r="B430" t="s">
        <v>48</v>
      </c>
      <c r="C430" t="str">
        <f>IF(ISBLANK(Table4[[#This Row],[Region]]),Table4[[#This Row],[Node Type]],Table4[[#This Row],[Region]])</f>
        <v/>
      </c>
      <c r="E430" t="str">
        <f>IF(ISERROR(SEARCH("Node",Table4[[#This Row],[Type]])),IF(ISERROR(SEARCH("Iliac",Table4[[#This Row],[Type]])),"",Table4[[#This Row],[Type]]),Table4[[#This Row],[Type]])</f>
        <v/>
      </c>
      <c r="L430" t="s">
        <v>20</v>
      </c>
      <c r="M430" t="s">
        <v>79</v>
      </c>
      <c r="N430" t="s">
        <v>106</v>
      </c>
    </row>
    <row r="431" spans="1:14" x14ac:dyDescent="0.25">
      <c r="A431" t="s">
        <v>952</v>
      </c>
      <c r="B431" t="s">
        <v>77</v>
      </c>
      <c r="C431" t="str">
        <f>IF(ISBLANK(Table4[[#This Row],[Region]]),Table4[[#This Row],[Node Type]],Table4[[#This Row],[Region]])</f>
        <v/>
      </c>
      <c r="E431" t="str">
        <f>IF(ISERROR(SEARCH("Node",Table4[[#This Row],[Type]])),IF(ISERROR(SEARCH("Iliac",Table4[[#This Row],[Type]])),"",Table4[[#This Row],[Type]]),Table4[[#This Row],[Type]])</f>
        <v/>
      </c>
      <c r="L431" t="s">
        <v>77</v>
      </c>
      <c r="M431" t="s">
        <v>79</v>
      </c>
    </row>
    <row r="432" spans="1:14" x14ac:dyDescent="0.25">
      <c r="A432" t="s">
        <v>953</v>
      </c>
      <c r="B432" t="s">
        <v>77</v>
      </c>
      <c r="C432" t="str">
        <f>IF(ISBLANK(Table4[[#This Row],[Region]]),Table4[[#This Row],[Node Type]],Table4[[#This Row],[Region]])</f>
        <v/>
      </c>
      <c r="E432" t="str">
        <f>IF(ISERROR(SEARCH("Node",Table4[[#This Row],[Type]])),IF(ISERROR(SEARCH("Iliac",Table4[[#This Row],[Type]])),"",Table4[[#This Row],[Type]]),Table4[[#This Row],[Type]])</f>
        <v/>
      </c>
      <c r="I432">
        <v>70</v>
      </c>
      <c r="L432" t="s">
        <v>77</v>
      </c>
      <c r="M432" t="s">
        <v>79</v>
      </c>
    </row>
    <row r="433" spans="1:17" x14ac:dyDescent="0.25">
      <c r="A433" t="s">
        <v>954</v>
      </c>
      <c r="B433" t="s">
        <v>77</v>
      </c>
      <c r="C433" t="str">
        <f>IF(ISBLANK(Table4[[#This Row],[Region]]),Table4[[#This Row],[Node Type]],Table4[[#This Row],[Region]])</f>
        <v/>
      </c>
      <c r="E433" t="str">
        <f>IF(ISERROR(SEARCH("Node",Table4[[#This Row],[Type]])),IF(ISERROR(SEARCH("Iliac",Table4[[#This Row],[Type]])),"",Table4[[#This Row],[Type]]),Table4[[#This Row],[Type]])</f>
        <v/>
      </c>
      <c r="L433" t="s">
        <v>77</v>
      </c>
      <c r="M433" t="s">
        <v>79</v>
      </c>
      <c r="N433" t="s">
        <v>106</v>
      </c>
    </row>
    <row r="434" spans="1:17" x14ac:dyDescent="0.25">
      <c r="A434" t="s">
        <v>957</v>
      </c>
      <c r="B434" t="s">
        <v>20</v>
      </c>
      <c r="C434" t="str">
        <f>IF(ISBLANK(Table4[[#This Row],[Region]]),Table4[[#This Row],[Node Type]],Table4[[#This Row],[Region]])</f>
        <v/>
      </c>
      <c r="E434" t="str">
        <f>IF(ISERROR(SEARCH("Node",Table4[[#This Row],[Type]])),IF(ISERROR(SEARCH("Iliac",Table4[[#This Row],[Type]])),"",Table4[[#This Row],[Type]]),Table4[[#This Row],[Type]])</f>
        <v/>
      </c>
      <c r="I434">
        <v>20</v>
      </c>
      <c r="L434" t="s">
        <v>20</v>
      </c>
    </row>
    <row r="435" spans="1:17" x14ac:dyDescent="0.25">
      <c r="A435" t="s">
        <v>958</v>
      </c>
      <c r="B435" t="s">
        <v>77</v>
      </c>
      <c r="C435" t="str">
        <f>IF(ISBLANK(Table4[[#This Row],[Region]]),Table4[[#This Row],[Node Type]],Table4[[#This Row],[Region]])</f>
        <v/>
      </c>
      <c r="E435" t="str">
        <f>IF(ISERROR(SEARCH("Node",Table4[[#This Row],[Type]])),IF(ISERROR(SEARCH("Iliac",Table4[[#This Row],[Type]])),"",Table4[[#This Row],[Type]]),Table4[[#This Row],[Type]])</f>
        <v/>
      </c>
      <c r="I435">
        <v>20</v>
      </c>
      <c r="L435" t="s">
        <v>77</v>
      </c>
    </row>
    <row r="436" spans="1:17" x14ac:dyDescent="0.25">
      <c r="A436" t="s">
        <v>959</v>
      </c>
      <c r="B436" t="s">
        <v>20</v>
      </c>
      <c r="C436" t="str">
        <f>IF(ISBLANK(Table4[[#This Row],[Region]]),Table4[[#This Row],[Node Type]],Table4[[#This Row],[Region]])</f>
        <v/>
      </c>
      <c r="E436" t="str">
        <f>IF(ISERROR(SEARCH("Node",Table4[[#This Row],[Type]])),IF(ISERROR(SEARCH("Iliac",Table4[[#This Row],[Type]])),"",Table4[[#This Row],[Type]]),Table4[[#This Row],[Type]])</f>
        <v/>
      </c>
      <c r="H436">
        <v>5</v>
      </c>
      <c r="I436">
        <v>15</v>
      </c>
      <c r="L436" t="s">
        <v>20</v>
      </c>
    </row>
    <row r="437" spans="1:17" x14ac:dyDescent="0.25">
      <c r="A437" t="s">
        <v>961</v>
      </c>
      <c r="B437" t="s">
        <v>77</v>
      </c>
      <c r="C437" t="str">
        <f>IF(ISBLANK(Table4[[#This Row],[Region]]),Table4[[#This Row],[Node Type]],Table4[[#This Row],[Region]])</f>
        <v/>
      </c>
      <c r="E437" t="str">
        <f>IF(ISERROR(SEARCH("Node",Table4[[#This Row],[Type]])),IF(ISERROR(SEARCH("Iliac",Table4[[#This Row],[Type]])),"",Table4[[#This Row],[Type]]),Table4[[#This Row],[Type]])</f>
        <v/>
      </c>
      <c r="H437">
        <v>5</v>
      </c>
      <c r="I437">
        <v>15</v>
      </c>
      <c r="L437" t="s">
        <v>77</v>
      </c>
    </row>
    <row r="438" spans="1:17" x14ac:dyDescent="0.25">
      <c r="A438" t="s">
        <v>962</v>
      </c>
      <c r="B438" t="s">
        <v>46</v>
      </c>
      <c r="C438" t="str">
        <f>IF(ISBLANK(Table4[[#This Row],[Region]]),Table4[[#This Row],[Node Type]],Table4[[#This Row],[Region]])</f>
        <v/>
      </c>
      <c r="E438" t="str">
        <f>IF(ISERROR(SEARCH("Node",Table4[[#This Row],[Type]])),IF(ISERROR(SEARCH("Iliac",Table4[[#This Row],[Type]])),"",Table4[[#This Row],[Type]]),Table4[[#This Row],[Type]])</f>
        <v/>
      </c>
      <c r="J438" t="s">
        <v>963</v>
      </c>
      <c r="L438" t="s">
        <v>46</v>
      </c>
    </row>
    <row r="439" spans="1:17" x14ac:dyDescent="0.25">
      <c r="A439" t="s">
        <v>964</v>
      </c>
      <c r="B439" t="s">
        <v>46</v>
      </c>
      <c r="C439" t="str">
        <f>IF(ISBLANK(Table4[[#This Row],[Region]]),Table4[[#This Row],[Node Type]],Table4[[#This Row],[Region]])</f>
        <v/>
      </c>
      <c r="E439" t="str">
        <f>IF(ISERROR(SEARCH("Node",Table4[[#This Row],[Type]])),IF(ISERROR(SEARCH("Iliac",Table4[[#This Row],[Type]])),"",Table4[[#This Row],[Type]]),Table4[[#This Row],[Type]])</f>
        <v/>
      </c>
      <c r="J439" t="s">
        <v>965</v>
      </c>
      <c r="L439" t="s">
        <v>46</v>
      </c>
    </row>
    <row r="440" spans="1:17" x14ac:dyDescent="0.25">
      <c r="A440" t="s">
        <v>966</v>
      </c>
      <c r="B440" t="s">
        <v>20</v>
      </c>
      <c r="C440" t="str">
        <f>IF(ISBLANK(Table4[[#This Row],[Region]]),Table4[[#This Row],[Node Type]],Table4[[#This Row],[Region]])</f>
        <v/>
      </c>
      <c r="E440" t="str">
        <f>IF(ISERROR(SEARCH("Node",Table4[[#This Row],[Type]])),IF(ISERROR(SEARCH("Iliac",Table4[[#This Row],[Type]])),"",Table4[[#This Row],[Type]]),Table4[[#This Row],[Type]])</f>
        <v/>
      </c>
      <c r="J440" t="s">
        <v>963</v>
      </c>
      <c r="L440" t="s">
        <v>20</v>
      </c>
    </row>
    <row r="441" spans="1:17" x14ac:dyDescent="0.25">
      <c r="A441" t="s">
        <v>967</v>
      </c>
      <c r="B441" t="s">
        <v>20</v>
      </c>
      <c r="C441" t="str">
        <f>IF(ISBLANK(Table4[[#This Row],[Region]]),Table4[[#This Row],[Node Type]],Table4[[#This Row],[Region]])</f>
        <v/>
      </c>
      <c r="E441" t="str">
        <f>IF(ISERROR(SEARCH("Node",Table4[[#This Row],[Type]])),IF(ISERROR(SEARCH("Iliac",Table4[[#This Row],[Type]])),"",Table4[[#This Row],[Type]]),Table4[[#This Row],[Type]])</f>
        <v/>
      </c>
      <c r="J441" t="s">
        <v>965</v>
      </c>
      <c r="L441" t="s">
        <v>20</v>
      </c>
    </row>
    <row r="442" spans="1:17" x14ac:dyDescent="0.25">
      <c r="A442" t="s">
        <v>968</v>
      </c>
      <c r="B442" t="s">
        <v>77</v>
      </c>
      <c r="C442" t="str">
        <f>IF(ISBLANK(Table4[[#This Row],[Region]]),Table4[[#This Row],[Node Type]],Table4[[#This Row],[Region]])</f>
        <v/>
      </c>
      <c r="E442" t="str">
        <f>IF(ISERROR(SEARCH("Node",Table4[[#This Row],[Type]])),IF(ISERROR(SEARCH("Iliac",Table4[[#This Row],[Type]])),"",Table4[[#This Row],[Type]]),Table4[[#This Row],[Type]])</f>
        <v/>
      </c>
      <c r="J442" t="s">
        <v>963</v>
      </c>
      <c r="L442" t="s">
        <v>77</v>
      </c>
    </row>
    <row r="443" spans="1:17" x14ac:dyDescent="0.25">
      <c r="A443" t="s">
        <v>969</v>
      </c>
      <c r="B443" t="s">
        <v>77</v>
      </c>
      <c r="C443" t="str">
        <f>IF(ISBLANK(Table4[[#This Row],[Region]]),Table4[[#This Row],[Node Type]],Table4[[#This Row],[Region]])</f>
        <v/>
      </c>
      <c r="E443" t="str">
        <f>IF(ISERROR(SEARCH("Node",Table4[[#This Row],[Type]])),IF(ISERROR(SEARCH("Iliac",Table4[[#This Row],[Type]])),"",Table4[[#This Row],[Type]]),Table4[[#This Row],[Type]])</f>
        <v/>
      </c>
      <c r="J443" t="s">
        <v>965</v>
      </c>
      <c r="L443" t="s">
        <v>77</v>
      </c>
    </row>
    <row r="444" spans="1:17" x14ac:dyDescent="0.25">
      <c r="A444" t="s">
        <v>970</v>
      </c>
      <c r="B444" t="s">
        <v>77</v>
      </c>
      <c r="C444" t="str">
        <f>IF(ISBLANK(Table4[[#This Row],[Region]]),Table4[[#This Row],[Node Type]],Table4[[#This Row],[Region]])</f>
        <v/>
      </c>
      <c r="E444" t="str">
        <f>IF(ISERROR(SEARCH("Node",Table4[[#This Row],[Type]])),IF(ISERROR(SEARCH("Iliac",Table4[[#This Row],[Type]])),"",Table4[[#This Row],[Type]]),Table4[[#This Row],[Type]])</f>
        <v/>
      </c>
      <c r="J444" t="s">
        <v>963</v>
      </c>
      <c r="L444" t="s">
        <v>77</v>
      </c>
      <c r="P444" t="s">
        <v>85</v>
      </c>
    </row>
    <row r="445" spans="1:17" x14ac:dyDescent="0.25">
      <c r="A445" t="s">
        <v>971</v>
      </c>
      <c r="B445" t="s">
        <v>46</v>
      </c>
      <c r="C445" t="str">
        <f>IF(ISBLANK(Table4[[#This Row],[Region]]),Table4[[#This Row],[Node Type]],Table4[[#This Row],[Region]])</f>
        <v/>
      </c>
      <c r="E445" t="str">
        <f>IF(ISERROR(SEARCH("Node",Table4[[#This Row],[Type]])),IF(ISERROR(SEARCH("Iliac",Table4[[#This Row],[Type]])),"",Table4[[#This Row],[Type]]),Table4[[#This Row],[Type]])</f>
        <v/>
      </c>
      <c r="I445">
        <v>48</v>
      </c>
      <c r="L445" t="s">
        <v>46</v>
      </c>
      <c r="N445" t="s">
        <v>106</v>
      </c>
    </row>
    <row r="446" spans="1:17" x14ac:dyDescent="0.25">
      <c r="A446" t="s">
        <v>972</v>
      </c>
      <c r="B446" t="s">
        <v>46</v>
      </c>
      <c r="C446" t="str">
        <f>IF(ISBLANK(Table4[[#This Row],[Region]]),Table4[[#This Row],[Node Type]],Table4[[#This Row],[Region]])</f>
        <v/>
      </c>
      <c r="E446" t="str">
        <f>IF(ISERROR(SEARCH("Node",Table4[[#This Row],[Type]])),IF(ISERROR(SEARCH("Iliac",Table4[[#This Row],[Type]])),"",Table4[[#This Row],[Type]]),Table4[[#This Row],[Type]])</f>
        <v/>
      </c>
      <c r="I446">
        <v>64</v>
      </c>
      <c r="L446" t="s">
        <v>46</v>
      </c>
      <c r="N446" t="s">
        <v>106</v>
      </c>
    </row>
    <row r="447" spans="1:17" x14ac:dyDescent="0.25">
      <c r="A447" t="s">
        <v>973</v>
      </c>
      <c r="B447" t="s">
        <v>48</v>
      </c>
      <c r="C447" t="str">
        <f>IF(ISBLANK(Table4[[#This Row],[Region]]),Table4[[#This Row],[Node Type]],Table4[[#This Row],[Region]])</f>
        <v/>
      </c>
      <c r="E447" t="str">
        <f>IF(ISERROR(SEARCH("Node",Table4[[#This Row],[Type]])),IF(ISERROR(SEARCH("Iliac",Table4[[#This Row],[Type]])),"",Table4[[#This Row],[Type]]),Table4[[#This Row],[Type]])</f>
        <v/>
      </c>
      <c r="L447" t="s">
        <v>20</v>
      </c>
      <c r="Q447" t="s">
        <v>974</v>
      </c>
    </row>
    <row r="448" spans="1:17" x14ac:dyDescent="0.25">
      <c r="A448" t="s">
        <v>975</v>
      </c>
      <c r="B448" t="s">
        <v>77</v>
      </c>
      <c r="C448" t="str">
        <f>IF(ISBLANK(Table4[[#This Row],[Region]]),Table4[[#This Row],[Node Type]],Table4[[#This Row],[Region]])</f>
        <v/>
      </c>
      <c r="E448" t="str">
        <f>IF(ISERROR(SEARCH("Node",Table4[[#This Row],[Type]])),IF(ISERROR(SEARCH("Iliac",Table4[[#This Row],[Type]])),"",Table4[[#This Row],[Type]]),Table4[[#This Row],[Type]])</f>
        <v/>
      </c>
      <c r="I448">
        <v>48</v>
      </c>
      <c r="L448" t="s">
        <v>77</v>
      </c>
      <c r="N448" t="s">
        <v>106</v>
      </c>
      <c r="O448" t="s">
        <v>290</v>
      </c>
      <c r="P448" t="s">
        <v>85</v>
      </c>
    </row>
    <row r="449" spans="1:16" x14ac:dyDescent="0.25">
      <c r="A449" t="s">
        <v>976</v>
      </c>
      <c r="B449" t="s">
        <v>77</v>
      </c>
      <c r="C449" t="str">
        <f>IF(ISBLANK(Table4[[#This Row],[Region]]),Table4[[#This Row],[Node Type]],Table4[[#This Row],[Region]])</f>
        <v/>
      </c>
      <c r="E449" t="str">
        <f>IF(ISERROR(SEARCH("Node",Table4[[#This Row],[Type]])),IF(ISERROR(SEARCH("Iliac",Table4[[#This Row],[Type]])),"",Table4[[#This Row],[Type]]),Table4[[#This Row],[Type]])</f>
        <v/>
      </c>
      <c r="I449">
        <v>48</v>
      </c>
      <c r="L449" t="s">
        <v>77</v>
      </c>
      <c r="N449" t="s">
        <v>106</v>
      </c>
      <c r="O449" t="s">
        <v>292</v>
      </c>
      <c r="P449" t="s">
        <v>85</v>
      </c>
    </row>
    <row r="450" spans="1:16" x14ac:dyDescent="0.25">
      <c r="A450" t="s">
        <v>977</v>
      </c>
      <c r="B450" t="s">
        <v>77</v>
      </c>
      <c r="C450" t="str">
        <f>IF(ISBLANK(Table4[[#This Row],[Region]]),Table4[[#This Row],[Node Type]],Table4[[#This Row],[Region]])</f>
        <v/>
      </c>
      <c r="E450" t="str">
        <f>IF(ISERROR(SEARCH("Node",Table4[[#This Row],[Type]])),IF(ISERROR(SEARCH("Iliac",Table4[[#This Row],[Type]])),"",Table4[[#This Row],[Type]]),Table4[[#This Row],[Type]])</f>
        <v/>
      </c>
      <c r="I450">
        <v>60</v>
      </c>
      <c r="L450" t="s">
        <v>77</v>
      </c>
      <c r="N450" t="s">
        <v>106</v>
      </c>
    </row>
    <row r="451" spans="1:16" x14ac:dyDescent="0.25">
      <c r="A451" t="s">
        <v>978</v>
      </c>
      <c r="B451" t="s">
        <v>77</v>
      </c>
      <c r="C451" t="str">
        <f>IF(ISBLANK(Table4[[#This Row],[Region]]),Table4[[#This Row],[Node Type]],Table4[[#This Row],[Region]])</f>
        <v/>
      </c>
      <c r="E451" t="str">
        <f>IF(ISERROR(SEARCH("Node",Table4[[#This Row],[Type]])),IF(ISERROR(SEARCH("Iliac",Table4[[#This Row],[Type]])),"",Table4[[#This Row],[Type]]),Table4[[#This Row],[Type]])</f>
        <v/>
      </c>
      <c r="I451">
        <v>48</v>
      </c>
      <c r="L451" t="s">
        <v>77</v>
      </c>
      <c r="N451" t="s">
        <v>106</v>
      </c>
    </row>
    <row r="452" spans="1:16" x14ac:dyDescent="0.25">
      <c r="A452" t="s">
        <v>979</v>
      </c>
      <c r="B452" t="s">
        <v>77</v>
      </c>
      <c r="C452" t="str">
        <f>IF(ISBLANK(Table4[[#This Row],[Region]]),Table4[[#This Row],[Node Type]],Table4[[#This Row],[Region]])</f>
        <v/>
      </c>
      <c r="E452" t="str">
        <f>IF(ISERROR(SEARCH("Node",Table4[[#This Row],[Type]])),IF(ISERROR(SEARCH("Iliac",Table4[[#This Row],[Type]])),"",Table4[[#This Row],[Type]]),Table4[[#This Row],[Type]])</f>
        <v/>
      </c>
      <c r="I452">
        <v>60</v>
      </c>
      <c r="L452" t="s">
        <v>77</v>
      </c>
      <c r="N452" t="s">
        <v>106</v>
      </c>
    </row>
    <row r="453" spans="1:16" x14ac:dyDescent="0.25">
      <c r="A453" t="s">
        <v>980</v>
      </c>
      <c r="B453" t="s">
        <v>77</v>
      </c>
      <c r="C453" t="str">
        <f>IF(ISBLANK(Table4[[#This Row],[Region]]),Table4[[#This Row],[Node Type]],Table4[[#This Row],[Region]])</f>
        <v/>
      </c>
      <c r="E453" t="str">
        <f>IF(ISERROR(SEARCH("Node",Table4[[#This Row],[Type]])),IF(ISERROR(SEARCH("Iliac",Table4[[#This Row],[Type]])),"",Table4[[#This Row],[Type]]),Table4[[#This Row],[Type]])</f>
        <v/>
      </c>
      <c r="I453">
        <v>64</v>
      </c>
      <c r="L453" t="s">
        <v>77</v>
      </c>
      <c r="N453" t="s">
        <v>106</v>
      </c>
    </row>
    <row r="454" spans="1:16" x14ac:dyDescent="0.25">
      <c r="A454" t="s">
        <v>984</v>
      </c>
      <c r="B454" t="s">
        <v>77</v>
      </c>
      <c r="C454" t="str">
        <f>IF(ISBLANK(Table4[[#This Row],[Region]]),Table4[[#This Row],[Node Type]],Table4[[#This Row],[Region]])</f>
        <v/>
      </c>
      <c r="E454" t="str">
        <f>IF(ISERROR(SEARCH("Node",Table4[[#This Row],[Type]])),IF(ISERROR(SEARCH("Iliac",Table4[[#This Row],[Type]])),"",Table4[[#This Row],[Type]]),Table4[[#This Row],[Type]])</f>
        <v/>
      </c>
      <c r="I454">
        <v>64</v>
      </c>
      <c r="L454" t="s">
        <v>77</v>
      </c>
      <c r="P454" t="s">
        <v>85</v>
      </c>
    </row>
    <row r="455" spans="1:16" x14ac:dyDescent="0.25">
      <c r="A455" t="s">
        <v>985</v>
      </c>
      <c r="B455" t="s">
        <v>77</v>
      </c>
      <c r="C455" t="str">
        <f>IF(ISBLANK(Table4[[#This Row],[Region]]),Table4[[#This Row],[Node Type]],Table4[[#This Row],[Region]])</f>
        <v/>
      </c>
      <c r="E455" t="str">
        <f>IF(ISERROR(SEARCH("Node",Table4[[#This Row],[Type]])),IF(ISERROR(SEARCH("Iliac",Table4[[#This Row],[Type]])),"",Table4[[#This Row],[Type]]),Table4[[#This Row],[Type]])</f>
        <v/>
      </c>
      <c r="I455">
        <v>48</v>
      </c>
      <c r="L455" t="s">
        <v>77</v>
      </c>
      <c r="N455" t="s">
        <v>106</v>
      </c>
      <c r="O455" t="s">
        <v>294</v>
      </c>
      <c r="P455" t="s">
        <v>85</v>
      </c>
    </row>
    <row r="456" spans="1:16" x14ac:dyDescent="0.25">
      <c r="A456" t="s">
        <v>1003</v>
      </c>
      <c r="B456" t="s">
        <v>77</v>
      </c>
      <c r="C456" t="str">
        <f>IF(ISBLANK(Table4[[#This Row],[Region]]),Table4[[#This Row],[Node Type]],Table4[[#This Row],[Region]])</f>
        <v/>
      </c>
      <c r="E456" t="str">
        <f>IF(ISERROR(SEARCH("Node",Table4[[#This Row],[Type]])),IF(ISERROR(SEARCH("Iliac",Table4[[#This Row],[Type]])),"",Table4[[#This Row],[Type]]),Table4[[#This Row],[Type]])</f>
        <v/>
      </c>
      <c r="I456">
        <v>66</v>
      </c>
      <c r="L456" t="s">
        <v>77</v>
      </c>
    </row>
    <row r="457" spans="1:16" x14ac:dyDescent="0.25">
      <c r="A457" t="s">
        <v>1004</v>
      </c>
      <c r="B457" t="s">
        <v>77</v>
      </c>
      <c r="C457" t="str">
        <f>IF(ISBLANK(Table4[[#This Row],[Region]]),Table4[[#This Row],[Node Type]],Table4[[#This Row],[Region]])</f>
        <v/>
      </c>
      <c r="E457" t="str">
        <f>IF(ISERROR(SEARCH("Node",Table4[[#This Row],[Type]])),IF(ISERROR(SEARCH("Iliac",Table4[[#This Row],[Type]])),"",Table4[[#This Row],[Type]]),Table4[[#This Row],[Type]])</f>
        <v/>
      </c>
      <c r="I457">
        <v>46</v>
      </c>
      <c r="L457" t="s">
        <v>77</v>
      </c>
    </row>
    <row r="458" spans="1:16" x14ac:dyDescent="0.25">
      <c r="A458" t="s">
        <v>1005</v>
      </c>
      <c r="B458" t="s">
        <v>77</v>
      </c>
      <c r="C458" t="str">
        <f>IF(ISBLANK(Table4[[#This Row],[Region]]),Table4[[#This Row],[Node Type]],Table4[[#This Row],[Region]])</f>
        <v/>
      </c>
      <c r="E458" t="str">
        <f>IF(ISERROR(SEARCH("Node",Table4[[#This Row],[Type]])),IF(ISERROR(SEARCH("Iliac",Table4[[#This Row],[Type]])),"",Table4[[#This Row],[Type]]),Table4[[#This Row],[Type]])</f>
        <v/>
      </c>
      <c r="I458">
        <v>46</v>
      </c>
      <c r="L458" t="s">
        <v>77</v>
      </c>
      <c r="P458" t="s">
        <v>85</v>
      </c>
    </row>
    <row r="459" spans="1:16" x14ac:dyDescent="0.25">
      <c r="A459" t="s">
        <v>1006</v>
      </c>
      <c r="B459" t="s">
        <v>77</v>
      </c>
      <c r="C459" t="str">
        <f>IF(ISBLANK(Table4[[#This Row],[Region]]),Table4[[#This Row],[Node Type]],Table4[[#This Row],[Region]])</f>
        <v/>
      </c>
      <c r="E459" t="str">
        <f>IF(ISERROR(SEARCH("Node",Table4[[#This Row],[Type]])),IF(ISERROR(SEARCH("Iliac",Table4[[#This Row],[Type]])),"",Table4[[#This Row],[Type]]),Table4[[#This Row],[Type]])</f>
        <v/>
      </c>
      <c r="I459">
        <v>46</v>
      </c>
      <c r="L459" t="s">
        <v>77</v>
      </c>
      <c r="P459" t="s">
        <v>83</v>
      </c>
    </row>
    <row r="460" spans="1:16" x14ac:dyDescent="0.25">
      <c r="A460" t="s">
        <v>1007</v>
      </c>
      <c r="B460" t="s">
        <v>46</v>
      </c>
      <c r="C460" t="str">
        <f>IF(ISBLANK(Table4[[#This Row],[Region]]),Table4[[#This Row],[Node Type]],Table4[[#This Row],[Region]])</f>
        <v/>
      </c>
      <c r="E460" t="str">
        <f>IF(ISERROR(SEARCH("Node",Table4[[#This Row],[Type]])),IF(ISERROR(SEARCH("Iliac",Table4[[#This Row],[Type]])),"",Table4[[#This Row],[Type]]),Table4[[#This Row],[Type]])</f>
        <v/>
      </c>
      <c r="I460">
        <v>66</v>
      </c>
      <c r="L460" t="s">
        <v>46</v>
      </c>
    </row>
    <row r="461" spans="1:16" x14ac:dyDescent="0.25">
      <c r="A461" t="s">
        <v>1008</v>
      </c>
      <c r="B461" t="s">
        <v>46</v>
      </c>
      <c r="C461" t="str">
        <f>IF(ISBLANK(Table4[[#This Row],[Region]]),Table4[[#This Row],[Node Type]],Table4[[#This Row],[Region]])</f>
        <v/>
      </c>
      <c r="E461" t="str">
        <f>IF(ISERROR(SEARCH("Node",Table4[[#This Row],[Type]])),IF(ISERROR(SEARCH("Iliac",Table4[[#This Row],[Type]])),"",Table4[[#This Row],[Type]]),Table4[[#This Row],[Type]])</f>
        <v/>
      </c>
      <c r="I461">
        <v>46</v>
      </c>
      <c r="L461" t="s">
        <v>46</v>
      </c>
    </row>
    <row r="462" spans="1:16" x14ac:dyDescent="0.25">
      <c r="A462" t="s">
        <v>1010</v>
      </c>
      <c r="B462" t="s">
        <v>20</v>
      </c>
      <c r="C462" t="str">
        <f>IF(ISBLANK(Table4[[#This Row],[Region]]),Table4[[#This Row],[Node Type]],Table4[[#This Row],[Region]])</f>
        <v/>
      </c>
      <c r="E462" t="str">
        <f>IF(ISERROR(SEARCH("Node",Table4[[#This Row],[Type]])),IF(ISERROR(SEARCH("Iliac",Table4[[#This Row],[Type]])),"",Table4[[#This Row],[Type]]),Table4[[#This Row],[Type]])</f>
        <v/>
      </c>
      <c r="J462" t="s">
        <v>1011</v>
      </c>
      <c r="L462" t="s">
        <v>20</v>
      </c>
    </row>
    <row r="463" spans="1:16" x14ac:dyDescent="0.25">
      <c r="A463" t="s">
        <v>1012</v>
      </c>
      <c r="B463" t="s">
        <v>173</v>
      </c>
      <c r="C463" t="str">
        <f>IF(ISBLANK(Table4[[#This Row],[Region]]),Table4[[#This Row],[Node Type]],Table4[[#This Row],[Region]])</f>
        <v/>
      </c>
      <c r="E463" t="str">
        <f>IF(ISERROR(SEARCH("Node",Table4[[#This Row],[Type]])),IF(ISERROR(SEARCH("Iliac",Table4[[#This Row],[Type]])),"",Table4[[#This Row],[Type]]),Table4[[#This Row],[Type]])</f>
        <v/>
      </c>
      <c r="J463" t="s">
        <v>83</v>
      </c>
      <c r="L463" t="s">
        <v>77</v>
      </c>
    </row>
    <row r="464" spans="1:16" x14ac:dyDescent="0.25">
      <c r="A464" t="s">
        <v>1017</v>
      </c>
      <c r="B464" t="s">
        <v>77</v>
      </c>
      <c r="C464" t="str">
        <f>IF(ISBLANK(Table4[[#This Row],[Region]]),Table4[[#This Row],[Node Type]],Table4[[#This Row],[Region]])</f>
        <v/>
      </c>
      <c r="E464" t="str">
        <f>IF(ISERROR(SEARCH("Node",Table4[[#This Row],[Type]])),IF(ISERROR(SEARCH("Iliac",Table4[[#This Row],[Type]])),"",Table4[[#This Row],[Type]]),Table4[[#This Row],[Type]])</f>
        <v/>
      </c>
      <c r="H464">
        <v>1</v>
      </c>
      <c r="I464">
        <v>24</v>
      </c>
      <c r="L464" t="s">
        <v>77</v>
      </c>
    </row>
    <row r="465" spans="1:19" x14ac:dyDescent="0.25">
      <c r="A465" t="s">
        <v>1019</v>
      </c>
      <c r="B465" t="s">
        <v>77</v>
      </c>
      <c r="C465" t="str">
        <f>IF(ISBLANK(Table4[[#This Row],[Region]]),Table4[[#This Row],[Node Type]],Table4[[#This Row],[Region]])</f>
        <v/>
      </c>
      <c r="E465" t="str">
        <f>IF(ISERROR(SEARCH("Node",Table4[[#This Row],[Type]])),IF(ISERROR(SEARCH("Iliac",Table4[[#This Row],[Type]])),"",Table4[[#This Row],[Type]]),Table4[[#This Row],[Type]])</f>
        <v/>
      </c>
      <c r="H465">
        <v>2</v>
      </c>
      <c r="I465">
        <v>24</v>
      </c>
      <c r="L465" t="s">
        <v>77</v>
      </c>
    </row>
    <row r="466" spans="1:19" x14ac:dyDescent="0.25">
      <c r="A466" t="s">
        <v>1021</v>
      </c>
      <c r="B466" t="s">
        <v>46</v>
      </c>
      <c r="C466" t="str">
        <f>IF(ISBLANK(Table4[[#This Row],[Region]]),Table4[[#This Row],[Node Type]],Table4[[#This Row],[Region]])</f>
        <v/>
      </c>
      <c r="E466" t="str">
        <f>IF(ISERROR(SEARCH("Node",Table4[[#This Row],[Type]])),IF(ISERROR(SEARCH("Iliac",Table4[[#This Row],[Type]])),"",Table4[[#This Row],[Type]]),Table4[[#This Row],[Type]])</f>
        <v/>
      </c>
      <c r="I466">
        <v>66</v>
      </c>
      <c r="L466" t="s">
        <v>46</v>
      </c>
      <c r="M466" t="s">
        <v>79</v>
      </c>
    </row>
    <row r="467" spans="1:19" x14ac:dyDescent="0.25">
      <c r="A467" t="s">
        <v>1022</v>
      </c>
      <c r="B467" t="s">
        <v>77</v>
      </c>
      <c r="C467" t="str">
        <f>IF(ISBLANK(Table4[[#This Row],[Region]]),Table4[[#This Row],[Node Type]],Table4[[#This Row],[Region]])</f>
        <v/>
      </c>
      <c r="E467" t="str">
        <f>IF(ISERROR(SEARCH("Node",Table4[[#This Row],[Type]])),IF(ISERROR(SEARCH("Iliac",Table4[[#This Row],[Type]])),"",Table4[[#This Row],[Type]]),Table4[[#This Row],[Type]])</f>
        <v/>
      </c>
      <c r="I467">
        <v>66</v>
      </c>
      <c r="L467" t="s">
        <v>77</v>
      </c>
      <c r="M467" t="s">
        <v>79</v>
      </c>
    </row>
    <row r="468" spans="1:19" x14ac:dyDescent="0.25">
      <c r="A468" t="s">
        <v>1023</v>
      </c>
      <c r="B468" t="s">
        <v>77</v>
      </c>
      <c r="C468" t="str">
        <f>IF(ISBLANK(Table4[[#This Row],[Region]]),Table4[[#This Row],[Node Type]],Table4[[#This Row],[Region]])</f>
        <v/>
      </c>
      <c r="E468" t="str">
        <f>IF(ISERROR(SEARCH("Node",Table4[[#This Row],[Type]])),IF(ISERROR(SEARCH("Iliac",Table4[[#This Row],[Type]])),"",Table4[[#This Row],[Type]]),Table4[[#This Row],[Type]])</f>
        <v/>
      </c>
      <c r="I468">
        <v>66</v>
      </c>
      <c r="L468" t="s">
        <v>77</v>
      </c>
      <c r="M468" t="s">
        <v>79</v>
      </c>
      <c r="P468" t="s">
        <v>85</v>
      </c>
    </row>
    <row r="469" spans="1:19" x14ac:dyDescent="0.25">
      <c r="A469" t="s">
        <v>1029</v>
      </c>
      <c r="B469" t="s">
        <v>46</v>
      </c>
      <c r="C469" t="str">
        <f>IF(ISBLANK(Table4[[#This Row],[Region]]),Table4[[#This Row],[Node Type]],Table4[[#This Row],[Region]])</f>
        <v/>
      </c>
      <c r="E469" t="str">
        <f>IF(ISERROR(SEARCH("Node",Table4[[#This Row],[Type]])),IF(ISERROR(SEARCH("Iliac",Table4[[#This Row],[Type]])),"",Table4[[#This Row],[Type]]),Table4[[#This Row],[Type]])</f>
        <v/>
      </c>
      <c r="I469">
        <v>5500</v>
      </c>
      <c r="L469" t="s">
        <v>46</v>
      </c>
    </row>
    <row r="470" spans="1:19" x14ac:dyDescent="0.25">
      <c r="A470" t="s">
        <v>920</v>
      </c>
      <c r="B470" t="s">
        <v>20</v>
      </c>
      <c r="C470" t="str">
        <f>IF(ISBLANK(Table4[[#This Row],[Region]]),Table4[[#This Row],[Node Type]],Table4[[#This Row],[Region]])</f>
        <v/>
      </c>
      <c r="E470" t="str">
        <f>IF(ISERROR(SEARCH("Node",Table4[[#This Row],[Type]])),IF(ISERROR(SEARCH("Iliac",Table4[[#This Row],[Type]])),"",Table4[[#This Row],[Type]]),Table4[[#This Row],[Type]])</f>
        <v/>
      </c>
      <c r="L470" t="s">
        <v>46</v>
      </c>
      <c r="M470" t="s">
        <v>858</v>
      </c>
    </row>
    <row r="471" spans="1:19" x14ac:dyDescent="0.25">
      <c r="A471" t="s">
        <v>1030</v>
      </c>
      <c r="B471" t="s">
        <v>77</v>
      </c>
      <c r="C471" t="str">
        <f>IF(ISBLANK(Table4[[#This Row],[Region]]),Table4[[#This Row],[Node Type]],Table4[[#This Row],[Region]])</f>
        <v/>
      </c>
      <c r="E471" t="str">
        <f>IF(ISERROR(SEARCH("Node",Table4[[#This Row],[Type]])),IF(ISERROR(SEARCH("Iliac",Table4[[#This Row],[Type]])),"",Table4[[#This Row],[Type]]),Table4[[#This Row],[Type]])</f>
        <v/>
      </c>
      <c r="I471">
        <v>5500</v>
      </c>
      <c r="L471" t="s">
        <v>77</v>
      </c>
      <c r="P471" t="s">
        <v>85</v>
      </c>
    </row>
    <row r="472" spans="1:19" x14ac:dyDescent="0.25">
      <c r="A472" t="s">
        <v>1031</v>
      </c>
      <c r="B472" t="s">
        <v>77</v>
      </c>
      <c r="C472" t="str">
        <f>IF(ISBLANK(Table4[[#This Row],[Region]]),Table4[[#This Row],[Node Type]],Table4[[#This Row],[Region]])</f>
        <v/>
      </c>
      <c r="E472" t="str">
        <f>IF(ISERROR(SEARCH("Node",Table4[[#This Row],[Type]])),IF(ISERROR(SEARCH("Iliac",Table4[[#This Row],[Type]])),"",Table4[[#This Row],[Type]]),Table4[[#This Row],[Type]])</f>
        <v/>
      </c>
      <c r="I472">
        <v>5500</v>
      </c>
      <c r="L472" t="s">
        <v>77</v>
      </c>
    </row>
    <row r="473" spans="1:19" x14ac:dyDescent="0.25">
      <c r="A473" t="s">
        <v>1033</v>
      </c>
      <c r="B473" t="s">
        <v>173</v>
      </c>
      <c r="C473" t="str">
        <f>IF(ISBLANK(Table4[[#This Row],[Region]]),Table4[[#This Row],[Node Type]],Table4[[#This Row],[Region]])</f>
        <v/>
      </c>
      <c r="E473" t="str">
        <f>IF(ISERROR(SEARCH("Node",Table4[[#This Row],[Type]])),IF(ISERROR(SEARCH("Iliac",Table4[[#This Row],[Type]])),"",Table4[[#This Row],[Type]]),Table4[[#This Row],[Type]])</f>
        <v/>
      </c>
      <c r="H473">
        <v>2</v>
      </c>
      <c r="L473" t="s">
        <v>46</v>
      </c>
    </row>
    <row r="474" spans="1:19" x14ac:dyDescent="0.25">
      <c r="A474" t="s">
        <v>823</v>
      </c>
      <c r="B474" t="s">
        <v>173</v>
      </c>
      <c r="C474" t="str">
        <f>IF(ISBLANK(Table4[[#This Row],[Region]]),Table4[[#This Row],[Node Type]],Table4[[#This Row],[Region]])</f>
        <v/>
      </c>
      <c r="E474" t="str">
        <f>IF(ISERROR(SEARCH("Node",Table4[[#This Row],[Type]])),IF(ISERROR(SEARCH("Iliac",Table4[[#This Row],[Type]])),"",Table4[[#This Row],[Type]]),Table4[[#This Row],[Type]])</f>
        <v/>
      </c>
      <c r="H474">
        <v>2</v>
      </c>
      <c r="L474" t="s">
        <v>77</v>
      </c>
    </row>
    <row r="475" spans="1:19" x14ac:dyDescent="0.25">
      <c r="A475" t="s">
        <v>1034</v>
      </c>
      <c r="B475" t="s">
        <v>46</v>
      </c>
      <c r="C475" t="str">
        <f>IF(ISBLANK(Table4[[#This Row],[Region]]),Table4[[#This Row],[Node Type]],Table4[[#This Row],[Region]])</f>
        <v/>
      </c>
      <c r="E475" t="str">
        <f>IF(ISERROR(SEARCH("Node",Table4[[#This Row],[Type]])),IF(ISERROR(SEARCH("Iliac",Table4[[#This Row],[Type]])),"",Table4[[#This Row],[Type]]),Table4[[#This Row],[Type]])</f>
        <v/>
      </c>
      <c r="L475" t="s">
        <v>46</v>
      </c>
      <c r="P475" t="s">
        <v>85</v>
      </c>
    </row>
    <row r="476" spans="1:19" x14ac:dyDescent="0.25">
      <c r="A476" t="s">
        <v>1035</v>
      </c>
      <c r="B476" t="s">
        <v>77</v>
      </c>
      <c r="C476" t="str">
        <f>IF(ISBLANK(Table4[[#This Row],[Region]]),Table4[[#This Row],[Node Type]],Table4[[#This Row],[Region]])</f>
        <v/>
      </c>
      <c r="E476" t="str">
        <f>IF(ISERROR(SEARCH("Node",Table4[[#This Row],[Type]])),IF(ISERROR(SEARCH("Iliac",Table4[[#This Row],[Type]])),"",Table4[[#This Row],[Type]]),Table4[[#This Row],[Type]])</f>
        <v/>
      </c>
      <c r="I476">
        <v>55</v>
      </c>
      <c r="L476" t="s">
        <v>77</v>
      </c>
    </row>
    <row r="477" spans="1:19" x14ac:dyDescent="0.25">
      <c r="A477" t="s">
        <v>1037</v>
      </c>
      <c r="B477" t="s">
        <v>46</v>
      </c>
      <c r="C477" t="str">
        <f>IF(ISBLANK(Table4[[#This Row],[Region]]),Table4[[#This Row],[Node Type]],Table4[[#This Row],[Region]])</f>
        <v/>
      </c>
      <c r="E477" t="str">
        <f>IF(ISERROR(SEARCH("Node",Table4[[#This Row],[Type]])),IF(ISERROR(SEARCH("Iliac",Table4[[#This Row],[Type]])),"",Table4[[#This Row],[Type]]),Table4[[#This Row],[Type]])</f>
        <v/>
      </c>
      <c r="J477" t="s">
        <v>1038</v>
      </c>
      <c r="L477" t="s">
        <v>46</v>
      </c>
      <c r="M477" t="s">
        <v>858</v>
      </c>
    </row>
    <row r="478" spans="1:19" x14ac:dyDescent="0.25">
      <c r="A478" t="s">
        <v>1040</v>
      </c>
      <c r="B478" t="s">
        <v>77</v>
      </c>
      <c r="C478" t="str">
        <f>IF(ISBLANK(Table4[[#This Row],[Region]]),Table4[[#This Row],[Node Type]],Table4[[#This Row],[Region]])</f>
        <v/>
      </c>
      <c r="E478" t="str">
        <f>IF(ISERROR(SEARCH("Node",Table4[[#This Row],[Type]])),IF(ISERROR(SEARCH("Iliac",Table4[[#This Row],[Type]])),"",Table4[[#This Row],[Type]]),Table4[[#This Row],[Type]])</f>
        <v/>
      </c>
      <c r="J478" t="s">
        <v>1038</v>
      </c>
      <c r="L478" t="s">
        <v>77</v>
      </c>
      <c r="M478" t="s">
        <v>858</v>
      </c>
    </row>
    <row r="479" spans="1:19" x14ac:dyDescent="0.25">
      <c r="A479" t="s">
        <v>1041</v>
      </c>
      <c r="B479" t="s">
        <v>77</v>
      </c>
      <c r="C479" t="str">
        <f>IF(ISBLANK(Table4[[#This Row],[Region]]),Table4[[#This Row],[Node Type]],Table4[[#This Row],[Region]])</f>
        <v/>
      </c>
      <c r="E479" t="str">
        <f>IF(ISERROR(SEARCH("Node",Table4[[#This Row],[Type]])),IF(ISERROR(SEARCH("Iliac",Table4[[#This Row],[Type]])),"",Table4[[#This Row],[Type]]),Table4[[#This Row],[Type]])</f>
        <v/>
      </c>
      <c r="L479" t="s">
        <v>77</v>
      </c>
      <c r="P479" t="s">
        <v>85</v>
      </c>
      <c r="R479" t="s">
        <v>215</v>
      </c>
      <c r="S479">
        <v>2</v>
      </c>
    </row>
    <row r="480" spans="1:19" x14ac:dyDescent="0.25">
      <c r="A480" t="s">
        <v>1049</v>
      </c>
      <c r="B480" t="s">
        <v>77</v>
      </c>
      <c r="C480" t="str">
        <f>IF(ISBLANK(Table4[[#This Row],[Region]]),Table4[[#This Row],[Node Type]],Table4[[#This Row],[Region]])</f>
        <v/>
      </c>
      <c r="E480" t="str">
        <f>IF(ISERROR(SEARCH("Node",Table4[[#This Row],[Type]])),IF(ISERROR(SEARCH("Iliac",Table4[[#This Row],[Type]])),"",Table4[[#This Row],[Type]]),Table4[[#This Row],[Type]])</f>
        <v/>
      </c>
      <c r="H480">
        <v>1</v>
      </c>
      <c r="I480">
        <v>21</v>
      </c>
      <c r="L480" t="s">
        <v>77</v>
      </c>
    </row>
    <row r="481" spans="1:19" x14ac:dyDescent="0.25">
      <c r="A481" t="s">
        <v>1051</v>
      </c>
      <c r="B481" t="s">
        <v>77</v>
      </c>
      <c r="C481" t="str">
        <f>IF(ISBLANK(Table4[[#This Row],[Region]]),Table4[[#This Row],[Node Type]],Table4[[#This Row],[Region]])</f>
        <v/>
      </c>
      <c r="E481" t="str">
        <f>IF(ISERROR(SEARCH("Node",Table4[[#This Row],[Type]])),IF(ISERROR(SEARCH("Iliac",Table4[[#This Row],[Type]])),"",Table4[[#This Row],[Type]]),Table4[[#This Row],[Type]])</f>
        <v/>
      </c>
      <c r="I481">
        <v>68</v>
      </c>
      <c r="L481" t="s">
        <v>77</v>
      </c>
      <c r="P481" t="s">
        <v>83</v>
      </c>
    </row>
    <row r="482" spans="1:19" x14ac:dyDescent="0.25">
      <c r="A482" t="s">
        <v>1052</v>
      </c>
      <c r="B482" t="s">
        <v>77</v>
      </c>
      <c r="C482" t="str">
        <f>IF(ISBLANK(Table4[[#This Row],[Region]]),Table4[[#This Row],[Node Type]],Table4[[#This Row],[Region]])</f>
        <v/>
      </c>
      <c r="E482" t="str">
        <f>IF(ISERROR(SEARCH("Node",Table4[[#This Row],[Type]])),IF(ISERROR(SEARCH("Iliac",Table4[[#This Row],[Type]])),"",Table4[[#This Row],[Type]]),Table4[[#This Row],[Type]])</f>
        <v/>
      </c>
      <c r="I482">
        <v>48</v>
      </c>
      <c r="L482" t="s">
        <v>77</v>
      </c>
      <c r="P482" t="s">
        <v>83</v>
      </c>
    </row>
    <row r="483" spans="1:19" x14ac:dyDescent="0.25">
      <c r="A483" t="s">
        <v>1053</v>
      </c>
      <c r="B483" t="s">
        <v>77</v>
      </c>
      <c r="C483" t="str">
        <f>IF(ISBLANK(Table4[[#This Row],[Region]]),Table4[[#This Row],[Node Type]],Table4[[#This Row],[Region]])</f>
        <v/>
      </c>
      <c r="E483" t="str">
        <f>IF(ISERROR(SEARCH("Node",Table4[[#This Row],[Type]])),IF(ISERROR(SEARCH("Iliac",Table4[[#This Row],[Type]])),"",Table4[[#This Row],[Type]]),Table4[[#This Row],[Type]])</f>
        <v/>
      </c>
      <c r="J483" t="s">
        <v>859</v>
      </c>
      <c r="L483" t="s">
        <v>77</v>
      </c>
      <c r="M483" t="s">
        <v>858</v>
      </c>
    </row>
    <row r="484" spans="1:19" x14ac:dyDescent="0.25">
      <c r="A484" t="s">
        <v>1060</v>
      </c>
      <c r="B484" t="s">
        <v>77</v>
      </c>
      <c r="C484" t="str">
        <f>IF(ISBLANK(Table4[[#This Row],[Region]]),Table4[[#This Row],[Node Type]],Table4[[#This Row],[Region]])</f>
        <v/>
      </c>
      <c r="E484" t="str">
        <f>IF(ISERROR(SEARCH("Node",Table4[[#This Row],[Type]])),IF(ISERROR(SEARCH("Iliac",Table4[[#This Row],[Type]])),"",Table4[[#This Row],[Type]]),Table4[[#This Row],[Type]])</f>
        <v/>
      </c>
      <c r="I484">
        <v>50</v>
      </c>
      <c r="L484" t="s">
        <v>77</v>
      </c>
    </row>
    <row r="485" spans="1:19" x14ac:dyDescent="0.25">
      <c r="A485" t="s">
        <v>303</v>
      </c>
      <c r="B485" t="s">
        <v>173</v>
      </c>
      <c r="C485" t="str">
        <f>IF(ISBLANK(Table4[[#This Row],[Region]]),Table4[[#This Row],[Node Type]],Table4[[#This Row],[Region]])</f>
        <v/>
      </c>
      <c r="E485" t="str">
        <f>IF(ISERROR(SEARCH("Node",Table4[[#This Row],[Type]])),IF(ISERROR(SEARCH("Iliac",Table4[[#This Row],[Type]])),"",Table4[[#This Row],[Type]]),Table4[[#This Row],[Type]])</f>
        <v/>
      </c>
      <c r="I485">
        <v>66</v>
      </c>
      <c r="L485" t="s">
        <v>77</v>
      </c>
      <c r="P485" t="s">
        <v>83</v>
      </c>
    </row>
    <row r="486" spans="1:19" x14ac:dyDescent="0.25">
      <c r="A486" t="s">
        <v>1061</v>
      </c>
      <c r="B486" t="s">
        <v>77</v>
      </c>
      <c r="C486" t="str">
        <f>IF(ISBLANK(Table4[[#This Row],[Region]]),Table4[[#This Row],[Node Type]],Table4[[#This Row],[Region]])</f>
        <v/>
      </c>
      <c r="E486" t="str">
        <f>IF(ISERROR(SEARCH("Node",Table4[[#This Row],[Type]])),IF(ISERROR(SEARCH("Iliac",Table4[[#This Row],[Type]])),"",Table4[[#This Row],[Type]]),Table4[[#This Row],[Type]])</f>
        <v/>
      </c>
      <c r="I486">
        <v>50</v>
      </c>
      <c r="L486" t="s">
        <v>77</v>
      </c>
      <c r="P486" t="s">
        <v>83</v>
      </c>
    </row>
    <row r="487" spans="1:19" x14ac:dyDescent="0.25">
      <c r="A487" t="s">
        <v>1062</v>
      </c>
      <c r="B487" t="s">
        <v>77</v>
      </c>
      <c r="C487" t="str">
        <f>IF(ISBLANK(Table4[[#This Row],[Region]]),Table4[[#This Row],[Node Type]],Table4[[#This Row],[Region]])</f>
        <v/>
      </c>
      <c r="E487" t="str">
        <f>IF(ISERROR(SEARCH("Node",Table4[[#This Row],[Type]])),IF(ISERROR(SEARCH("Iliac",Table4[[#This Row],[Type]])),"",Table4[[#This Row],[Type]]),Table4[[#This Row],[Type]])</f>
        <v/>
      </c>
      <c r="I487">
        <v>70</v>
      </c>
      <c r="L487" t="s">
        <v>46</v>
      </c>
    </row>
    <row r="488" spans="1:19" x14ac:dyDescent="0.25">
      <c r="A488" t="s">
        <v>100</v>
      </c>
      <c r="B488" t="s">
        <v>48</v>
      </c>
      <c r="C488" t="str">
        <f>IF(ISBLANK(Table4[[#This Row],[Region]]),Table4[[#This Row],[Node Type]],Table4[[#This Row],[Region]])</f>
        <v/>
      </c>
      <c r="E488" t="str">
        <f>IF(ISERROR(SEARCH("Node",Table4[[#This Row],[Type]])),IF(ISERROR(SEARCH("Iliac",Table4[[#This Row],[Type]])),"",Table4[[#This Row],[Type]]),Table4[[#This Row],[Type]])</f>
        <v/>
      </c>
      <c r="I488">
        <v>66</v>
      </c>
      <c r="L488" t="s">
        <v>46</v>
      </c>
    </row>
    <row r="489" spans="1:19" x14ac:dyDescent="0.25">
      <c r="A489" t="s">
        <v>1063</v>
      </c>
      <c r="B489" t="s">
        <v>46</v>
      </c>
      <c r="C489" t="str">
        <f>IF(ISBLANK(Table4[[#This Row],[Region]]),Table4[[#This Row],[Node Type]],Table4[[#This Row],[Region]])</f>
        <v/>
      </c>
      <c r="E489" t="str">
        <f>IF(ISERROR(SEARCH("Node",Table4[[#This Row],[Type]])),IF(ISERROR(SEARCH("Iliac",Table4[[#This Row],[Type]])),"",Table4[[#This Row],[Type]]),Table4[[#This Row],[Type]])</f>
        <v/>
      </c>
      <c r="I489">
        <v>50</v>
      </c>
      <c r="L489" t="s">
        <v>46</v>
      </c>
    </row>
    <row r="490" spans="1:19" x14ac:dyDescent="0.25">
      <c r="A490" t="s">
        <v>1065</v>
      </c>
      <c r="B490" t="s">
        <v>173</v>
      </c>
      <c r="C490" t="str">
        <f>IF(ISBLANK(Table4[[#This Row],[Region]]),Table4[[#This Row],[Node Type]],Table4[[#This Row],[Region]])</f>
        <v/>
      </c>
      <c r="E490" t="str">
        <f>IF(ISERROR(SEARCH("Node",Table4[[#This Row],[Type]])),IF(ISERROR(SEARCH("Iliac",Table4[[#This Row],[Type]])),"",Table4[[#This Row],[Type]]),Table4[[#This Row],[Type]])</f>
        <v/>
      </c>
      <c r="L490" t="s">
        <v>226</v>
      </c>
      <c r="O490" t="s">
        <v>294</v>
      </c>
      <c r="R490" t="s">
        <v>215</v>
      </c>
      <c r="S490">
        <v>1</v>
      </c>
    </row>
    <row r="491" spans="1:19" x14ac:dyDescent="0.25">
      <c r="A491" t="s">
        <v>1066</v>
      </c>
      <c r="B491" t="s">
        <v>77</v>
      </c>
      <c r="C491" t="str">
        <f>IF(ISBLANK(Table4[[#This Row],[Region]]),Table4[[#This Row],[Node Type]],Table4[[#This Row],[Region]])</f>
        <v/>
      </c>
      <c r="E491" t="str">
        <f>IF(ISERROR(SEARCH("Node",Table4[[#This Row],[Type]])),IF(ISERROR(SEARCH("Iliac",Table4[[#This Row],[Type]])),"",Table4[[#This Row],[Type]]),Table4[[#This Row],[Type]])</f>
        <v/>
      </c>
      <c r="I491">
        <v>50</v>
      </c>
      <c r="J491" t="s">
        <v>1067</v>
      </c>
      <c r="L491" t="s">
        <v>77</v>
      </c>
      <c r="P491" t="s">
        <v>83</v>
      </c>
    </row>
    <row r="492" spans="1:19" x14ac:dyDescent="0.25">
      <c r="A492" t="s">
        <v>1071</v>
      </c>
      <c r="B492" t="s">
        <v>77</v>
      </c>
      <c r="C492" t="str">
        <f>IF(ISBLANK(Table4[[#This Row],[Region]]),Table4[[#This Row],[Node Type]],Table4[[#This Row],[Region]])</f>
        <v/>
      </c>
      <c r="E492" t="str">
        <f>IF(ISERROR(SEARCH("Node",Table4[[#This Row],[Type]])),IF(ISERROR(SEARCH("Iliac",Table4[[#This Row],[Type]])),"",Table4[[#This Row],[Type]]),Table4[[#This Row],[Type]])</f>
        <v/>
      </c>
      <c r="L492" t="s">
        <v>77</v>
      </c>
      <c r="M492" t="s">
        <v>79</v>
      </c>
    </row>
    <row r="493" spans="1:19" x14ac:dyDescent="0.25">
      <c r="A493" t="s">
        <v>1072</v>
      </c>
      <c r="B493" t="s">
        <v>77</v>
      </c>
      <c r="C493" t="str">
        <f>IF(ISBLANK(Table4[[#This Row],[Region]]),Table4[[#This Row],[Node Type]],Table4[[#This Row],[Region]])</f>
        <v/>
      </c>
      <c r="E493" t="str">
        <f>IF(ISERROR(SEARCH("Node",Table4[[#This Row],[Type]])),IF(ISERROR(SEARCH("Iliac",Table4[[#This Row],[Type]])),"",Table4[[#This Row],[Type]]),Table4[[#This Row],[Type]])</f>
        <v/>
      </c>
      <c r="J493" t="s">
        <v>1073</v>
      </c>
      <c r="L493" t="s">
        <v>77</v>
      </c>
    </row>
    <row r="494" spans="1:19" x14ac:dyDescent="0.25">
      <c r="A494" t="s">
        <v>1074</v>
      </c>
      <c r="B494" t="s">
        <v>77</v>
      </c>
      <c r="C494" t="str">
        <f>IF(ISBLANK(Table4[[#This Row],[Region]]),Table4[[#This Row],[Node Type]],Table4[[#This Row],[Region]])</f>
        <v/>
      </c>
      <c r="E494" t="str">
        <f>IF(ISERROR(SEARCH("Node",Table4[[#This Row],[Type]])),IF(ISERROR(SEARCH("Iliac",Table4[[#This Row],[Type]])),"",Table4[[#This Row],[Type]]),Table4[[#This Row],[Type]])</f>
        <v/>
      </c>
      <c r="J494" t="s">
        <v>1073</v>
      </c>
      <c r="L494" t="s">
        <v>77</v>
      </c>
    </row>
    <row r="495" spans="1:19" x14ac:dyDescent="0.25">
      <c r="A495" t="s">
        <v>1075</v>
      </c>
      <c r="B495" t="s">
        <v>77</v>
      </c>
      <c r="C495" t="str">
        <f>IF(ISBLANK(Table4[[#This Row],[Region]]),Table4[[#This Row],[Node Type]],Table4[[#This Row],[Region]])</f>
        <v/>
      </c>
      <c r="E495" t="str">
        <f>IF(ISERROR(SEARCH("Node",Table4[[#This Row],[Type]])),IF(ISERROR(SEARCH("Iliac",Table4[[#This Row],[Type]])),"",Table4[[#This Row],[Type]]),Table4[[#This Row],[Type]])</f>
        <v/>
      </c>
      <c r="L495" t="s">
        <v>77</v>
      </c>
      <c r="M495" t="s">
        <v>79</v>
      </c>
    </row>
    <row r="496" spans="1:19" x14ac:dyDescent="0.25">
      <c r="A496" t="s">
        <v>1076</v>
      </c>
      <c r="B496" t="s">
        <v>48</v>
      </c>
      <c r="C496" t="str">
        <f>IF(ISBLANK(Table4[[#This Row],[Region]]),Table4[[#This Row],[Node Type]],Table4[[#This Row],[Region]])</f>
        <v/>
      </c>
      <c r="E496" t="str">
        <f>IF(ISERROR(SEARCH("Node",Table4[[#This Row],[Type]])),IF(ISERROR(SEARCH("Iliac",Table4[[#This Row],[Type]])),"",Table4[[#This Row],[Type]]),Table4[[#This Row],[Type]])</f>
        <v/>
      </c>
      <c r="L496" t="s">
        <v>46</v>
      </c>
      <c r="M496" t="s">
        <v>79</v>
      </c>
    </row>
    <row r="497" spans="1:16" x14ac:dyDescent="0.25">
      <c r="A497" t="s">
        <v>1080</v>
      </c>
      <c r="B497" t="s">
        <v>48</v>
      </c>
      <c r="C497" t="str">
        <f>IF(ISBLANK(Table4[[#This Row],[Region]]),Table4[[#This Row],[Node Type]],Table4[[#This Row],[Region]])</f>
        <v/>
      </c>
      <c r="E497" t="str">
        <f>IF(ISERROR(SEARCH("Node",Table4[[#This Row],[Type]])),IF(ISERROR(SEARCH("Iliac",Table4[[#This Row],[Type]])),"",Table4[[#This Row],[Type]]),Table4[[#This Row],[Type]])</f>
        <v/>
      </c>
      <c r="L497" t="s">
        <v>46</v>
      </c>
      <c r="M497" t="s">
        <v>79</v>
      </c>
    </row>
    <row r="498" spans="1:16" x14ac:dyDescent="0.25">
      <c r="A498" t="s">
        <v>1081</v>
      </c>
      <c r="B498" t="s">
        <v>46</v>
      </c>
      <c r="C498" t="str">
        <f>IF(ISBLANK(Table4[[#This Row],[Region]]),Table4[[#This Row],[Node Type]],Table4[[#This Row],[Region]])</f>
        <v/>
      </c>
      <c r="E498" t="str">
        <f>IF(ISERROR(SEARCH("Node",Table4[[#This Row],[Type]])),IF(ISERROR(SEARCH("Iliac",Table4[[#This Row],[Type]])),"",Table4[[#This Row],[Type]]),Table4[[#This Row],[Type]])</f>
        <v/>
      </c>
      <c r="J498" t="s">
        <v>1073</v>
      </c>
      <c r="L498" t="s">
        <v>46</v>
      </c>
    </row>
    <row r="499" spans="1:16" x14ac:dyDescent="0.25">
      <c r="A499" t="s">
        <v>1082</v>
      </c>
      <c r="B499" t="s">
        <v>46</v>
      </c>
      <c r="C499" t="str">
        <f>IF(ISBLANK(Table4[[#This Row],[Region]]),Table4[[#This Row],[Node Type]],Table4[[#This Row],[Region]])</f>
        <v/>
      </c>
      <c r="E499" t="str">
        <f>IF(ISERROR(SEARCH("Node",Table4[[#This Row],[Type]])),IF(ISERROR(SEARCH("Iliac",Table4[[#This Row],[Type]])),"",Table4[[#This Row],[Type]]),Table4[[#This Row],[Type]])</f>
        <v/>
      </c>
      <c r="L499" t="s">
        <v>46</v>
      </c>
    </row>
    <row r="500" spans="1:16" x14ac:dyDescent="0.25">
      <c r="A500" t="s">
        <v>1084</v>
      </c>
      <c r="B500" t="s">
        <v>95</v>
      </c>
      <c r="C500" t="str">
        <f>IF(ISBLANK(Table4[[#This Row],[Region]]),Table4[[#This Row],[Node Type]],Table4[[#This Row],[Region]])</f>
        <v/>
      </c>
      <c r="E500" t="str">
        <f>IF(ISERROR(SEARCH("Node",Table4[[#This Row],[Type]])),IF(ISERROR(SEARCH("Iliac",Table4[[#This Row],[Type]])),"",Table4[[#This Row],[Type]]),Table4[[#This Row],[Type]])</f>
        <v/>
      </c>
      <c r="L500" t="s">
        <v>46</v>
      </c>
      <c r="M500" t="s">
        <v>79</v>
      </c>
    </row>
    <row r="501" spans="1:16" x14ac:dyDescent="0.25">
      <c r="A501" t="s">
        <v>1085</v>
      </c>
      <c r="B501" t="s">
        <v>77</v>
      </c>
      <c r="C501" t="str">
        <f>IF(ISBLANK(Table4[[#This Row],[Region]]),Table4[[#This Row],[Node Type]],Table4[[#This Row],[Region]])</f>
        <v/>
      </c>
      <c r="E501" t="str">
        <f>IF(ISERROR(SEARCH("Node",Table4[[#This Row],[Type]])),IF(ISERROR(SEARCH("Iliac",Table4[[#This Row],[Type]])),"",Table4[[#This Row],[Type]]),Table4[[#This Row],[Type]])</f>
        <v/>
      </c>
      <c r="L501" t="s">
        <v>77</v>
      </c>
    </row>
    <row r="502" spans="1:16" x14ac:dyDescent="0.25">
      <c r="A502" t="s">
        <v>1086</v>
      </c>
      <c r="B502" t="s">
        <v>77</v>
      </c>
      <c r="C502" t="str">
        <f>IF(ISBLANK(Table4[[#This Row],[Region]]),Table4[[#This Row],[Node Type]],Table4[[#This Row],[Region]])</f>
        <v/>
      </c>
      <c r="E502" t="str">
        <f>IF(ISERROR(SEARCH("Node",Table4[[#This Row],[Type]])),IF(ISERROR(SEARCH("Iliac",Table4[[#This Row],[Type]])),"",Table4[[#This Row],[Type]]),Table4[[#This Row],[Type]])</f>
        <v/>
      </c>
      <c r="L502" t="s">
        <v>77</v>
      </c>
    </row>
    <row r="503" spans="1:16" x14ac:dyDescent="0.25">
      <c r="A503" t="s">
        <v>1087</v>
      </c>
      <c r="B503" t="s">
        <v>77</v>
      </c>
      <c r="C503" t="str">
        <f>IF(ISBLANK(Table4[[#This Row],[Region]]),Table4[[#This Row],[Node Type]],Table4[[#This Row],[Region]])</f>
        <v/>
      </c>
      <c r="E503" t="str">
        <f>IF(ISERROR(SEARCH("Node",Table4[[#This Row],[Type]])),IF(ISERROR(SEARCH("Iliac",Table4[[#This Row],[Type]])),"",Table4[[#This Row],[Type]]),Table4[[#This Row],[Type]])</f>
        <v/>
      </c>
      <c r="L503" t="s">
        <v>77</v>
      </c>
      <c r="M503" t="s">
        <v>79</v>
      </c>
    </row>
    <row r="504" spans="1:16" x14ac:dyDescent="0.25">
      <c r="A504" t="s">
        <v>1088</v>
      </c>
      <c r="B504" t="s">
        <v>48</v>
      </c>
      <c r="C504" t="str">
        <f>IF(ISBLANK(Table4[[#This Row],[Region]]),Table4[[#This Row],[Node Type]],Table4[[#This Row],[Region]])</f>
        <v>Node</v>
      </c>
      <c r="E504" t="str">
        <f>IF(ISERROR(SEARCH("Node",Table4[[#This Row],[Type]])),IF(ISERROR(SEARCH("Iliac",Table4[[#This Row],[Type]])),"",Table4[[#This Row],[Type]]),Table4[[#This Row],[Type]])</f>
        <v>Node</v>
      </c>
      <c r="J504" t="s">
        <v>1089</v>
      </c>
      <c r="L504" t="s">
        <v>49</v>
      </c>
    </row>
    <row r="505" spans="1:16" x14ac:dyDescent="0.25">
      <c r="A505" t="s">
        <v>1090</v>
      </c>
      <c r="B505" t="s">
        <v>48</v>
      </c>
      <c r="C505" t="str">
        <f>IF(ISBLANK(Table4[[#This Row],[Region]]),Table4[[#This Row],[Node Type]],Table4[[#This Row],[Region]])</f>
        <v>Node</v>
      </c>
      <c r="E505" t="str">
        <f>IF(ISERROR(SEARCH("Node",Table4[[#This Row],[Type]])),IF(ISERROR(SEARCH("Iliac",Table4[[#This Row],[Type]])),"",Table4[[#This Row],[Type]]),Table4[[#This Row],[Type]])</f>
        <v>Node</v>
      </c>
      <c r="J505" t="s">
        <v>1089</v>
      </c>
      <c r="L505" t="s">
        <v>49</v>
      </c>
    </row>
    <row r="506" spans="1:16" x14ac:dyDescent="0.25">
      <c r="A506" t="s">
        <v>1091</v>
      </c>
      <c r="B506" t="s">
        <v>77</v>
      </c>
      <c r="C506" t="str">
        <f>IF(ISBLANK(Table4[[#This Row],[Region]]),Table4[[#This Row],[Node Type]],Table4[[#This Row],[Region]])</f>
        <v/>
      </c>
      <c r="E506" t="str">
        <f>IF(ISERROR(SEARCH("Node",Table4[[#This Row],[Type]])),IF(ISERROR(SEARCH("Iliac",Table4[[#This Row],[Type]])),"",Table4[[#This Row],[Type]]),Table4[[#This Row],[Type]])</f>
        <v/>
      </c>
      <c r="I506">
        <v>30</v>
      </c>
      <c r="L506" t="s">
        <v>77</v>
      </c>
    </row>
    <row r="507" spans="1:16" x14ac:dyDescent="0.25">
      <c r="A507" t="s">
        <v>1092</v>
      </c>
      <c r="B507" t="s">
        <v>46</v>
      </c>
      <c r="C507" t="str">
        <f>IF(ISBLANK(Table4[[#This Row],[Region]]),Table4[[#This Row],[Node Type]],Table4[[#This Row],[Region]])</f>
        <v/>
      </c>
      <c r="E507" t="str">
        <f>IF(ISERROR(SEARCH("Node",Table4[[#This Row],[Type]])),IF(ISERROR(SEARCH("Iliac",Table4[[#This Row],[Type]])),"",Table4[[#This Row],[Type]]),Table4[[#This Row],[Type]])</f>
        <v/>
      </c>
      <c r="I507">
        <v>30</v>
      </c>
      <c r="L507" t="s">
        <v>46</v>
      </c>
    </row>
    <row r="508" spans="1:16" x14ac:dyDescent="0.25">
      <c r="A508" t="s">
        <v>1094</v>
      </c>
      <c r="B508" t="s">
        <v>46</v>
      </c>
      <c r="C508" t="str">
        <f>IF(ISBLANK(Table4[[#This Row],[Region]]),Table4[[#This Row],[Node Type]],Table4[[#This Row],[Region]])</f>
        <v/>
      </c>
      <c r="E508" t="str">
        <f>IF(ISERROR(SEARCH("Node",Table4[[#This Row],[Type]])),IF(ISERROR(SEARCH("Iliac",Table4[[#This Row],[Type]])),"",Table4[[#This Row],[Type]]),Table4[[#This Row],[Type]])</f>
        <v/>
      </c>
      <c r="I508">
        <v>20</v>
      </c>
      <c r="L508" t="s">
        <v>46</v>
      </c>
    </row>
    <row r="509" spans="1:16" x14ac:dyDescent="0.25">
      <c r="A509" t="s">
        <v>1100</v>
      </c>
      <c r="B509" t="s">
        <v>46</v>
      </c>
      <c r="C509" t="str">
        <f>IF(ISBLANK(Table4[[#This Row],[Region]]),Table4[[#This Row],[Node Type]],Table4[[#This Row],[Region]])</f>
        <v/>
      </c>
      <c r="E509" t="str">
        <f>IF(ISERROR(SEARCH("Node",Table4[[#This Row],[Type]])),IF(ISERROR(SEARCH("Iliac",Table4[[#This Row],[Type]])),"",Table4[[#This Row],[Type]]),Table4[[#This Row],[Type]])</f>
        <v/>
      </c>
      <c r="I509">
        <v>70</v>
      </c>
      <c r="L509" t="s">
        <v>46</v>
      </c>
      <c r="M509" t="s">
        <v>79</v>
      </c>
    </row>
    <row r="510" spans="1:16" x14ac:dyDescent="0.25">
      <c r="A510" t="s">
        <v>1101</v>
      </c>
      <c r="B510" t="s">
        <v>77</v>
      </c>
      <c r="C510" t="str">
        <f>IF(ISBLANK(Table4[[#This Row],[Region]]),Table4[[#This Row],[Node Type]],Table4[[#This Row],[Region]])</f>
        <v/>
      </c>
      <c r="E510" t="str">
        <f>IF(ISERROR(SEARCH("Node",Table4[[#This Row],[Type]])),IF(ISERROR(SEARCH("Iliac",Table4[[#This Row],[Type]])),"",Table4[[#This Row],[Type]]),Table4[[#This Row],[Type]])</f>
        <v/>
      </c>
      <c r="I510">
        <v>63</v>
      </c>
      <c r="L510" t="s">
        <v>77</v>
      </c>
    </row>
    <row r="511" spans="1:16" x14ac:dyDescent="0.25">
      <c r="A511" t="s">
        <v>1104</v>
      </c>
      <c r="B511" t="s">
        <v>77</v>
      </c>
      <c r="C511" t="str">
        <f>IF(ISBLANK(Table4[[#This Row],[Region]]),Table4[[#This Row],[Node Type]],Table4[[#This Row],[Region]])</f>
        <v/>
      </c>
      <c r="E511" t="str">
        <f>IF(ISERROR(SEARCH("Node",Table4[[#This Row],[Type]])),IF(ISERROR(SEARCH("Iliac",Table4[[#This Row],[Type]])),"",Table4[[#This Row],[Type]]),Table4[[#This Row],[Type]])</f>
        <v/>
      </c>
      <c r="I511">
        <v>63</v>
      </c>
      <c r="L511" t="s">
        <v>77</v>
      </c>
      <c r="P511" t="s">
        <v>85</v>
      </c>
    </row>
    <row r="512" spans="1:16" x14ac:dyDescent="0.25">
      <c r="A512" t="s">
        <v>1111</v>
      </c>
      <c r="B512" t="s">
        <v>20</v>
      </c>
      <c r="C512" t="str">
        <f>IF(ISBLANK(Table4[[#This Row],[Region]]),Table4[[#This Row],[Node Type]],Table4[[#This Row],[Region]])</f>
        <v/>
      </c>
      <c r="E512" t="str">
        <f>IF(ISERROR(SEARCH("Node",Table4[[#This Row],[Type]])),IF(ISERROR(SEARCH("Iliac",Table4[[#This Row],[Type]])),"",Table4[[#This Row],[Type]]),Table4[[#This Row],[Type]])</f>
        <v/>
      </c>
      <c r="I512">
        <v>60</v>
      </c>
      <c r="L512" t="s">
        <v>44</v>
      </c>
    </row>
    <row r="513" spans="1:19" x14ac:dyDescent="0.25">
      <c r="A513" t="s">
        <v>1113</v>
      </c>
      <c r="B513" t="s">
        <v>77</v>
      </c>
      <c r="C513" t="str">
        <f>IF(ISBLANK(Table4[[#This Row],[Region]]),Table4[[#This Row],[Node Type]],Table4[[#This Row],[Region]])</f>
        <v/>
      </c>
      <c r="E513" t="str">
        <f>IF(ISERROR(SEARCH("Node",Table4[[#This Row],[Type]])),IF(ISERROR(SEARCH("Iliac",Table4[[#This Row],[Type]])),"",Table4[[#This Row],[Type]]),Table4[[#This Row],[Type]])</f>
        <v/>
      </c>
      <c r="I513">
        <v>60</v>
      </c>
      <c r="L513" t="s">
        <v>77</v>
      </c>
    </row>
    <row r="514" spans="1:19" x14ac:dyDescent="0.25">
      <c r="A514" t="s">
        <v>1117</v>
      </c>
      <c r="B514" t="s">
        <v>20</v>
      </c>
      <c r="C514" t="str">
        <f>IF(ISBLANK(Table4[[#This Row],[Region]]),Table4[[#This Row],[Node Type]],Table4[[#This Row],[Region]])</f>
        <v/>
      </c>
      <c r="E514" t="str">
        <f>IF(ISERROR(SEARCH("Node",Table4[[#This Row],[Type]])),IF(ISERROR(SEARCH("Iliac",Table4[[#This Row],[Type]])),"",Table4[[#This Row],[Type]]),Table4[[#This Row],[Type]])</f>
        <v/>
      </c>
      <c r="L514" t="s">
        <v>44</v>
      </c>
      <c r="N514" t="s">
        <v>108</v>
      </c>
    </row>
    <row r="515" spans="1:19" x14ac:dyDescent="0.25">
      <c r="A515" t="s">
        <v>1118</v>
      </c>
      <c r="B515" t="s">
        <v>46</v>
      </c>
      <c r="C515" t="str">
        <f>IF(ISBLANK(Table4[[#This Row],[Region]]),Table4[[#This Row],[Node Type]],Table4[[#This Row],[Region]])</f>
        <v/>
      </c>
      <c r="E515" t="str">
        <f>IF(ISERROR(SEARCH("Node",Table4[[#This Row],[Type]])),IF(ISERROR(SEARCH("Iliac",Table4[[#This Row],[Type]])),"",Table4[[#This Row],[Type]]),Table4[[#This Row],[Type]])</f>
        <v/>
      </c>
      <c r="L515" t="s">
        <v>45</v>
      </c>
      <c r="N515" t="s">
        <v>108</v>
      </c>
    </row>
    <row r="516" spans="1:19" x14ac:dyDescent="0.25">
      <c r="A516" t="s">
        <v>1119</v>
      </c>
      <c r="B516" t="s">
        <v>20</v>
      </c>
      <c r="C516" t="str">
        <f>IF(ISBLANK(Table4[[#This Row],[Region]]),Table4[[#This Row],[Node Type]],Table4[[#This Row],[Region]])</f>
        <v/>
      </c>
      <c r="E516" t="str">
        <f>IF(ISERROR(SEARCH("Node",Table4[[#This Row],[Type]])),IF(ISERROR(SEARCH("Iliac",Table4[[#This Row],[Type]])),"",Table4[[#This Row],[Type]]),Table4[[#This Row],[Type]])</f>
        <v/>
      </c>
      <c r="L516" t="s">
        <v>44</v>
      </c>
      <c r="N516" t="s">
        <v>106</v>
      </c>
    </row>
    <row r="517" spans="1:19" x14ac:dyDescent="0.25">
      <c r="A517" t="s">
        <v>1120</v>
      </c>
      <c r="B517" t="s">
        <v>46</v>
      </c>
      <c r="C517" t="str">
        <f>IF(ISBLANK(Table4[[#This Row],[Region]]),Table4[[#This Row],[Node Type]],Table4[[#This Row],[Region]])</f>
        <v/>
      </c>
      <c r="E517" t="str">
        <f>IF(ISERROR(SEARCH("Node",Table4[[#This Row],[Type]])),IF(ISERROR(SEARCH("Iliac",Table4[[#This Row],[Type]])),"",Table4[[#This Row],[Type]]),Table4[[#This Row],[Type]])</f>
        <v/>
      </c>
      <c r="L517" t="s">
        <v>45</v>
      </c>
      <c r="N517" t="s">
        <v>106</v>
      </c>
    </row>
    <row r="518" spans="1:19" x14ac:dyDescent="0.25">
      <c r="A518" t="s">
        <v>1121</v>
      </c>
      <c r="B518" t="s">
        <v>87</v>
      </c>
      <c r="C518" t="str">
        <f>IF(ISBLANK(Table4[[#This Row],[Region]]),Table4[[#This Row],[Node Type]],Table4[[#This Row],[Region]])</f>
        <v/>
      </c>
      <c r="E518" t="str">
        <f>IF(ISERROR(SEARCH("Node",Table4[[#This Row],[Type]])),IF(ISERROR(SEARCH("Iliac",Table4[[#This Row],[Type]])),"",Table4[[#This Row],[Type]]),Table4[[#This Row],[Type]])</f>
        <v/>
      </c>
      <c r="L518" t="s">
        <v>77</v>
      </c>
      <c r="N518" t="s">
        <v>106</v>
      </c>
    </row>
    <row r="519" spans="1:19" x14ac:dyDescent="0.25">
      <c r="A519" t="s">
        <v>1124</v>
      </c>
      <c r="B519" t="s">
        <v>77</v>
      </c>
      <c r="C519" t="str">
        <f>IF(ISBLANK(Table4[[#This Row],[Region]]),Table4[[#This Row],[Node Type]],Table4[[#This Row],[Region]])</f>
        <v/>
      </c>
      <c r="E519" t="str">
        <f>IF(ISERROR(SEARCH("Node",Table4[[#This Row],[Type]])),IF(ISERROR(SEARCH("Iliac",Table4[[#This Row],[Type]])),"",Table4[[#This Row],[Type]]),Table4[[#This Row],[Type]])</f>
        <v/>
      </c>
      <c r="I519">
        <v>39</v>
      </c>
      <c r="L519" t="s">
        <v>77</v>
      </c>
      <c r="P519" t="s">
        <v>83</v>
      </c>
    </row>
    <row r="520" spans="1:19" x14ac:dyDescent="0.25">
      <c r="A520" t="s">
        <v>1126</v>
      </c>
      <c r="B520" t="s">
        <v>77</v>
      </c>
      <c r="C520" t="str">
        <f>IF(ISBLANK(Table4[[#This Row],[Region]]),Table4[[#This Row],[Node Type]],Table4[[#This Row],[Region]])</f>
        <v/>
      </c>
      <c r="E520" t="str">
        <f>IF(ISERROR(SEARCH("Node",Table4[[#This Row],[Type]])),IF(ISERROR(SEARCH("Iliac",Table4[[#This Row],[Type]])),"",Table4[[#This Row],[Type]]),Table4[[#This Row],[Type]])</f>
        <v/>
      </c>
      <c r="I520">
        <v>39</v>
      </c>
      <c r="L520" t="s">
        <v>77</v>
      </c>
      <c r="P520" t="s">
        <v>85</v>
      </c>
      <c r="R520" t="s">
        <v>1127</v>
      </c>
      <c r="S520">
        <v>-2</v>
      </c>
    </row>
    <row r="521" spans="1:19" x14ac:dyDescent="0.25">
      <c r="A521" t="s">
        <v>1135</v>
      </c>
      <c r="B521" t="s">
        <v>46</v>
      </c>
      <c r="C521" t="str">
        <f>IF(ISBLANK(Table4[[#This Row],[Region]]),Table4[[#This Row],[Node Type]],Table4[[#This Row],[Region]])</f>
        <v>Iliac Vessels</v>
      </c>
      <c r="E521" t="str">
        <f>IF(ISERROR(SEARCH("Node",Table4[[#This Row],[Type]])),IF(ISERROR(SEARCH("Iliac",Table4[[#This Row],[Type]])),"",Table4[[#This Row],[Type]]),Table4[[#This Row],[Type]])</f>
        <v>Iliac Vessels</v>
      </c>
      <c r="L521" t="s">
        <v>377</v>
      </c>
      <c r="O521" t="s">
        <v>1136</v>
      </c>
    </row>
    <row r="522" spans="1:19" x14ac:dyDescent="0.25">
      <c r="A522" t="s">
        <v>1142</v>
      </c>
      <c r="B522" t="s">
        <v>77</v>
      </c>
      <c r="C522" t="str">
        <f>IF(ISBLANK(Table4[[#This Row],[Region]]),Table4[[#This Row],[Node Type]],Table4[[#This Row],[Region]])</f>
        <v/>
      </c>
      <c r="E522" t="str">
        <f>IF(ISERROR(SEARCH("Node",Table4[[#This Row],[Type]])),IF(ISERROR(SEARCH("Iliac",Table4[[#This Row],[Type]])),"",Table4[[#This Row],[Type]]),Table4[[#This Row],[Type]])</f>
        <v/>
      </c>
      <c r="I522">
        <v>54</v>
      </c>
      <c r="L522" t="s">
        <v>77</v>
      </c>
      <c r="N522" t="s">
        <v>106</v>
      </c>
      <c r="P522" t="s">
        <v>85</v>
      </c>
    </row>
    <row r="523" spans="1:19" x14ac:dyDescent="0.25">
      <c r="A523" t="s">
        <v>1143</v>
      </c>
      <c r="B523" t="s">
        <v>77</v>
      </c>
      <c r="C523" t="str">
        <f>IF(ISBLANK(Table4[[#This Row],[Region]]),Table4[[#This Row],[Node Type]],Table4[[#This Row],[Region]])</f>
        <v/>
      </c>
      <c r="E523" t="str">
        <f>IF(ISERROR(SEARCH("Node",Table4[[#This Row],[Type]])),IF(ISERROR(SEARCH("Iliac",Table4[[#This Row],[Type]])),"",Table4[[#This Row],[Type]]),Table4[[#This Row],[Type]])</f>
        <v/>
      </c>
      <c r="I523">
        <v>66</v>
      </c>
      <c r="L523" t="s">
        <v>77</v>
      </c>
      <c r="O523" t="s">
        <v>290</v>
      </c>
      <c r="P523" t="s">
        <v>85</v>
      </c>
    </row>
    <row r="524" spans="1:19" x14ac:dyDescent="0.25">
      <c r="A524" t="s">
        <v>1144</v>
      </c>
      <c r="B524" t="s">
        <v>77</v>
      </c>
      <c r="C524" t="str">
        <f>IF(ISBLANK(Table4[[#This Row],[Region]]),Table4[[#This Row],[Node Type]],Table4[[#This Row],[Region]])</f>
        <v/>
      </c>
      <c r="E524" t="str">
        <f>IF(ISERROR(SEARCH("Node",Table4[[#This Row],[Type]])),IF(ISERROR(SEARCH("Iliac",Table4[[#This Row],[Type]])),"",Table4[[#This Row],[Type]]),Table4[[#This Row],[Type]])</f>
        <v/>
      </c>
      <c r="I524">
        <v>66</v>
      </c>
      <c r="L524" t="s">
        <v>77</v>
      </c>
      <c r="O524" t="s">
        <v>292</v>
      </c>
      <c r="P524" t="s">
        <v>85</v>
      </c>
    </row>
    <row r="525" spans="1:19" x14ac:dyDescent="0.25">
      <c r="A525" t="s">
        <v>1157</v>
      </c>
      <c r="B525" t="s">
        <v>77</v>
      </c>
      <c r="C525" t="str">
        <f>IF(ISBLANK(Table4[[#This Row],[Region]]),Table4[[#This Row],[Node Type]],Table4[[#This Row],[Region]])</f>
        <v/>
      </c>
      <c r="E525" t="str">
        <f>IF(ISERROR(SEARCH("Node",Table4[[#This Row],[Type]])),IF(ISERROR(SEARCH("Iliac",Table4[[#This Row],[Type]])),"",Table4[[#This Row],[Type]]),Table4[[#This Row],[Type]])</f>
        <v/>
      </c>
      <c r="I525">
        <v>59.4</v>
      </c>
      <c r="L525" t="s">
        <v>77</v>
      </c>
      <c r="P525" t="s">
        <v>83</v>
      </c>
    </row>
    <row r="526" spans="1:19" x14ac:dyDescent="0.25">
      <c r="A526" t="s">
        <v>1158</v>
      </c>
      <c r="B526" t="s">
        <v>46</v>
      </c>
      <c r="C526" t="str">
        <f>IF(ISBLANK(Table4[[#This Row],[Region]]),Table4[[#This Row],[Node Type]],Table4[[#This Row],[Region]])</f>
        <v/>
      </c>
      <c r="E526" t="str">
        <f>IF(ISERROR(SEARCH("Node",Table4[[#This Row],[Type]])),IF(ISERROR(SEARCH("Iliac",Table4[[#This Row],[Type]])),"",Table4[[#This Row],[Type]]),Table4[[#This Row],[Type]])</f>
        <v/>
      </c>
      <c r="I526">
        <v>59.4</v>
      </c>
      <c r="L526" t="s">
        <v>46</v>
      </c>
      <c r="P526" t="s">
        <v>1159</v>
      </c>
    </row>
    <row r="527" spans="1:19" x14ac:dyDescent="0.25">
      <c r="A527" t="s">
        <v>1160</v>
      </c>
      <c r="B527" t="s">
        <v>20</v>
      </c>
      <c r="C527" t="str">
        <f>IF(ISBLANK(Table4[[#This Row],[Region]]),Table4[[#This Row],[Node Type]],Table4[[#This Row],[Region]])</f>
        <v/>
      </c>
      <c r="E527" t="str">
        <f>IF(ISERROR(SEARCH("Node",Table4[[#This Row],[Type]])),IF(ISERROR(SEARCH("Iliac",Table4[[#This Row],[Type]])),"",Table4[[#This Row],[Type]]),Table4[[#This Row],[Type]])</f>
        <v/>
      </c>
      <c r="J527" t="s">
        <v>1161</v>
      </c>
      <c r="L527" t="s">
        <v>20</v>
      </c>
    </row>
    <row r="528" spans="1:19" x14ac:dyDescent="0.25">
      <c r="A528" t="s">
        <v>1162</v>
      </c>
      <c r="B528" t="s">
        <v>20</v>
      </c>
      <c r="C528" t="str">
        <f>IF(ISBLANK(Table4[[#This Row],[Region]]),Table4[[#This Row],[Node Type]],Table4[[#This Row],[Region]])</f>
        <v/>
      </c>
      <c r="E528" t="str">
        <f>IF(ISERROR(SEARCH("Node",Table4[[#This Row],[Type]])),IF(ISERROR(SEARCH("Iliac",Table4[[#This Row],[Type]])),"",Table4[[#This Row],[Type]]),Table4[[#This Row],[Type]])</f>
        <v/>
      </c>
      <c r="J528" t="s">
        <v>1038</v>
      </c>
      <c r="L528" t="s">
        <v>20</v>
      </c>
      <c r="M528" t="s">
        <v>79</v>
      </c>
    </row>
    <row r="529" spans="1:17" x14ac:dyDescent="0.25">
      <c r="A529" t="s">
        <v>1163</v>
      </c>
      <c r="B529" t="s">
        <v>77</v>
      </c>
      <c r="C529" t="str">
        <f>IF(ISBLANK(Table4[[#This Row],[Region]]),Table4[[#This Row],[Node Type]],Table4[[#This Row],[Region]])</f>
        <v/>
      </c>
      <c r="E529" t="str">
        <f>IF(ISERROR(SEARCH("Node",Table4[[#This Row],[Type]])),IF(ISERROR(SEARCH("Iliac",Table4[[#This Row],[Type]])),"",Table4[[#This Row],[Type]]),Table4[[#This Row],[Type]])</f>
        <v/>
      </c>
      <c r="J529" t="s">
        <v>1161</v>
      </c>
      <c r="L529" t="s">
        <v>77</v>
      </c>
      <c r="P529" t="s">
        <v>85</v>
      </c>
    </row>
    <row r="530" spans="1:17" x14ac:dyDescent="0.25">
      <c r="A530" t="s">
        <v>1033</v>
      </c>
      <c r="B530" t="s">
        <v>48</v>
      </c>
      <c r="C530" t="str">
        <f>IF(ISBLANK(Table4[[#This Row],[Region]]),Table4[[#This Row],[Node Type]],Table4[[#This Row],[Region]])</f>
        <v/>
      </c>
      <c r="E530" t="str">
        <f>IF(ISERROR(SEARCH("Node",Table4[[#This Row],[Type]])),IF(ISERROR(SEARCH("Iliac",Table4[[#This Row],[Type]])),"",Table4[[#This Row],[Type]]),Table4[[#This Row],[Type]])</f>
        <v/>
      </c>
      <c r="H530">
        <v>2</v>
      </c>
      <c r="L530" t="s">
        <v>46</v>
      </c>
    </row>
    <row r="531" spans="1:17" x14ac:dyDescent="0.25">
      <c r="A531" t="s">
        <v>1179</v>
      </c>
      <c r="B531" t="s">
        <v>46</v>
      </c>
      <c r="C531" t="str">
        <f>IF(ISBLANK(Table4[[#This Row],[Region]]),Table4[[#This Row],[Node Type]],Table4[[#This Row],[Region]])</f>
        <v/>
      </c>
      <c r="E531" t="str">
        <f>IF(ISERROR(SEARCH("Node",Table4[[#This Row],[Type]])),IF(ISERROR(SEARCH("Iliac",Table4[[#This Row],[Type]])),"",Table4[[#This Row],[Type]]),Table4[[#This Row],[Type]])</f>
        <v/>
      </c>
      <c r="I531">
        <v>52.5</v>
      </c>
      <c r="L531" t="s">
        <v>46</v>
      </c>
    </row>
    <row r="532" spans="1:17" x14ac:dyDescent="0.25">
      <c r="A532" t="s">
        <v>1181</v>
      </c>
      <c r="B532" t="s">
        <v>77</v>
      </c>
      <c r="C532" t="str">
        <f>IF(ISBLANK(Table4[[#This Row],[Region]]),Table4[[#This Row],[Node Type]],Table4[[#This Row],[Region]])</f>
        <v/>
      </c>
      <c r="E532" t="str">
        <f>IF(ISERROR(SEARCH("Node",Table4[[#This Row],[Type]])),IF(ISERROR(SEARCH("Iliac",Table4[[#This Row],[Type]])),"",Table4[[#This Row],[Type]]),Table4[[#This Row],[Type]])</f>
        <v/>
      </c>
      <c r="I532">
        <v>52.5</v>
      </c>
      <c r="L532" t="s">
        <v>77</v>
      </c>
    </row>
    <row r="533" spans="1:17" x14ac:dyDescent="0.25">
      <c r="A533" t="s">
        <v>1182</v>
      </c>
      <c r="B533" t="s">
        <v>77</v>
      </c>
      <c r="C533" t="str">
        <f>IF(ISBLANK(Table4[[#This Row],[Region]]),Table4[[#This Row],[Node Type]],Table4[[#This Row],[Region]])</f>
        <v/>
      </c>
      <c r="E533" t="str">
        <f>IF(ISERROR(SEARCH("Node",Table4[[#This Row],[Type]])),IF(ISERROR(SEARCH("Iliac",Table4[[#This Row],[Type]])),"",Table4[[#This Row],[Type]]),Table4[[#This Row],[Type]])</f>
        <v/>
      </c>
      <c r="I533">
        <v>63</v>
      </c>
      <c r="L533" t="s">
        <v>77</v>
      </c>
      <c r="N533" t="s">
        <v>108</v>
      </c>
      <c r="O533" t="s">
        <v>290</v>
      </c>
      <c r="P533" t="s">
        <v>85</v>
      </c>
    </row>
    <row r="534" spans="1:17" x14ac:dyDescent="0.25">
      <c r="A534" t="s">
        <v>1183</v>
      </c>
      <c r="B534" t="s">
        <v>48</v>
      </c>
      <c r="C534" t="str">
        <f>IF(ISBLANK(Table4[[#This Row],[Region]]),Table4[[#This Row],[Node Type]],Table4[[#This Row],[Region]])</f>
        <v/>
      </c>
      <c r="E534" t="str">
        <f>IF(ISERROR(SEARCH("Node",Table4[[#This Row],[Type]])),IF(ISERROR(SEARCH("Iliac",Table4[[#This Row],[Type]])),"",Table4[[#This Row],[Type]]),Table4[[#This Row],[Type]])</f>
        <v/>
      </c>
      <c r="J534" t="s">
        <v>1038</v>
      </c>
      <c r="L534" t="s">
        <v>46</v>
      </c>
      <c r="M534" t="s">
        <v>858</v>
      </c>
    </row>
    <row r="535" spans="1:17" x14ac:dyDescent="0.25">
      <c r="A535" t="s">
        <v>1185</v>
      </c>
      <c r="B535" t="s">
        <v>173</v>
      </c>
      <c r="C535" t="str">
        <f>IF(ISBLANK(Table4[[#This Row],[Region]]),Table4[[#This Row],[Node Type]],Table4[[#This Row],[Region]])</f>
        <v/>
      </c>
      <c r="E535" t="str">
        <f>IF(ISERROR(SEARCH("Node",Table4[[#This Row],[Type]])),IF(ISERROR(SEARCH("Iliac",Table4[[#This Row],[Type]])),"",Table4[[#This Row],[Type]]),Table4[[#This Row],[Type]])</f>
        <v/>
      </c>
      <c r="J535" t="s">
        <v>1038</v>
      </c>
      <c r="L535" t="s">
        <v>77</v>
      </c>
      <c r="M535" t="s">
        <v>858</v>
      </c>
    </row>
    <row r="536" spans="1:17" x14ac:dyDescent="0.25">
      <c r="A536" t="s">
        <v>1196</v>
      </c>
      <c r="B536" t="s">
        <v>46</v>
      </c>
      <c r="C536" t="str">
        <f>IF(ISBLANK(Table4[[#This Row],[Region]]),Table4[[#This Row],[Node Type]],Table4[[#This Row],[Region]])</f>
        <v/>
      </c>
      <c r="E536" t="str">
        <f>IF(ISERROR(SEARCH("Node",Table4[[#This Row],[Type]])),IF(ISERROR(SEARCH("Iliac",Table4[[#This Row],[Type]])),"",Table4[[#This Row],[Type]]),Table4[[#This Row],[Type]])</f>
        <v/>
      </c>
      <c r="I536">
        <v>50</v>
      </c>
      <c r="L536" t="s">
        <v>46</v>
      </c>
    </row>
    <row r="537" spans="1:17" x14ac:dyDescent="0.25">
      <c r="A537" t="s">
        <v>1197</v>
      </c>
      <c r="B537" t="s">
        <v>77</v>
      </c>
      <c r="C537" t="str">
        <f>IF(ISBLANK(Table4[[#This Row],[Region]]),Table4[[#This Row],[Node Type]],Table4[[#This Row],[Region]])</f>
        <v/>
      </c>
      <c r="E537" t="str">
        <f>IF(ISERROR(SEARCH("Node",Table4[[#This Row],[Type]])),IF(ISERROR(SEARCH("Iliac",Table4[[#This Row],[Type]])),"",Table4[[#This Row],[Type]]),Table4[[#This Row],[Type]])</f>
        <v/>
      </c>
      <c r="I537">
        <v>50</v>
      </c>
      <c r="L537" t="s">
        <v>77</v>
      </c>
    </row>
    <row r="538" spans="1:17" x14ac:dyDescent="0.25">
      <c r="A538" t="s">
        <v>1198</v>
      </c>
      <c r="B538" t="s">
        <v>173</v>
      </c>
      <c r="C538" t="str">
        <f>IF(ISBLANK(Table4[[#This Row],[Region]]),Table4[[#This Row],[Node Type]],Table4[[#This Row],[Region]])</f>
        <v/>
      </c>
      <c r="E538" t="str">
        <f>IF(ISERROR(SEARCH("Node",Table4[[#This Row],[Type]])),IF(ISERROR(SEARCH("Iliac",Table4[[#This Row],[Type]])),"",Table4[[#This Row],[Type]]),Table4[[#This Row],[Type]])</f>
        <v/>
      </c>
      <c r="I538">
        <v>50</v>
      </c>
      <c r="L538" t="s">
        <v>77</v>
      </c>
    </row>
    <row r="539" spans="1:17" x14ac:dyDescent="0.25">
      <c r="A539" t="s">
        <v>1199</v>
      </c>
      <c r="B539" t="s">
        <v>20</v>
      </c>
      <c r="C539" t="str">
        <f>IF(ISBLANK(Table4[[#This Row],[Region]]),Table4[[#This Row],[Node Type]],Table4[[#This Row],[Region]])</f>
        <v/>
      </c>
      <c r="E539" t="str">
        <f>IF(ISERROR(SEARCH("Node",Table4[[#This Row],[Type]])),IF(ISERROR(SEARCH("Iliac",Table4[[#This Row],[Type]])),"",Table4[[#This Row],[Type]]),Table4[[#This Row],[Type]])</f>
        <v/>
      </c>
      <c r="F539" t="s">
        <v>230</v>
      </c>
      <c r="L539" t="s">
        <v>20</v>
      </c>
    </row>
    <row r="540" spans="1:17" x14ac:dyDescent="0.25">
      <c r="A540" t="s">
        <v>1200</v>
      </c>
      <c r="B540" t="s">
        <v>20</v>
      </c>
      <c r="C540" t="str">
        <f>IF(ISBLANK(Table4[[#This Row],[Region]]),Table4[[#This Row],[Node Type]],Table4[[#This Row],[Region]])</f>
        <v/>
      </c>
      <c r="E540" t="str">
        <f>IF(ISERROR(SEARCH("Node",Table4[[#This Row],[Type]])),IF(ISERROR(SEARCH("Iliac",Table4[[#This Row],[Type]])),"",Table4[[#This Row],[Type]]),Table4[[#This Row],[Type]])</f>
        <v/>
      </c>
      <c r="F540" t="s">
        <v>230</v>
      </c>
      <c r="L540" t="s">
        <v>20</v>
      </c>
    </row>
    <row r="541" spans="1:17" x14ac:dyDescent="0.25">
      <c r="A541" t="s">
        <v>1201</v>
      </c>
      <c r="B541" t="s">
        <v>173</v>
      </c>
      <c r="C541" t="str">
        <f>IF(ISBLANK(Table4[[#This Row],[Region]]),Table4[[#This Row],[Node Type]],Table4[[#This Row],[Region]])</f>
        <v/>
      </c>
      <c r="E541" t="str">
        <f>IF(ISERROR(SEARCH("Node",Table4[[#This Row],[Type]])),IF(ISERROR(SEARCH("Iliac",Table4[[#This Row],[Type]])),"",Table4[[#This Row],[Type]]),Table4[[#This Row],[Type]])</f>
        <v/>
      </c>
      <c r="J541" t="s">
        <v>83</v>
      </c>
      <c r="L541" t="s">
        <v>77</v>
      </c>
    </row>
    <row r="542" spans="1:17" x14ac:dyDescent="0.25">
      <c r="A542" t="s">
        <v>1202</v>
      </c>
      <c r="B542" t="s">
        <v>20</v>
      </c>
      <c r="C542" t="str">
        <f>IF(ISBLANK(Table4[[#This Row],[Region]]),Table4[[#This Row],[Node Type]],Table4[[#This Row],[Region]])</f>
        <v/>
      </c>
      <c r="E542" t="str">
        <f>IF(ISERROR(SEARCH("Node",Table4[[#This Row],[Type]])),IF(ISERROR(SEARCH("Iliac",Table4[[#This Row],[Type]])),"",Table4[[#This Row],[Type]]),Table4[[#This Row],[Type]])</f>
        <v/>
      </c>
      <c r="L542" t="s">
        <v>20</v>
      </c>
    </row>
    <row r="543" spans="1:17" x14ac:dyDescent="0.25">
      <c r="A543" t="s">
        <v>1204</v>
      </c>
      <c r="B543" t="s">
        <v>77</v>
      </c>
      <c r="C543" t="str">
        <f>IF(ISBLANK(Table4[[#This Row],[Region]]),Table4[[#This Row],[Node Type]],Table4[[#This Row],[Region]])</f>
        <v/>
      </c>
      <c r="E543" t="str">
        <f>IF(ISERROR(SEARCH("Node",Table4[[#This Row],[Type]])),IF(ISERROR(SEARCH("Iliac",Table4[[#This Row],[Type]])),"",Table4[[#This Row],[Type]]),Table4[[#This Row],[Type]])</f>
        <v/>
      </c>
      <c r="L543" t="s">
        <v>77</v>
      </c>
      <c r="Q543" t="s">
        <v>605</v>
      </c>
    </row>
    <row r="544" spans="1:17" x14ac:dyDescent="0.25">
      <c r="A544" t="s">
        <v>1207</v>
      </c>
      <c r="B544" t="s">
        <v>77</v>
      </c>
      <c r="C544" t="str">
        <f>IF(ISBLANK(Table4[[#This Row],[Region]]),Table4[[#This Row],[Node Type]],Table4[[#This Row],[Region]])</f>
        <v/>
      </c>
      <c r="E544" t="str">
        <f>IF(ISERROR(SEARCH("Node",Table4[[#This Row],[Type]])),IF(ISERROR(SEARCH("Iliac",Table4[[#This Row],[Type]])),"",Table4[[#This Row],[Type]]),Table4[[#This Row],[Type]])</f>
        <v/>
      </c>
      <c r="I544">
        <v>40</v>
      </c>
      <c r="L544" t="s">
        <v>77</v>
      </c>
      <c r="O544" t="s">
        <v>290</v>
      </c>
      <c r="P544" t="s">
        <v>85</v>
      </c>
    </row>
    <row r="545" spans="1:16" x14ac:dyDescent="0.25">
      <c r="A545" t="s">
        <v>1209</v>
      </c>
      <c r="B545" t="s">
        <v>77</v>
      </c>
      <c r="C545" t="str">
        <f>IF(ISBLANK(Table4[[#This Row],[Region]]),Table4[[#This Row],[Node Type]],Table4[[#This Row],[Region]])</f>
        <v/>
      </c>
      <c r="E545" t="str">
        <f>IF(ISERROR(SEARCH("Node",Table4[[#This Row],[Type]])),IF(ISERROR(SEARCH("Iliac",Table4[[#This Row],[Type]])),"",Table4[[#This Row],[Type]]),Table4[[#This Row],[Type]])</f>
        <v/>
      </c>
      <c r="I545">
        <v>48</v>
      </c>
      <c r="L545" t="s">
        <v>77</v>
      </c>
      <c r="O545" t="s">
        <v>292</v>
      </c>
      <c r="P545" t="s">
        <v>85</v>
      </c>
    </row>
    <row r="546" spans="1:16" x14ac:dyDescent="0.25">
      <c r="A546" t="s">
        <v>1210</v>
      </c>
      <c r="B546" t="s">
        <v>77</v>
      </c>
      <c r="C546" t="str">
        <f>IF(ISBLANK(Table4[[#This Row],[Region]]),Table4[[#This Row],[Node Type]],Table4[[#This Row],[Region]])</f>
        <v/>
      </c>
      <c r="E546" t="str">
        <f>IF(ISERROR(SEARCH("Node",Table4[[#This Row],[Type]])),IF(ISERROR(SEARCH("Iliac",Table4[[#This Row],[Type]])),"",Table4[[#This Row],[Type]]),Table4[[#This Row],[Type]])</f>
        <v/>
      </c>
      <c r="I546">
        <v>48</v>
      </c>
      <c r="L546" t="s">
        <v>77</v>
      </c>
      <c r="P546" t="s">
        <v>85</v>
      </c>
    </row>
    <row r="547" spans="1:16" x14ac:dyDescent="0.25">
      <c r="A547" t="s">
        <v>1212</v>
      </c>
      <c r="B547" t="s">
        <v>77</v>
      </c>
      <c r="C547" t="str">
        <f>IF(ISBLANK(Table4[[#This Row],[Region]]),Table4[[#This Row],[Node Type]],Table4[[#This Row],[Region]])</f>
        <v/>
      </c>
      <c r="E547" t="str">
        <f>IF(ISERROR(SEARCH("Node",Table4[[#This Row],[Type]])),IF(ISERROR(SEARCH("Iliac",Table4[[#This Row],[Type]])),"",Table4[[#This Row],[Type]]),Table4[[#This Row],[Type]])</f>
        <v/>
      </c>
      <c r="I547">
        <v>55</v>
      </c>
      <c r="L547" t="s">
        <v>77</v>
      </c>
      <c r="N547" t="s">
        <v>108</v>
      </c>
      <c r="O547" t="s">
        <v>290</v>
      </c>
      <c r="P547" t="s">
        <v>85</v>
      </c>
    </row>
    <row r="548" spans="1:16" x14ac:dyDescent="0.25">
      <c r="A548" t="s">
        <v>1213</v>
      </c>
      <c r="B548" t="s">
        <v>77</v>
      </c>
      <c r="C548" t="str">
        <f>IF(ISBLANK(Table4[[#This Row],[Region]]),Table4[[#This Row],[Node Type]],Table4[[#This Row],[Region]])</f>
        <v/>
      </c>
      <c r="E548" t="str">
        <f>IF(ISERROR(SEARCH("Node",Table4[[#This Row],[Type]])),IF(ISERROR(SEARCH("Iliac",Table4[[#This Row],[Type]])),"",Table4[[#This Row],[Type]]),Table4[[#This Row],[Type]])</f>
        <v/>
      </c>
      <c r="I548">
        <v>55</v>
      </c>
      <c r="L548" t="s">
        <v>77</v>
      </c>
      <c r="N548" t="s">
        <v>108</v>
      </c>
      <c r="O548" t="s">
        <v>292</v>
      </c>
      <c r="P548" t="s">
        <v>85</v>
      </c>
    </row>
    <row r="549" spans="1:16" x14ac:dyDescent="0.25">
      <c r="A549" t="s">
        <v>1217</v>
      </c>
      <c r="B549" t="s">
        <v>77</v>
      </c>
      <c r="C549" t="str">
        <f>IF(ISBLANK(Table4[[#This Row],[Region]]),Table4[[#This Row],[Node Type]],Table4[[#This Row],[Region]])</f>
        <v/>
      </c>
      <c r="E549" t="str">
        <f>IF(ISERROR(SEARCH("Node",Table4[[#This Row],[Type]])),IF(ISERROR(SEARCH("Iliac",Table4[[#This Row],[Type]])),"",Table4[[#This Row],[Type]]),Table4[[#This Row],[Type]])</f>
        <v/>
      </c>
      <c r="I549">
        <v>55</v>
      </c>
      <c r="J549" t="s">
        <v>1219</v>
      </c>
      <c r="L549" t="s">
        <v>77</v>
      </c>
    </row>
    <row r="550" spans="1:16" x14ac:dyDescent="0.25">
      <c r="A550" t="s">
        <v>1224</v>
      </c>
      <c r="B550" t="s">
        <v>77</v>
      </c>
      <c r="C550" t="str">
        <f>IF(ISBLANK(Table4[[#This Row],[Region]]),Table4[[#This Row],[Node Type]],Table4[[#This Row],[Region]])</f>
        <v/>
      </c>
      <c r="E550" t="str">
        <f>IF(ISERROR(SEARCH("Node",Table4[[#This Row],[Type]])),IF(ISERROR(SEARCH("Iliac",Table4[[#This Row],[Type]])),"",Table4[[#This Row],[Type]]),Table4[[#This Row],[Type]])</f>
        <v/>
      </c>
      <c r="J550" t="s">
        <v>1073</v>
      </c>
      <c r="L550" t="s">
        <v>77</v>
      </c>
    </row>
    <row r="551" spans="1:16" x14ac:dyDescent="0.25">
      <c r="A551" t="s">
        <v>1225</v>
      </c>
      <c r="B551" t="s">
        <v>77</v>
      </c>
      <c r="C551" t="str">
        <f>IF(ISBLANK(Table4[[#This Row],[Region]]),Table4[[#This Row],[Node Type]],Table4[[#This Row],[Region]])</f>
        <v/>
      </c>
      <c r="E551" t="str">
        <f>IF(ISERROR(SEARCH("Node",Table4[[#This Row],[Type]])),IF(ISERROR(SEARCH("Iliac",Table4[[#This Row],[Type]])),"",Table4[[#This Row],[Type]]),Table4[[#This Row],[Type]])</f>
        <v/>
      </c>
      <c r="L551" t="s">
        <v>77</v>
      </c>
    </row>
    <row r="552" spans="1:16" x14ac:dyDescent="0.25">
      <c r="A552" t="s">
        <v>1226</v>
      </c>
      <c r="B552" t="s">
        <v>77</v>
      </c>
      <c r="C552" t="str">
        <f>IF(ISBLANK(Table4[[#This Row],[Region]]),Table4[[#This Row],[Node Type]],Table4[[#This Row],[Region]])</f>
        <v/>
      </c>
      <c r="E552" t="str">
        <f>IF(ISERROR(SEARCH("Node",Table4[[#This Row],[Type]])),IF(ISERROR(SEARCH("Iliac",Table4[[#This Row],[Type]])),"",Table4[[#This Row],[Type]]),Table4[[#This Row],[Type]])</f>
        <v/>
      </c>
      <c r="L552" t="s">
        <v>77</v>
      </c>
    </row>
    <row r="553" spans="1:16" x14ac:dyDescent="0.25">
      <c r="A553" t="s">
        <v>1227</v>
      </c>
      <c r="B553" t="s">
        <v>77</v>
      </c>
      <c r="C553" t="str">
        <f>IF(ISBLANK(Table4[[#This Row],[Region]]),Table4[[#This Row],[Node Type]],Table4[[#This Row],[Region]])</f>
        <v/>
      </c>
      <c r="E553" t="str">
        <f>IF(ISERROR(SEARCH("Node",Table4[[#This Row],[Type]])),IF(ISERROR(SEARCH("Iliac",Table4[[#This Row],[Type]])),"",Table4[[#This Row],[Type]]),Table4[[#This Row],[Type]])</f>
        <v/>
      </c>
      <c r="J553" t="s">
        <v>1073</v>
      </c>
      <c r="L553" t="s">
        <v>77</v>
      </c>
    </row>
    <row r="554" spans="1:16" x14ac:dyDescent="0.25">
      <c r="A554" t="s">
        <v>1229</v>
      </c>
      <c r="B554" t="s">
        <v>46</v>
      </c>
      <c r="C554" t="str">
        <f>IF(ISBLANK(Table4[[#This Row],[Region]]),Table4[[#This Row],[Node Type]],Table4[[#This Row],[Region]])</f>
        <v/>
      </c>
      <c r="E554" t="str">
        <f>IF(ISERROR(SEARCH("Node",Table4[[#This Row],[Type]])),IF(ISERROR(SEARCH("Iliac",Table4[[#This Row],[Type]])),"",Table4[[#This Row],[Type]]),Table4[[#This Row],[Type]])</f>
        <v/>
      </c>
      <c r="L554" t="s">
        <v>46</v>
      </c>
    </row>
    <row r="555" spans="1:16" x14ac:dyDescent="0.25">
      <c r="A555" t="s">
        <v>1230</v>
      </c>
      <c r="B555" t="s">
        <v>46</v>
      </c>
      <c r="C555" t="str">
        <f>IF(ISBLANK(Table4[[#This Row],[Region]]),Table4[[#This Row],[Node Type]],Table4[[#This Row],[Region]])</f>
        <v/>
      </c>
      <c r="E555" t="str">
        <f>IF(ISERROR(SEARCH("Node",Table4[[#This Row],[Type]])),IF(ISERROR(SEARCH("Iliac",Table4[[#This Row],[Type]])),"",Table4[[#This Row],[Type]]),Table4[[#This Row],[Type]])</f>
        <v/>
      </c>
      <c r="J555" t="s">
        <v>1073</v>
      </c>
      <c r="L555" t="s">
        <v>46</v>
      </c>
    </row>
    <row r="556" spans="1:16" x14ac:dyDescent="0.25">
      <c r="A556" t="s">
        <v>1231</v>
      </c>
      <c r="B556" t="s">
        <v>77</v>
      </c>
      <c r="C556" t="str">
        <f>IF(ISBLANK(Table4[[#This Row],[Region]]),Table4[[#This Row],[Node Type]],Table4[[#This Row],[Region]])</f>
        <v/>
      </c>
      <c r="E556" t="str">
        <f>IF(ISERROR(SEARCH("Node",Table4[[#This Row],[Type]])),IF(ISERROR(SEARCH("Iliac",Table4[[#This Row],[Type]])),"",Table4[[#This Row],[Type]]),Table4[[#This Row],[Type]])</f>
        <v/>
      </c>
      <c r="I556">
        <v>20</v>
      </c>
      <c r="L556" t="s">
        <v>77</v>
      </c>
    </row>
    <row r="557" spans="1:16" x14ac:dyDescent="0.25">
      <c r="A557" t="s">
        <v>1232</v>
      </c>
      <c r="B557" t="s">
        <v>77</v>
      </c>
      <c r="C557" t="str">
        <f>IF(ISBLANK(Table4[[#This Row],[Region]]),Table4[[#This Row],[Node Type]],Table4[[#This Row],[Region]])</f>
        <v/>
      </c>
      <c r="E557" t="str">
        <f>IF(ISERROR(SEARCH("Node",Table4[[#This Row],[Type]])),IF(ISERROR(SEARCH("Iliac",Table4[[#This Row],[Type]])),"",Table4[[#This Row],[Type]]),Table4[[#This Row],[Type]])</f>
        <v/>
      </c>
      <c r="I557">
        <v>46.75</v>
      </c>
      <c r="L557" t="s">
        <v>77</v>
      </c>
      <c r="P557" t="s">
        <v>85</v>
      </c>
    </row>
    <row r="558" spans="1:16" x14ac:dyDescent="0.25">
      <c r="A558" t="s">
        <v>1233</v>
      </c>
      <c r="B558" t="s">
        <v>77</v>
      </c>
      <c r="C558" t="str">
        <f>IF(ISBLANK(Table4[[#This Row],[Region]]),Table4[[#This Row],[Node Type]],Table4[[#This Row],[Region]])</f>
        <v/>
      </c>
      <c r="E558" t="str">
        <f>IF(ISERROR(SEARCH("Node",Table4[[#This Row],[Type]])),IF(ISERROR(SEARCH("Iliac",Table4[[#This Row],[Type]])),"",Table4[[#This Row],[Type]]),Table4[[#This Row],[Type]])</f>
        <v/>
      </c>
      <c r="I558">
        <v>46.75</v>
      </c>
      <c r="L558" t="s">
        <v>77</v>
      </c>
    </row>
    <row r="559" spans="1:16" x14ac:dyDescent="0.25">
      <c r="A559" t="s">
        <v>1234</v>
      </c>
      <c r="B559" t="s">
        <v>46</v>
      </c>
      <c r="C559" t="str">
        <f>IF(ISBLANK(Table4[[#This Row],[Region]]),Table4[[#This Row],[Node Type]],Table4[[#This Row],[Region]])</f>
        <v/>
      </c>
      <c r="E559" t="str">
        <f>IF(ISERROR(SEARCH("Node",Table4[[#This Row],[Type]])),IF(ISERROR(SEARCH("Iliac",Table4[[#This Row],[Type]])),"",Table4[[#This Row],[Type]]),Table4[[#This Row],[Type]])</f>
        <v/>
      </c>
      <c r="I559">
        <v>46.75</v>
      </c>
      <c r="L559" t="s">
        <v>46</v>
      </c>
    </row>
    <row r="560" spans="1:16" x14ac:dyDescent="0.25">
      <c r="A560" t="s">
        <v>1235</v>
      </c>
      <c r="B560" t="s">
        <v>77</v>
      </c>
      <c r="C560" t="str">
        <f>IF(ISBLANK(Table4[[#This Row],[Region]]),Table4[[#This Row],[Node Type]],Table4[[#This Row],[Region]])</f>
        <v/>
      </c>
      <c r="E560" t="str">
        <f>IF(ISERROR(SEARCH("Node",Table4[[#This Row],[Type]])),IF(ISERROR(SEARCH("Iliac",Table4[[#This Row],[Type]])),"",Table4[[#This Row],[Type]]),Table4[[#This Row],[Type]])</f>
        <v/>
      </c>
      <c r="I560">
        <v>55</v>
      </c>
      <c r="L560" t="s">
        <v>77</v>
      </c>
      <c r="P560" t="s">
        <v>85</v>
      </c>
    </row>
    <row r="561" spans="1:13" x14ac:dyDescent="0.25">
      <c r="A561" t="s">
        <v>1236</v>
      </c>
      <c r="B561" t="s">
        <v>77</v>
      </c>
      <c r="C561" t="str">
        <f>IF(ISBLANK(Table4[[#This Row],[Region]]),Table4[[#This Row],[Node Type]],Table4[[#This Row],[Region]])</f>
        <v/>
      </c>
      <c r="E561" t="str">
        <f>IF(ISERROR(SEARCH("Node",Table4[[#This Row],[Type]])),IF(ISERROR(SEARCH("Iliac",Table4[[#This Row],[Type]])),"",Table4[[#This Row],[Type]]),Table4[[#This Row],[Type]])</f>
        <v/>
      </c>
      <c r="H561">
        <v>4</v>
      </c>
      <c r="I561">
        <v>21</v>
      </c>
      <c r="L561" t="s">
        <v>77</v>
      </c>
    </row>
    <row r="562" spans="1:13" x14ac:dyDescent="0.25">
      <c r="A562" t="s">
        <v>1237</v>
      </c>
      <c r="B562" t="s">
        <v>77</v>
      </c>
      <c r="C562" t="str">
        <f>IF(ISBLANK(Table4[[#This Row],[Region]]),Table4[[#This Row],[Node Type]],Table4[[#This Row],[Region]])</f>
        <v/>
      </c>
      <c r="E562" t="str">
        <f>IF(ISERROR(SEARCH("Node",Table4[[#This Row],[Type]])),IF(ISERROR(SEARCH("Iliac",Table4[[#This Row],[Type]])),"",Table4[[#This Row],[Type]]),Table4[[#This Row],[Type]])</f>
        <v/>
      </c>
      <c r="H562">
        <v>3</v>
      </c>
      <c r="I562">
        <v>18</v>
      </c>
      <c r="L562" t="s">
        <v>77</v>
      </c>
    </row>
    <row r="563" spans="1:13" x14ac:dyDescent="0.25">
      <c r="A563" t="s">
        <v>1239</v>
      </c>
      <c r="B563" t="s">
        <v>77</v>
      </c>
      <c r="C563" t="str">
        <f>IF(ISBLANK(Table4[[#This Row],[Region]]),Table4[[#This Row],[Node Type]],Table4[[#This Row],[Region]])</f>
        <v/>
      </c>
      <c r="E563" t="str">
        <f>IF(ISERROR(SEARCH("Node",Table4[[#This Row],[Type]])),IF(ISERROR(SEARCH("Iliac",Table4[[#This Row],[Type]])),"",Table4[[#This Row],[Type]]),Table4[[#This Row],[Type]])</f>
        <v/>
      </c>
      <c r="H563">
        <v>1</v>
      </c>
      <c r="I563">
        <v>21</v>
      </c>
      <c r="L563" t="s">
        <v>77</v>
      </c>
    </row>
    <row r="564" spans="1:13" x14ac:dyDescent="0.25">
      <c r="A564" t="s">
        <v>1240</v>
      </c>
      <c r="B564" t="s">
        <v>20</v>
      </c>
      <c r="C564" t="str">
        <f>IF(ISBLANK(Table4[[#This Row],[Region]]),Table4[[#This Row],[Node Type]],Table4[[#This Row],[Region]])</f>
        <v/>
      </c>
      <c r="E564" t="str">
        <f>IF(ISERROR(SEARCH("Node",Table4[[#This Row],[Type]])),IF(ISERROR(SEARCH("Iliac",Table4[[#This Row],[Type]])),"",Table4[[#This Row],[Type]]),Table4[[#This Row],[Type]])</f>
        <v/>
      </c>
      <c r="H564">
        <v>4</v>
      </c>
      <c r="I564">
        <v>21</v>
      </c>
      <c r="L564" t="s">
        <v>20</v>
      </c>
    </row>
    <row r="565" spans="1:13" x14ac:dyDescent="0.25">
      <c r="A565" t="s">
        <v>1241</v>
      </c>
      <c r="B565" t="s">
        <v>20</v>
      </c>
      <c r="C565" t="str">
        <f>IF(ISBLANK(Table4[[#This Row],[Region]]),Table4[[#This Row],[Node Type]],Table4[[#This Row],[Region]])</f>
        <v/>
      </c>
      <c r="E565" t="str">
        <f>IF(ISERROR(SEARCH("Node",Table4[[#This Row],[Type]])),IF(ISERROR(SEARCH("Iliac",Table4[[#This Row],[Type]])),"",Table4[[#This Row],[Type]]),Table4[[#This Row],[Type]])</f>
        <v/>
      </c>
      <c r="H565">
        <v>3</v>
      </c>
      <c r="I565">
        <v>18</v>
      </c>
      <c r="L565" t="s">
        <v>20</v>
      </c>
    </row>
    <row r="566" spans="1:13" x14ac:dyDescent="0.25">
      <c r="A566" t="s">
        <v>1242</v>
      </c>
      <c r="B566" t="s">
        <v>20</v>
      </c>
      <c r="C566" t="str">
        <f>IF(ISBLANK(Table4[[#This Row],[Region]]),Table4[[#This Row],[Node Type]],Table4[[#This Row],[Region]])</f>
        <v/>
      </c>
      <c r="E566" t="str">
        <f>IF(ISERROR(SEARCH("Node",Table4[[#This Row],[Type]])),IF(ISERROR(SEARCH("Iliac",Table4[[#This Row],[Type]])),"",Table4[[#This Row],[Type]]),Table4[[#This Row],[Type]])</f>
        <v/>
      </c>
      <c r="H566">
        <v>1</v>
      </c>
      <c r="I566">
        <v>21</v>
      </c>
      <c r="L566" t="s">
        <v>20</v>
      </c>
    </row>
    <row r="567" spans="1:13" x14ac:dyDescent="0.25">
      <c r="A567" t="s">
        <v>1247</v>
      </c>
      <c r="B567" t="s">
        <v>173</v>
      </c>
      <c r="C567" t="str">
        <f>IF(ISBLANK(Table4[[#This Row],[Region]]),Table4[[#This Row],[Node Type]],Table4[[#This Row],[Region]])</f>
        <v/>
      </c>
      <c r="E567" t="str">
        <f>IF(ISERROR(SEARCH("Node",Table4[[#This Row],[Type]])),IF(ISERROR(SEARCH("Iliac",Table4[[#This Row],[Type]])),"",Table4[[#This Row],[Type]]),Table4[[#This Row],[Type]])</f>
        <v/>
      </c>
      <c r="L567" t="s">
        <v>20</v>
      </c>
    </row>
    <row r="568" spans="1:13" x14ac:dyDescent="0.25">
      <c r="A568" t="s">
        <v>1252</v>
      </c>
      <c r="B568" t="s">
        <v>77</v>
      </c>
      <c r="C568" t="str">
        <f>IF(ISBLANK(Table4[[#This Row],[Region]]),Table4[[#This Row],[Node Type]],Table4[[#This Row],[Region]])</f>
        <v/>
      </c>
      <c r="E568" t="str">
        <f>IF(ISERROR(SEARCH("Node",Table4[[#This Row],[Type]])),IF(ISERROR(SEARCH("Iliac",Table4[[#This Row],[Type]])),"",Table4[[#This Row],[Type]]),Table4[[#This Row],[Type]])</f>
        <v/>
      </c>
      <c r="J568" t="s">
        <v>83</v>
      </c>
      <c r="L568" t="s">
        <v>77</v>
      </c>
    </row>
    <row r="569" spans="1:13" x14ac:dyDescent="0.25">
      <c r="A569" t="s">
        <v>1254</v>
      </c>
      <c r="B569" t="s">
        <v>77</v>
      </c>
      <c r="C569" t="str">
        <f>IF(ISBLANK(Table4[[#This Row],[Region]]),Table4[[#This Row],[Node Type]],Table4[[#This Row],[Region]])</f>
        <v/>
      </c>
      <c r="E569" t="str">
        <f>IF(ISERROR(SEARCH("Node",Table4[[#This Row],[Type]])),IF(ISERROR(SEARCH("Iliac",Table4[[#This Row],[Type]])),"",Table4[[#This Row],[Type]]),Table4[[#This Row],[Type]])</f>
        <v/>
      </c>
      <c r="J569" t="s">
        <v>83</v>
      </c>
      <c r="L569" t="s">
        <v>77</v>
      </c>
    </row>
    <row r="570" spans="1:13" x14ac:dyDescent="0.25">
      <c r="A570" t="s">
        <v>1257</v>
      </c>
      <c r="B570" t="s">
        <v>77</v>
      </c>
      <c r="C570" t="str">
        <f>IF(ISBLANK(Table4[[#This Row],[Region]]),Table4[[#This Row],[Node Type]],Table4[[#This Row],[Region]])</f>
        <v/>
      </c>
      <c r="E570" t="str">
        <f>IF(ISERROR(SEARCH("Node",Table4[[#This Row],[Type]])),IF(ISERROR(SEARCH("Iliac",Table4[[#This Row],[Type]])),"",Table4[[#This Row],[Type]]),Table4[[#This Row],[Type]])</f>
        <v/>
      </c>
      <c r="K570" t="s">
        <v>605</v>
      </c>
      <c r="L570" t="s">
        <v>77</v>
      </c>
    </row>
    <row r="571" spans="1:13" x14ac:dyDescent="0.25">
      <c r="A571" t="s">
        <v>1260</v>
      </c>
      <c r="B571" t="s">
        <v>48</v>
      </c>
      <c r="C571" t="str">
        <f>IF(ISBLANK(Table4[[#This Row],[Region]]),Table4[[#This Row],[Node Type]],Table4[[#This Row],[Region]])</f>
        <v/>
      </c>
      <c r="E571" t="str">
        <f>IF(ISERROR(SEARCH("Node",Table4[[#This Row],[Type]])),IF(ISERROR(SEARCH("Iliac",Table4[[#This Row],[Type]])),"",Table4[[#This Row],[Type]]),Table4[[#This Row],[Type]])</f>
        <v/>
      </c>
      <c r="K571" t="s">
        <v>1261</v>
      </c>
      <c r="L571" t="s">
        <v>20</v>
      </c>
      <c r="M571" t="s">
        <v>79</v>
      </c>
    </row>
    <row r="572" spans="1:13" x14ac:dyDescent="0.25">
      <c r="A572" t="s">
        <v>1262</v>
      </c>
      <c r="B572" t="s">
        <v>20</v>
      </c>
      <c r="C572" t="str">
        <f>IF(ISBLANK(Table4[[#This Row],[Region]]),Table4[[#This Row],[Node Type]],Table4[[#This Row],[Region]])</f>
        <v/>
      </c>
      <c r="E572" t="str">
        <f>IF(ISERROR(SEARCH("Node",Table4[[#This Row],[Type]])),IF(ISERROR(SEARCH("Iliac",Table4[[#This Row],[Type]])),"",Table4[[#This Row],[Type]]),Table4[[#This Row],[Type]])</f>
        <v/>
      </c>
      <c r="J572" t="s">
        <v>1263</v>
      </c>
      <c r="L572" t="s">
        <v>137</v>
      </c>
    </row>
    <row r="573" spans="1:13" x14ac:dyDescent="0.25">
      <c r="A573" t="s">
        <v>1264</v>
      </c>
      <c r="B573" t="s">
        <v>77</v>
      </c>
      <c r="C573" t="str">
        <f>IF(ISBLANK(Table4[[#This Row],[Region]]),Table4[[#This Row],[Node Type]],Table4[[#This Row],[Region]])</f>
        <v/>
      </c>
      <c r="E573" t="str">
        <f>IF(ISERROR(SEARCH("Node",Table4[[#This Row],[Type]])),IF(ISERROR(SEARCH("Iliac",Table4[[#This Row],[Type]])),"",Table4[[#This Row],[Type]]),Table4[[#This Row],[Type]])</f>
        <v/>
      </c>
      <c r="L573" t="s">
        <v>46</v>
      </c>
      <c r="M573" t="s">
        <v>137</v>
      </c>
    </row>
    <row r="574" spans="1:13" x14ac:dyDescent="0.25">
      <c r="A574" t="s">
        <v>1267</v>
      </c>
      <c r="B574" t="s">
        <v>77</v>
      </c>
      <c r="C574" t="str">
        <f>IF(ISBLANK(Table4[[#This Row],[Region]]),Table4[[#This Row],[Node Type]],Table4[[#This Row],[Region]])</f>
        <v/>
      </c>
      <c r="E574" t="str">
        <f>IF(ISERROR(SEARCH("Node",Table4[[#This Row],[Type]])),IF(ISERROR(SEARCH("Iliac",Table4[[#This Row],[Type]])),"",Table4[[#This Row],[Type]]),Table4[[#This Row],[Type]])</f>
        <v/>
      </c>
      <c r="H574">
        <v>1</v>
      </c>
      <c r="I574">
        <v>18</v>
      </c>
      <c r="L574" t="s">
        <v>77</v>
      </c>
    </row>
    <row r="575" spans="1:13" x14ac:dyDescent="0.25">
      <c r="A575" t="s">
        <v>1268</v>
      </c>
      <c r="B575" t="s">
        <v>77</v>
      </c>
      <c r="C575" t="str">
        <f>IF(ISBLANK(Table4[[#This Row],[Region]]),Table4[[#This Row],[Node Type]],Table4[[#This Row],[Region]])</f>
        <v/>
      </c>
      <c r="E575" t="str">
        <f>IF(ISERROR(SEARCH("Node",Table4[[#This Row],[Type]])),IF(ISERROR(SEARCH("Iliac",Table4[[#This Row],[Type]])),"",Table4[[#This Row],[Type]]),Table4[[#This Row],[Type]])</f>
        <v/>
      </c>
      <c r="J575" t="s">
        <v>1269</v>
      </c>
      <c r="L575" t="s">
        <v>77</v>
      </c>
    </row>
    <row r="576" spans="1:13" x14ac:dyDescent="0.25">
      <c r="A576" t="s">
        <v>1270</v>
      </c>
      <c r="B576" t="s">
        <v>77</v>
      </c>
      <c r="C576" t="str">
        <f>IF(ISBLANK(Table4[[#This Row],[Region]]),Table4[[#This Row],[Node Type]],Table4[[#This Row],[Region]])</f>
        <v/>
      </c>
      <c r="E576" t="str">
        <f>IF(ISERROR(SEARCH("Node",Table4[[#This Row],[Type]])),IF(ISERROR(SEARCH("Iliac",Table4[[#This Row],[Type]])),"",Table4[[#This Row],[Type]]),Table4[[#This Row],[Type]])</f>
        <v/>
      </c>
      <c r="J576" t="s">
        <v>1271</v>
      </c>
      <c r="L576" t="s">
        <v>77</v>
      </c>
      <c r="M576" t="s">
        <v>858</v>
      </c>
    </row>
    <row r="577" spans="1:16" x14ac:dyDescent="0.25">
      <c r="A577" t="s">
        <v>1272</v>
      </c>
      <c r="B577" t="s">
        <v>77</v>
      </c>
      <c r="C577" t="str">
        <f>IF(ISBLANK(Table4[[#This Row],[Region]]),Table4[[#This Row],[Node Type]],Table4[[#This Row],[Region]])</f>
        <v/>
      </c>
      <c r="E577" t="str">
        <f>IF(ISERROR(SEARCH("Node",Table4[[#This Row],[Type]])),IF(ISERROR(SEARCH("Iliac",Table4[[#This Row],[Type]])),"",Table4[[#This Row],[Type]]),Table4[[#This Row],[Type]])</f>
        <v/>
      </c>
      <c r="J577" t="s">
        <v>1271</v>
      </c>
      <c r="L577" t="s">
        <v>77</v>
      </c>
      <c r="M577" t="s">
        <v>858</v>
      </c>
      <c r="P577" t="s">
        <v>85</v>
      </c>
    </row>
    <row r="578" spans="1:16" x14ac:dyDescent="0.25">
      <c r="A578" t="s">
        <v>1273</v>
      </c>
      <c r="B578" t="s">
        <v>48</v>
      </c>
      <c r="C578" t="str">
        <f>IF(ISBLANK(Table4[[#This Row],[Region]]),Table4[[#This Row],[Node Type]],Table4[[#This Row],[Region]])</f>
        <v/>
      </c>
      <c r="E578" t="str">
        <f>IF(ISERROR(SEARCH("Node",Table4[[#This Row],[Type]])),IF(ISERROR(SEARCH("Iliac",Table4[[#This Row],[Type]])),"",Table4[[#This Row],[Type]]),Table4[[#This Row],[Type]])</f>
        <v/>
      </c>
      <c r="J578" t="s">
        <v>1269</v>
      </c>
      <c r="L578" t="s">
        <v>20</v>
      </c>
    </row>
    <row r="579" spans="1:16" x14ac:dyDescent="0.25">
      <c r="A579" t="s">
        <v>1274</v>
      </c>
      <c r="B579" t="s">
        <v>20</v>
      </c>
      <c r="C579" t="str">
        <f>IF(ISBLANK(Table4[[#This Row],[Region]]),Table4[[#This Row],[Node Type]],Table4[[#This Row],[Region]])</f>
        <v/>
      </c>
      <c r="E579" t="str">
        <f>IF(ISERROR(SEARCH("Node",Table4[[#This Row],[Type]])),IF(ISERROR(SEARCH("Iliac",Table4[[#This Row],[Type]])),"",Table4[[#This Row],[Type]]),Table4[[#This Row],[Type]])</f>
        <v/>
      </c>
      <c r="J579" t="s">
        <v>1271</v>
      </c>
      <c r="L579" t="s">
        <v>20</v>
      </c>
      <c r="M579" t="s">
        <v>858</v>
      </c>
    </row>
    <row r="580" spans="1:16" x14ac:dyDescent="0.25">
      <c r="A580" t="s">
        <v>1275</v>
      </c>
      <c r="B580" t="s">
        <v>48</v>
      </c>
      <c r="C580" t="str">
        <f>IF(ISBLANK(Table4[[#This Row],[Region]]),Table4[[#This Row],[Node Type]],Table4[[#This Row],[Region]])</f>
        <v/>
      </c>
      <c r="E580" t="str">
        <f>IF(ISERROR(SEARCH("Node",Table4[[#This Row],[Type]])),IF(ISERROR(SEARCH("Iliac",Table4[[#This Row],[Type]])),"",Table4[[#This Row],[Type]]),Table4[[#This Row],[Type]])</f>
        <v/>
      </c>
      <c r="J580" t="s">
        <v>1269</v>
      </c>
      <c r="L580" t="s">
        <v>46</v>
      </c>
    </row>
    <row r="581" spans="1:16" x14ac:dyDescent="0.25">
      <c r="A581" t="s">
        <v>1276</v>
      </c>
      <c r="B581" t="s">
        <v>46</v>
      </c>
      <c r="C581" t="str">
        <f>IF(ISBLANK(Table4[[#This Row],[Region]]),Table4[[#This Row],[Node Type]],Table4[[#This Row],[Region]])</f>
        <v/>
      </c>
      <c r="E581" t="str">
        <f>IF(ISERROR(SEARCH("Node",Table4[[#This Row],[Type]])),IF(ISERROR(SEARCH("Iliac",Table4[[#This Row],[Type]])),"",Table4[[#This Row],[Type]]),Table4[[#This Row],[Type]])</f>
        <v/>
      </c>
      <c r="J581" t="s">
        <v>1271</v>
      </c>
      <c r="L581" t="s">
        <v>46</v>
      </c>
      <c r="M581" t="s">
        <v>858</v>
      </c>
    </row>
    <row r="582" spans="1:16" x14ac:dyDescent="0.25">
      <c r="A582" t="s">
        <v>1277</v>
      </c>
      <c r="B582" t="s">
        <v>48</v>
      </c>
      <c r="C582" t="str">
        <f>IF(ISBLANK(Table4[[#This Row],[Region]]),Table4[[#This Row],[Node Type]],Table4[[#This Row],[Region]])</f>
        <v>Iliac vessels</v>
      </c>
      <c r="E582" t="str">
        <f>IF(ISERROR(SEARCH("Node",Table4[[#This Row],[Type]])),IF(ISERROR(SEARCH("Iliac",Table4[[#This Row],[Type]])),"",Table4[[#This Row],[Type]]),Table4[[#This Row],[Type]])</f>
        <v>Iliac vessels</v>
      </c>
      <c r="L582" t="s">
        <v>1277</v>
      </c>
    </row>
    <row r="583" spans="1:16" x14ac:dyDescent="0.25">
      <c r="A583" t="s">
        <v>1281</v>
      </c>
      <c r="B583" t="s">
        <v>48</v>
      </c>
      <c r="C583" t="str">
        <f>IF(ISBLANK(Table4[[#This Row],[Region]]),Table4[[#This Row],[Node Type]],Table4[[#This Row],[Region]])</f>
        <v>iliac vessels</v>
      </c>
      <c r="E583" t="str">
        <f>IF(ISERROR(SEARCH("Node",Table4[[#This Row],[Type]])),IF(ISERROR(SEARCH("Iliac",Table4[[#This Row],[Type]])),"",Table4[[#This Row],[Type]]),Table4[[#This Row],[Type]])</f>
        <v>iliac vessels</v>
      </c>
      <c r="L583" t="s">
        <v>1281</v>
      </c>
    </row>
    <row r="584" spans="1:16" x14ac:dyDescent="0.25">
      <c r="A584" t="s">
        <v>1282</v>
      </c>
      <c r="B584" t="s">
        <v>46</v>
      </c>
      <c r="C584" t="str">
        <f>IF(ISBLANK(Table4[[#This Row],[Region]]),Table4[[#This Row],[Node Type]],Table4[[#This Row],[Region]])</f>
        <v/>
      </c>
      <c r="E584" t="str">
        <f>IF(ISERROR(SEARCH("Node",Table4[[#This Row],[Type]])),IF(ISERROR(SEARCH("Iliac",Table4[[#This Row],[Type]])),"",Table4[[#This Row],[Type]]),Table4[[#This Row],[Type]])</f>
        <v/>
      </c>
      <c r="H584">
        <v>5</v>
      </c>
      <c r="L584" t="s">
        <v>46</v>
      </c>
    </row>
    <row r="585" spans="1:16" x14ac:dyDescent="0.25">
      <c r="A585" t="s">
        <v>1283</v>
      </c>
      <c r="B585" t="s">
        <v>46</v>
      </c>
      <c r="C585" t="str">
        <f>IF(ISBLANK(Table4[[#This Row],[Region]]),Table4[[#This Row],[Node Type]],Table4[[#This Row],[Region]])</f>
        <v/>
      </c>
      <c r="E585" t="str">
        <f>IF(ISERROR(SEARCH("Node",Table4[[#This Row],[Type]])),IF(ISERROR(SEARCH("Iliac",Table4[[#This Row],[Type]])),"",Table4[[#This Row],[Type]]),Table4[[#This Row],[Type]])</f>
        <v/>
      </c>
      <c r="H585">
        <v>3</v>
      </c>
      <c r="L585" t="s">
        <v>46</v>
      </c>
    </row>
    <row r="586" spans="1:16" x14ac:dyDescent="0.25">
      <c r="A586" t="s">
        <v>1284</v>
      </c>
      <c r="B586" t="s">
        <v>46</v>
      </c>
      <c r="C586" t="str">
        <f>IF(ISBLANK(Table4[[#This Row],[Region]]),Table4[[#This Row],[Node Type]],Table4[[#This Row],[Region]])</f>
        <v/>
      </c>
      <c r="E586" t="str">
        <f>IF(ISERROR(SEARCH("Node",Table4[[#This Row],[Type]])),IF(ISERROR(SEARCH("Iliac",Table4[[#This Row],[Type]])),"",Table4[[#This Row],[Type]]),Table4[[#This Row],[Type]])</f>
        <v/>
      </c>
      <c r="H586">
        <v>4</v>
      </c>
      <c r="L586" t="s">
        <v>46</v>
      </c>
    </row>
    <row r="587" spans="1:16" x14ac:dyDescent="0.25">
      <c r="A587" t="s">
        <v>1289</v>
      </c>
      <c r="B587" t="s">
        <v>77</v>
      </c>
      <c r="C587" t="str">
        <f>IF(ISBLANK(Table4[[#This Row],[Region]]),Table4[[#This Row],[Node Type]],Table4[[#This Row],[Region]])</f>
        <v/>
      </c>
      <c r="E587" t="str">
        <f>IF(ISERROR(SEARCH("Node",Table4[[#This Row],[Type]])),IF(ISERROR(SEARCH("Iliac",Table4[[#This Row],[Type]])),"",Table4[[#This Row],[Type]]),Table4[[#This Row],[Type]])</f>
        <v/>
      </c>
      <c r="L587" t="s">
        <v>77</v>
      </c>
      <c r="N587" t="s">
        <v>106</v>
      </c>
    </row>
    <row r="588" spans="1:16" x14ac:dyDescent="0.25">
      <c r="A588" t="s">
        <v>1291</v>
      </c>
      <c r="B588" t="s">
        <v>77</v>
      </c>
      <c r="C588" t="str">
        <f>IF(ISBLANK(Table4[[#This Row],[Region]]),Table4[[#This Row],[Node Type]],Table4[[#This Row],[Region]])</f>
        <v/>
      </c>
      <c r="E588" t="str">
        <f>IF(ISERROR(SEARCH("Node",Table4[[#This Row],[Type]])),IF(ISERROR(SEARCH("Iliac",Table4[[#This Row],[Type]])),"",Table4[[#This Row],[Type]]),Table4[[#This Row],[Type]])</f>
        <v/>
      </c>
      <c r="J588" t="s">
        <v>1292</v>
      </c>
      <c r="L588" t="s">
        <v>77</v>
      </c>
    </row>
    <row r="589" spans="1:16" x14ac:dyDescent="0.25">
      <c r="A589" t="s">
        <v>1293</v>
      </c>
      <c r="B589" t="s">
        <v>46</v>
      </c>
      <c r="C589" t="str">
        <f>IF(ISBLANK(Table4[[#This Row],[Region]]),Table4[[#This Row],[Node Type]],Table4[[#This Row],[Region]])</f>
        <v/>
      </c>
      <c r="E589" t="str">
        <f>IF(ISERROR(SEARCH("Node",Table4[[#This Row],[Type]])),IF(ISERROR(SEARCH("Iliac",Table4[[#This Row],[Type]])),"",Table4[[#This Row],[Type]]),Table4[[#This Row],[Type]])</f>
        <v/>
      </c>
      <c r="L589" t="s">
        <v>46</v>
      </c>
      <c r="N589" t="s">
        <v>106</v>
      </c>
    </row>
    <row r="590" spans="1:16" x14ac:dyDescent="0.25">
      <c r="A590" t="s">
        <v>1294</v>
      </c>
      <c r="B590" t="s">
        <v>46</v>
      </c>
      <c r="C590" t="str">
        <f>IF(ISBLANK(Table4[[#This Row],[Region]]),Table4[[#This Row],[Node Type]],Table4[[#This Row],[Region]])</f>
        <v/>
      </c>
      <c r="E590" t="str">
        <f>IF(ISERROR(SEARCH("Node",Table4[[#This Row],[Type]])),IF(ISERROR(SEARCH("Iliac",Table4[[#This Row],[Type]])),"",Table4[[#This Row],[Type]]),Table4[[#This Row],[Type]])</f>
        <v/>
      </c>
      <c r="F590" t="s">
        <v>175</v>
      </c>
      <c r="L590" t="s">
        <v>46</v>
      </c>
    </row>
    <row r="591" spans="1:16" x14ac:dyDescent="0.25">
      <c r="A591" t="s">
        <v>1295</v>
      </c>
      <c r="B591" t="s">
        <v>77</v>
      </c>
      <c r="C591" t="str">
        <f>IF(ISBLANK(Table4[[#This Row],[Region]]),Table4[[#This Row],[Node Type]],Table4[[#This Row],[Region]])</f>
        <v/>
      </c>
      <c r="E591" t="str">
        <f>IF(ISERROR(SEARCH("Node",Table4[[#This Row],[Type]])),IF(ISERROR(SEARCH("Iliac",Table4[[#This Row],[Type]])),"",Table4[[#This Row],[Type]]),Table4[[#This Row],[Type]])</f>
        <v/>
      </c>
      <c r="F591" t="s">
        <v>175</v>
      </c>
      <c r="L591" t="s">
        <v>77</v>
      </c>
    </row>
    <row r="592" spans="1:16" x14ac:dyDescent="0.25">
      <c r="A592" t="s">
        <v>1296</v>
      </c>
      <c r="B592" t="s">
        <v>77</v>
      </c>
      <c r="C592" t="str">
        <f>IF(ISBLANK(Table4[[#This Row],[Region]]),Table4[[#This Row],[Node Type]],Table4[[#This Row],[Region]])</f>
        <v/>
      </c>
      <c r="E592" t="str">
        <f>IF(ISERROR(SEARCH("Node",Table4[[#This Row],[Type]])),IF(ISERROR(SEARCH("Iliac",Table4[[#This Row],[Type]])),"",Table4[[#This Row],[Type]]),Table4[[#This Row],[Type]])</f>
        <v/>
      </c>
      <c r="H592">
        <v>1</v>
      </c>
      <c r="I592">
        <v>18</v>
      </c>
      <c r="L592" t="s">
        <v>77</v>
      </c>
    </row>
    <row r="593" spans="1:16" x14ac:dyDescent="0.25">
      <c r="A593" t="s">
        <v>1298</v>
      </c>
      <c r="B593" t="s">
        <v>20</v>
      </c>
      <c r="C593" t="str">
        <f>IF(ISBLANK(Table4[[#This Row],[Region]]),Table4[[#This Row],[Node Type]],Table4[[#This Row],[Region]])</f>
        <v/>
      </c>
      <c r="E593" t="str">
        <f>IF(ISERROR(SEARCH("Node",Table4[[#This Row],[Type]])),IF(ISERROR(SEARCH("Iliac",Table4[[#This Row],[Type]])),"",Table4[[#This Row],[Type]]),Table4[[#This Row],[Type]])</f>
        <v/>
      </c>
      <c r="H593">
        <v>1</v>
      </c>
      <c r="I593">
        <v>18</v>
      </c>
      <c r="L593" t="s">
        <v>20</v>
      </c>
    </row>
    <row r="594" spans="1:16" x14ac:dyDescent="0.25">
      <c r="A594" t="s">
        <v>1300</v>
      </c>
      <c r="B594" t="s">
        <v>20</v>
      </c>
      <c r="C594" t="str">
        <f>IF(ISBLANK(Table4[[#This Row],[Region]]),Table4[[#This Row],[Node Type]],Table4[[#This Row],[Region]])</f>
        <v/>
      </c>
      <c r="E594" t="str">
        <f>IF(ISERROR(SEARCH("Node",Table4[[#This Row],[Type]])),IF(ISERROR(SEARCH("Iliac",Table4[[#This Row],[Type]])),"",Table4[[#This Row],[Type]]),Table4[[#This Row],[Type]])</f>
        <v/>
      </c>
      <c r="H594">
        <v>1</v>
      </c>
      <c r="I594">
        <v>30</v>
      </c>
      <c r="L594" t="s">
        <v>20</v>
      </c>
    </row>
    <row r="595" spans="1:16" x14ac:dyDescent="0.25">
      <c r="A595" t="s">
        <v>1302</v>
      </c>
      <c r="B595" t="s">
        <v>77</v>
      </c>
      <c r="C595" t="str">
        <f>IF(ISBLANK(Table4[[#This Row],[Region]]),Table4[[#This Row],[Node Type]],Table4[[#This Row],[Region]])</f>
        <v/>
      </c>
      <c r="E595" t="str">
        <f>IF(ISERROR(SEARCH("Node",Table4[[#This Row],[Type]])),IF(ISERROR(SEARCH("Iliac",Table4[[#This Row],[Type]])),"",Table4[[#This Row],[Type]]),Table4[[#This Row],[Type]])</f>
        <v/>
      </c>
      <c r="H595">
        <v>1</v>
      </c>
      <c r="I595">
        <v>30</v>
      </c>
      <c r="L595" t="s">
        <v>77</v>
      </c>
    </row>
    <row r="596" spans="1:16" x14ac:dyDescent="0.25">
      <c r="A596" t="s">
        <v>1304</v>
      </c>
      <c r="B596" t="s">
        <v>77</v>
      </c>
      <c r="C596" t="str">
        <f>IF(ISBLANK(Table4[[#This Row],[Region]]),Table4[[#This Row],[Node Type]],Table4[[#This Row],[Region]])</f>
        <v/>
      </c>
      <c r="E596" t="str">
        <f>IF(ISERROR(SEARCH("Node",Table4[[#This Row],[Type]])),IF(ISERROR(SEARCH("Iliac",Table4[[#This Row],[Type]])),"",Table4[[#This Row],[Type]]),Table4[[#This Row],[Type]])</f>
        <v/>
      </c>
      <c r="J596" t="s">
        <v>1305</v>
      </c>
      <c r="L596" t="s">
        <v>77</v>
      </c>
    </row>
    <row r="597" spans="1:16" x14ac:dyDescent="0.25">
      <c r="A597" t="s">
        <v>1306</v>
      </c>
      <c r="B597" t="s">
        <v>20</v>
      </c>
      <c r="C597" t="str">
        <f>IF(ISBLANK(Table4[[#This Row],[Region]]),Table4[[#This Row],[Node Type]],Table4[[#This Row],[Region]])</f>
        <v/>
      </c>
      <c r="E597" t="str">
        <f>IF(ISERROR(SEARCH("Node",Table4[[#This Row],[Type]])),IF(ISERROR(SEARCH("Iliac",Table4[[#This Row],[Type]])),"",Table4[[#This Row],[Type]]),Table4[[#This Row],[Type]])</f>
        <v/>
      </c>
      <c r="J597" t="s">
        <v>1305</v>
      </c>
      <c r="L597" t="s">
        <v>20</v>
      </c>
    </row>
    <row r="598" spans="1:16" x14ac:dyDescent="0.25">
      <c r="A598" t="s">
        <v>1307</v>
      </c>
      <c r="B598" t="s">
        <v>46</v>
      </c>
      <c r="C598" t="str">
        <f>IF(ISBLANK(Table4[[#This Row],[Region]]),Table4[[#This Row],[Node Type]],Table4[[#This Row],[Region]])</f>
        <v/>
      </c>
      <c r="E598" t="str">
        <f>IF(ISERROR(SEARCH("Node",Table4[[#This Row],[Type]])),IF(ISERROR(SEARCH("Iliac",Table4[[#This Row],[Type]])),"",Table4[[#This Row],[Type]]),Table4[[#This Row],[Type]])</f>
        <v/>
      </c>
      <c r="J598" t="s">
        <v>1305</v>
      </c>
      <c r="L598" t="s">
        <v>46</v>
      </c>
    </row>
    <row r="599" spans="1:16" x14ac:dyDescent="0.25">
      <c r="A599" t="s">
        <v>1308</v>
      </c>
      <c r="B599" t="s">
        <v>77</v>
      </c>
      <c r="C599" t="str">
        <f>IF(ISBLANK(Table4[[#This Row],[Region]]),Table4[[#This Row],[Node Type]],Table4[[#This Row],[Region]])</f>
        <v/>
      </c>
      <c r="E599" t="str">
        <f>IF(ISERROR(SEARCH("Node",Table4[[#This Row],[Type]])),IF(ISERROR(SEARCH("Iliac",Table4[[#This Row],[Type]])),"",Table4[[#This Row],[Type]]),Table4[[#This Row],[Type]])</f>
        <v/>
      </c>
      <c r="J599" t="s">
        <v>1310</v>
      </c>
      <c r="L599" t="s">
        <v>77</v>
      </c>
      <c r="M599" t="s">
        <v>1309</v>
      </c>
    </row>
    <row r="600" spans="1:16" x14ac:dyDescent="0.25">
      <c r="A600" t="s">
        <v>1311</v>
      </c>
      <c r="B600" t="s">
        <v>20</v>
      </c>
      <c r="C600" t="str">
        <f>IF(ISBLANK(Table4[[#This Row],[Region]]),Table4[[#This Row],[Node Type]],Table4[[#This Row],[Region]])</f>
        <v/>
      </c>
      <c r="E600" t="str">
        <f>IF(ISERROR(SEARCH("Node",Table4[[#This Row],[Type]])),IF(ISERROR(SEARCH("Iliac",Table4[[#This Row],[Type]])),"",Table4[[#This Row],[Type]]),Table4[[#This Row],[Type]])</f>
        <v/>
      </c>
      <c r="J600" t="s">
        <v>1310</v>
      </c>
      <c r="L600" t="s">
        <v>20</v>
      </c>
      <c r="M600" t="s">
        <v>1309</v>
      </c>
    </row>
    <row r="601" spans="1:16" x14ac:dyDescent="0.25">
      <c r="A601" t="s">
        <v>1313</v>
      </c>
      <c r="B601" t="s">
        <v>46</v>
      </c>
      <c r="C601" t="str">
        <f>IF(ISBLANK(Table4[[#This Row],[Region]]),Table4[[#This Row],[Node Type]],Table4[[#This Row],[Region]])</f>
        <v/>
      </c>
      <c r="E601" t="str">
        <f>IF(ISERROR(SEARCH("Node",Table4[[#This Row],[Type]])),IF(ISERROR(SEARCH("Iliac",Table4[[#This Row],[Type]])),"",Table4[[#This Row],[Type]]),Table4[[#This Row],[Type]])</f>
        <v/>
      </c>
      <c r="J601" t="s">
        <v>1310</v>
      </c>
      <c r="L601" t="s">
        <v>46</v>
      </c>
      <c r="M601" t="s">
        <v>1309</v>
      </c>
    </row>
    <row r="602" spans="1:16" x14ac:dyDescent="0.25">
      <c r="A602" t="s">
        <v>1314</v>
      </c>
      <c r="B602" t="s">
        <v>77</v>
      </c>
      <c r="C602" t="str">
        <f>IF(ISBLANK(Table4[[#This Row],[Region]]),Table4[[#This Row],[Node Type]],Table4[[#This Row],[Region]])</f>
        <v/>
      </c>
      <c r="E602" t="str">
        <f>IF(ISERROR(SEARCH("Node",Table4[[#This Row],[Type]])),IF(ISERROR(SEARCH("Iliac",Table4[[#This Row],[Type]])),"",Table4[[#This Row],[Type]]),Table4[[#This Row],[Type]])</f>
        <v/>
      </c>
      <c r="J602" t="s">
        <v>1315</v>
      </c>
      <c r="L602" t="s">
        <v>77</v>
      </c>
      <c r="P602" t="s">
        <v>85</v>
      </c>
    </row>
    <row r="603" spans="1:16" x14ac:dyDescent="0.25">
      <c r="A603" t="s">
        <v>1316</v>
      </c>
      <c r="B603" t="s">
        <v>77</v>
      </c>
      <c r="C603" t="str">
        <f>IF(ISBLANK(Table4[[#This Row],[Region]]),Table4[[#This Row],[Node Type]],Table4[[#This Row],[Region]])</f>
        <v/>
      </c>
      <c r="E603" t="str">
        <f>IF(ISERROR(SEARCH("Node",Table4[[#This Row],[Type]])),IF(ISERROR(SEARCH("Iliac",Table4[[#This Row],[Type]])),"",Table4[[#This Row],[Type]]),Table4[[#This Row],[Type]])</f>
        <v/>
      </c>
      <c r="J603" t="s">
        <v>1317</v>
      </c>
      <c r="L603" t="s">
        <v>77</v>
      </c>
      <c r="P603" t="s">
        <v>85</v>
      </c>
    </row>
    <row r="604" spans="1:16" x14ac:dyDescent="0.25">
      <c r="A604" t="s">
        <v>1318</v>
      </c>
      <c r="B604" t="s">
        <v>77</v>
      </c>
      <c r="C604" t="str">
        <f>IF(ISBLANK(Table4[[#This Row],[Region]]),Table4[[#This Row],[Node Type]],Table4[[#This Row],[Region]])</f>
        <v/>
      </c>
      <c r="E604" t="str">
        <f>IF(ISERROR(SEARCH("Node",Table4[[#This Row],[Type]])),IF(ISERROR(SEARCH("Iliac",Table4[[#This Row],[Type]])),"",Table4[[#This Row],[Type]]),Table4[[#This Row],[Type]])</f>
        <v/>
      </c>
      <c r="J604" t="s">
        <v>1310</v>
      </c>
      <c r="L604" t="s">
        <v>77</v>
      </c>
      <c r="M604" t="s">
        <v>1309</v>
      </c>
      <c r="P604" t="s">
        <v>85</v>
      </c>
    </row>
    <row r="605" spans="1:16" x14ac:dyDescent="0.25">
      <c r="A605" t="s">
        <v>1322</v>
      </c>
      <c r="B605" t="s">
        <v>20</v>
      </c>
      <c r="C605" t="str">
        <f>IF(ISBLANK(Table4[[#This Row],[Region]]),Table4[[#This Row],[Node Type]],Table4[[#This Row],[Region]])</f>
        <v/>
      </c>
      <c r="E605" t="str">
        <f>IF(ISERROR(SEARCH("Node",Table4[[#This Row],[Type]])),IF(ISERROR(SEARCH("Iliac",Table4[[#This Row],[Type]])),"",Table4[[#This Row],[Type]]),Table4[[#This Row],[Type]])</f>
        <v/>
      </c>
      <c r="L605" t="s">
        <v>20</v>
      </c>
      <c r="M605" t="s">
        <v>79</v>
      </c>
    </row>
    <row r="606" spans="1:16" x14ac:dyDescent="0.25">
      <c r="A606" t="s">
        <v>1323</v>
      </c>
      <c r="B606" t="s">
        <v>77</v>
      </c>
      <c r="C606" t="str">
        <f>IF(ISBLANK(Table4[[#This Row],[Region]]),Table4[[#This Row],[Node Type]],Table4[[#This Row],[Region]])</f>
        <v/>
      </c>
      <c r="E606" t="str">
        <f>IF(ISERROR(SEARCH("Node",Table4[[#This Row],[Type]])),IF(ISERROR(SEARCH("Iliac",Table4[[#This Row],[Type]])),"",Table4[[#This Row],[Type]]),Table4[[#This Row],[Type]])</f>
        <v/>
      </c>
      <c r="L606" t="s">
        <v>77</v>
      </c>
      <c r="M606" t="s">
        <v>79</v>
      </c>
    </row>
    <row r="607" spans="1:16" x14ac:dyDescent="0.25">
      <c r="A607" t="s">
        <v>1324</v>
      </c>
      <c r="B607" t="s">
        <v>20</v>
      </c>
      <c r="C607" t="str">
        <f>IF(ISBLANK(Table4[[#This Row],[Region]]),Table4[[#This Row],[Node Type]],Table4[[#This Row],[Region]])</f>
        <v/>
      </c>
      <c r="E607" t="str">
        <f>IF(ISERROR(SEARCH("Node",Table4[[#This Row],[Type]])),IF(ISERROR(SEARCH("Iliac",Table4[[#This Row],[Type]])),"",Table4[[#This Row],[Type]]),Table4[[#This Row],[Type]])</f>
        <v/>
      </c>
      <c r="L607" t="s">
        <v>20</v>
      </c>
      <c r="M607" t="s">
        <v>79</v>
      </c>
    </row>
    <row r="608" spans="1:16" x14ac:dyDescent="0.25">
      <c r="A608" t="s">
        <v>1325</v>
      </c>
      <c r="B608" t="s">
        <v>46</v>
      </c>
      <c r="C608" t="str">
        <f>IF(ISBLANK(Table4[[#This Row],[Region]]),Table4[[#This Row],[Node Type]],Table4[[#This Row],[Region]])</f>
        <v/>
      </c>
      <c r="E608" t="str">
        <f>IF(ISERROR(SEARCH("Node",Table4[[#This Row],[Type]])),IF(ISERROR(SEARCH("Iliac",Table4[[#This Row],[Type]])),"",Table4[[#This Row],[Type]]),Table4[[#This Row],[Type]])</f>
        <v/>
      </c>
      <c r="L608" t="s">
        <v>46</v>
      </c>
      <c r="M608" t="s">
        <v>79</v>
      </c>
    </row>
    <row r="609" spans="1:13" x14ac:dyDescent="0.25">
      <c r="A609" t="s">
        <v>1330</v>
      </c>
      <c r="B609" t="s">
        <v>46</v>
      </c>
      <c r="C609" t="str">
        <f>IF(ISBLANK(Table4[[#This Row],[Region]]),Table4[[#This Row],[Node Type]],Table4[[#This Row],[Region]])</f>
        <v/>
      </c>
      <c r="E609" t="str">
        <f>IF(ISERROR(SEARCH("Node",Table4[[#This Row],[Type]])),IF(ISERROR(SEARCH("Iliac",Table4[[#This Row],[Type]])),"",Table4[[#This Row],[Type]]),Table4[[#This Row],[Type]])</f>
        <v/>
      </c>
      <c r="L609" t="s">
        <v>46</v>
      </c>
      <c r="M609" t="s">
        <v>79</v>
      </c>
    </row>
    <row r="610" spans="1:13" x14ac:dyDescent="0.25">
      <c r="A610" t="s">
        <v>1331</v>
      </c>
      <c r="B610" t="s">
        <v>77</v>
      </c>
      <c r="C610" t="str">
        <f>IF(ISBLANK(Table4[[#This Row],[Region]]),Table4[[#This Row],[Node Type]],Table4[[#This Row],[Region]])</f>
        <v/>
      </c>
      <c r="E610" t="str">
        <f>IF(ISERROR(SEARCH("Node",Table4[[#This Row],[Type]])),IF(ISERROR(SEARCH("Iliac",Table4[[#This Row],[Type]])),"",Table4[[#This Row],[Type]]),Table4[[#This Row],[Type]])</f>
        <v/>
      </c>
      <c r="L610" t="s">
        <v>77</v>
      </c>
      <c r="M610" t="s">
        <v>79</v>
      </c>
    </row>
    <row r="611" spans="1:13" x14ac:dyDescent="0.25">
      <c r="A611" t="s">
        <v>1332</v>
      </c>
      <c r="B611" t="s">
        <v>46</v>
      </c>
      <c r="C611" t="str">
        <f>IF(ISBLANK(Table4[[#This Row],[Region]]),Table4[[#This Row],[Node Type]],Table4[[#This Row],[Region]])</f>
        <v/>
      </c>
      <c r="E611" t="str">
        <f>IF(ISERROR(SEARCH("Node",Table4[[#This Row],[Type]])),IF(ISERROR(SEARCH("Iliac",Table4[[#This Row],[Type]])),"",Table4[[#This Row],[Type]]),Table4[[#This Row],[Type]])</f>
        <v/>
      </c>
      <c r="K611" t="s">
        <v>605</v>
      </c>
      <c r="L611" t="s">
        <v>46</v>
      </c>
    </row>
    <row r="612" spans="1:13" x14ac:dyDescent="0.25">
      <c r="A612" t="s">
        <v>1033</v>
      </c>
      <c r="B612" t="s">
        <v>46</v>
      </c>
      <c r="C612" t="str">
        <f>IF(ISBLANK(Table4[[#This Row],[Region]]),Table4[[#This Row],[Node Type]],Table4[[#This Row],[Region]])</f>
        <v/>
      </c>
      <c r="E612" t="str">
        <f>IF(ISERROR(SEARCH("Node",Table4[[#This Row],[Type]])),IF(ISERROR(SEARCH("Iliac",Table4[[#This Row],[Type]])),"",Table4[[#This Row],[Type]]),Table4[[#This Row],[Type]])</f>
        <v/>
      </c>
      <c r="H612">
        <v>2</v>
      </c>
      <c r="L612" t="s">
        <v>46</v>
      </c>
    </row>
    <row r="613" spans="1:13" x14ac:dyDescent="0.25">
      <c r="A613" t="s">
        <v>1333</v>
      </c>
      <c r="B613" t="s">
        <v>20</v>
      </c>
      <c r="C613" t="str">
        <f>IF(ISBLANK(Table4[[#This Row],[Region]]),Table4[[#This Row],[Node Type]],Table4[[#This Row],[Region]])</f>
        <v/>
      </c>
      <c r="E613" t="str">
        <f>IF(ISERROR(SEARCH("Node",Table4[[#This Row],[Type]])),IF(ISERROR(SEARCH("Iliac",Table4[[#This Row],[Type]])),"",Table4[[#This Row],[Type]]),Table4[[#This Row],[Type]])</f>
        <v/>
      </c>
      <c r="H613">
        <v>2</v>
      </c>
      <c r="L613" t="s">
        <v>20</v>
      </c>
    </row>
    <row r="614" spans="1:13" x14ac:dyDescent="0.25">
      <c r="A614" t="s">
        <v>1334</v>
      </c>
      <c r="B614" t="s">
        <v>20</v>
      </c>
      <c r="C614" t="str">
        <f>IF(ISBLANK(Table4[[#This Row],[Region]]),Table4[[#This Row],[Node Type]],Table4[[#This Row],[Region]])</f>
        <v/>
      </c>
      <c r="E614" t="str">
        <f>IF(ISERROR(SEARCH("Node",Table4[[#This Row],[Type]])),IF(ISERROR(SEARCH("Iliac",Table4[[#This Row],[Type]])),"",Table4[[#This Row],[Type]]),Table4[[#This Row],[Type]])</f>
        <v/>
      </c>
      <c r="K614" t="s">
        <v>552</v>
      </c>
      <c r="L614" t="s">
        <v>20</v>
      </c>
    </row>
    <row r="615" spans="1:13" x14ac:dyDescent="0.25">
      <c r="A615" t="s">
        <v>1335</v>
      </c>
      <c r="B615" t="s">
        <v>46</v>
      </c>
      <c r="C615" t="str">
        <f>IF(ISBLANK(Table4[[#This Row],[Region]]),Table4[[#This Row],[Node Type]],Table4[[#This Row],[Region]])</f>
        <v/>
      </c>
      <c r="E615" t="str">
        <f>IF(ISERROR(SEARCH("Node",Table4[[#This Row],[Type]])),IF(ISERROR(SEARCH("Iliac",Table4[[#This Row],[Type]])),"",Table4[[#This Row],[Type]]),Table4[[#This Row],[Type]])</f>
        <v/>
      </c>
      <c r="K615" t="s">
        <v>552</v>
      </c>
      <c r="L615" t="s">
        <v>46</v>
      </c>
    </row>
    <row r="616" spans="1:13" x14ac:dyDescent="0.25">
      <c r="A616" t="s">
        <v>1336</v>
      </c>
      <c r="B616" t="s">
        <v>77</v>
      </c>
      <c r="C616" t="str">
        <f>IF(ISBLANK(Table4[[#This Row],[Region]]),Table4[[#This Row],[Node Type]],Table4[[#This Row],[Region]])</f>
        <v/>
      </c>
      <c r="E616" t="str">
        <f>IF(ISERROR(SEARCH("Node",Table4[[#This Row],[Type]])),IF(ISERROR(SEARCH("Iliac",Table4[[#This Row],[Type]])),"",Table4[[#This Row],[Type]]),Table4[[#This Row],[Type]])</f>
        <v/>
      </c>
      <c r="H616">
        <v>1</v>
      </c>
      <c r="L616" t="s">
        <v>77</v>
      </c>
    </row>
    <row r="617" spans="1:13" x14ac:dyDescent="0.25">
      <c r="A617" t="s">
        <v>1337</v>
      </c>
      <c r="B617" t="s">
        <v>20</v>
      </c>
      <c r="C617" t="str">
        <f>IF(ISBLANK(Table4[[#This Row],[Region]]),Table4[[#This Row],[Node Type]],Table4[[#This Row],[Region]])</f>
        <v/>
      </c>
      <c r="E617" t="str">
        <f>IF(ISERROR(SEARCH("Node",Table4[[#This Row],[Type]])),IF(ISERROR(SEARCH("Iliac",Table4[[#This Row],[Type]])),"",Table4[[#This Row],[Type]]),Table4[[#This Row],[Type]])</f>
        <v/>
      </c>
      <c r="H617">
        <v>1</v>
      </c>
      <c r="L617" t="s">
        <v>20</v>
      </c>
    </row>
    <row r="618" spans="1:13" x14ac:dyDescent="0.25">
      <c r="A618" t="s">
        <v>1338</v>
      </c>
      <c r="B618" t="s">
        <v>46</v>
      </c>
      <c r="C618" t="str">
        <f>IF(ISBLANK(Table4[[#This Row],[Region]]),Table4[[#This Row],[Node Type]],Table4[[#This Row],[Region]])</f>
        <v/>
      </c>
      <c r="E618" t="str">
        <f>IF(ISERROR(SEARCH("Node",Table4[[#This Row],[Type]])),IF(ISERROR(SEARCH("Iliac",Table4[[#This Row],[Type]])),"",Table4[[#This Row],[Type]]),Table4[[#This Row],[Type]])</f>
        <v/>
      </c>
      <c r="H618">
        <v>1</v>
      </c>
      <c r="L618" t="s">
        <v>46</v>
      </c>
    </row>
    <row r="619" spans="1:13" x14ac:dyDescent="0.25">
      <c r="A619" t="s">
        <v>1343</v>
      </c>
      <c r="B619" t="s">
        <v>20</v>
      </c>
      <c r="C619" t="str">
        <f>IF(ISBLANK(Table4[[#This Row],[Region]]),Table4[[#This Row],[Node Type]],Table4[[#This Row],[Region]])</f>
        <v/>
      </c>
      <c r="E619" t="str">
        <f>IF(ISERROR(SEARCH("Node",Table4[[#This Row],[Type]])),IF(ISERROR(SEARCH("Iliac",Table4[[#This Row],[Type]])),"",Table4[[#This Row],[Type]]),Table4[[#This Row],[Type]])</f>
        <v/>
      </c>
      <c r="H619">
        <v>2</v>
      </c>
      <c r="L619" t="s">
        <v>77</v>
      </c>
    </row>
    <row r="620" spans="1:13" x14ac:dyDescent="0.25">
      <c r="A620" t="s">
        <v>1344</v>
      </c>
      <c r="B620" t="s">
        <v>20</v>
      </c>
      <c r="C620" t="str">
        <f>IF(ISBLANK(Table4[[#This Row],[Region]]),Table4[[#This Row],[Node Type]],Table4[[#This Row],[Region]])</f>
        <v/>
      </c>
      <c r="E620" t="str">
        <f>IF(ISERROR(SEARCH("Node",Table4[[#This Row],[Type]])),IF(ISERROR(SEARCH("Iliac",Table4[[#This Row],[Type]])),"",Table4[[#This Row],[Type]]),Table4[[#This Row],[Type]])</f>
        <v/>
      </c>
      <c r="H620">
        <v>2</v>
      </c>
      <c r="L620" t="s">
        <v>45</v>
      </c>
    </row>
    <row r="621" spans="1:13" x14ac:dyDescent="0.25">
      <c r="A621" t="s">
        <v>1345</v>
      </c>
      <c r="B621" t="s">
        <v>20</v>
      </c>
      <c r="C621" t="str">
        <f>IF(ISBLANK(Table4[[#This Row],[Region]]),Table4[[#This Row],[Node Type]],Table4[[#This Row],[Region]])</f>
        <v/>
      </c>
      <c r="E621" t="str">
        <f>IF(ISERROR(SEARCH("Node",Table4[[#This Row],[Type]])),IF(ISERROR(SEARCH("Iliac",Table4[[#This Row],[Type]])),"",Table4[[#This Row],[Type]]),Table4[[#This Row],[Type]])</f>
        <v/>
      </c>
      <c r="H621">
        <v>2</v>
      </c>
      <c r="L621" t="s">
        <v>44</v>
      </c>
    </row>
    <row r="622" spans="1:13" x14ac:dyDescent="0.25">
      <c r="A622" t="s">
        <v>1346</v>
      </c>
      <c r="B622" t="s">
        <v>20</v>
      </c>
      <c r="C622" t="str">
        <f>IF(ISBLANK(Table4[[#This Row],[Region]]),Table4[[#This Row],[Node Type]],Table4[[#This Row],[Region]])</f>
        <v/>
      </c>
      <c r="E622" t="str">
        <f>IF(ISERROR(SEARCH("Node",Table4[[#This Row],[Type]])),IF(ISERROR(SEARCH("Iliac",Table4[[#This Row],[Type]])),"",Table4[[#This Row],[Type]]),Table4[[#This Row],[Type]])</f>
        <v/>
      </c>
      <c r="H622">
        <v>1</v>
      </c>
      <c r="L622" t="s">
        <v>44</v>
      </c>
    </row>
    <row r="623" spans="1:13" x14ac:dyDescent="0.25">
      <c r="A623" t="s">
        <v>1347</v>
      </c>
      <c r="B623" t="s">
        <v>46</v>
      </c>
      <c r="C623" t="str">
        <f>IF(ISBLANK(Table4[[#This Row],[Region]]),Table4[[#This Row],[Node Type]],Table4[[#This Row],[Region]])</f>
        <v/>
      </c>
      <c r="E623" t="str">
        <f>IF(ISERROR(SEARCH("Node",Table4[[#This Row],[Type]])),IF(ISERROR(SEARCH("Iliac",Table4[[#This Row],[Type]])),"",Table4[[#This Row],[Type]]),Table4[[#This Row],[Type]])</f>
        <v/>
      </c>
      <c r="H623">
        <v>1</v>
      </c>
      <c r="L623" t="s">
        <v>45</v>
      </c>
    </row>
    <row r="624" spans="1:13" x14ac:dyDescent="0.25">
      <c r="A624" t="s">
        <v>1348</v>
      </c>
      <c r="B624" t="s">
        <v>77</v>
      </c>
      <c r="C624" t="str">
        <f>IF(ISBLANK(Table4[[#This Row],[Region]]),Table4[[#This Row],[Node Type]],Table4[[#This Row],[Region]])</f>
        <v/>
      </c>
      <c r="E624" t="str">
        <f>IF(ISERROR(SEARCH("Node",Table4[[#This Row],[Type]])),IF(ISERROR(SEARCH("Iliac",Table4[[#This Row],[Type]])),"",Table4[[#This Row],[Type]]),Table4[[#This Row],[Type]])</f>
        <v/>
      </c>
      <c r="H624">
        <v>1</v>
      </c>
      <c r="L624" t="s">
        <v>77</v>
      </c>
    </row>
    <row r="625" spans="1:16" x14ac:dyDescent="0.25">
      <c r="A625" t="s">
        <v>1349</v>
      </c>
      <c r="B625" t="s">
        <v>87</v>
      </c>
      <c r="C625" t="str">
        <f>IF(ISBLANK(Table4[[#This Row],[Region]]),Table4[[#This Row],[Node Type]],Table4[[#This Row],[Region]])</f>
        <v/>
      </c>
      <c r="E625" t="str">
        <f>IF(ISERROR(SEARCH("Node",Table4[[#This Row],[Type]])),IF(ISERROR(SEARCH("Iliac",Table4[[#This Row],[Type]])),"",Table4[[#This Row],[Type]]),Table4[[#This Row],[Type]])</f>
        <v/>
      </c>
      <c r="H625">
        <v>2</v>
      </c>
      <c r="J625" t="s">
        <v>1350</v>
      </c>
      <c r="L625" t="s">
        <v>77</v>
      </c>
    </row>
    <row r="626" spans="1:16" x14ac:dyDescent="0.25">
      <c r="A626" t="s">
        <v>1351</v>
      </c>
      <c r="B626" t="s">
        <v>87</v>
      </c>
      <c r="C626" t="str">
        <f>IF(ISBLANK(Table4[[#This Row],[Region]]),Table4[[#This Row],[Node Type]],Table4[[#This Row],[Region]])</f>
        <v/>
      </c>
      <c r="E626" t="str">
        <f>IF(ISERROR(SEARCH("Node",Table4[[#This Row],[Type]])),IF(ISERROR(SEARCH("Iliac",Table4[[#This Row],[Type]])),"",Table4[[#This Row],[Type]]),Table4[[#This Row],[Type]])</f>
        <v/>
      </c>
      <c r="H626">
        <v>1</v>
      </c>
      <c r="J626" t="s">
        <v>1352</v>
      </c>
      <c r="L626" t="s">
        <v>77</v>
      </c>
    </row>
    <row r="627" spans="1:16" x14ac:dyDescent="0.25">
      <c r="A627" t="s">
        <v>1361</v>
      </c>
      <c r="B627" t="s">
        <v>46</v>
      </c>
      <c r="C627" t="str">
        <f>IF(ISBLANK(Table4[[#This Row],[Region]]),Table4[[#This Row],[Node Type]],Table4[[#This Row],[Region]])</f>
        <v/>
      </c>
      <c r="E627" t="str">
        <f>IF(ISERROR(SEARCH("Node",Table4[[#This Row],[Type]])),IF(ISERROR(SEARCH("Iliac",Table4[[#This Row],[Type]])),"",Table4[[#This Row],[Type]]),Table4[[#This Row],[Type]])</f>
        <v/>
      </c>
      <c r="J627" t="s">
        <v>1362</v>
      </c>
      <c r="L627" t="s">
        <v>46</v>
      </c>
      <c r="M627" t="s">
        <v>1309</v>
      </c>
    </row>
    <row r="628" spans="1:16" x14ac:dyDescent="0.25">
      <c r="A628" t="s">
        <v>1363</v>
      </c>
      <c r="B628" t="s">
        <v>77</v>
      </c>
      <c r="C628" t="str">
        <f>IF(ISBLANK(Table4[[#This Row],[Region]]),Table4[[#This Row],[Node Type]],Table4[[#This Row],[Region]])</f>
        <v/>
      </c>
      <c r="E628" t="str">
        <f>IF(ISERROR(SEARCH("Node",Table4[[#This Row],[Type]])),IF(ISERROR(SEARCH("Iliac",Table4[[#This Row],[Type]])),"",Table4[[#This Row],[Type]]),Table4[[#This Row],[Type]])</f>
        <v/>
      </c>
      <c r="J628" t="s">
        <v>1362</v>
      </c>
      <c r="L628" t="s">
        <v>77</v>
      </c>
      <c r="M628" t="s">
        <v>1309</v>
      </c>
    </row>
    <row r="629" spans="1:16" x14ac:dyDescent="0.25">
      <c r="A629" t="s">
        <v>1364</v>
      </c>
      <c r="B629" t="s">
        <v>46</v>
      </c>
      <c r="C629" t="str">
        <f>IF(ISBLANK(Table4[[#This Row],[Region]]),Table4[[#This Row],[Node Type]],Table4[[#This Row],[Region]])</f>
        <v/>
      </c>
      <c r="E629" t="str">
        <f>IF(ISERROR(SEARCH("Node",Table4[[#This Row],[Type]])),IF(ISERROR(SEARCH("Iliac",Table4[[#This Row],[Type]])),"",Table4[[#This Row],[Type]]),Table4[[#This Row],[Type]])</f>
        <v/>
      </c>
      <c r="J629" t="s">
        <v>1365</v>
      </c>
      <c r="L629" t="s">
        <v>46</v>
      </c>
      <c r="M629" t="s">
        <v>1309</v>
      </c>
    </row>
    <row r="630" spans="1:16" x14ac:dyDescent="0.25">
      <c r="A630" t="s">
        <v>1366</v>
      </c>
      <c r="B630" t="s">
        <v>20</v>
      </c>
      <c r="C630" t="str">
        <f>IF(ISBLANK(Table4[[#This Row],[Region]]),Table4[[#This Row],[Node Type]],Table4[[#This Row],[Region]])</f>
        <v/>
      </c>
      <c r="E630" t="str">
        <f>IF(ISERROR(SEARCH("Node",Table4[[#This Row],[Type]])),IF(ISERROR(SEARCH("Iliac",Table4[[#This Row],[Type]])),"",Table4[[#This Row],[Type]]),Table4[[#This Row],[Type]])</f>
        <v/>
      </c>
      <c r="J630" t="s">
        <v>1365</v>
      </c>
      <c r="L630" t="s">
        <v>20</v>
      </c>
      <c r="M630" t="s">
        <v>1309</v>
      </c>
    </row>
    <row r="631" spans="1:16" x14ac:dyDescent="0.25">
      <c r="A631" t="s">
        <v>1367</v>
      </c>
      <c r="B631" t="s">
        <v>77</v>
      </c>
      <c r="C631" t="str">
        <f>IF(ISBLANK(Table4[[#This Row],[Region]]),Table4[[#This Row],[Node Type]],Table4[[#This Row],[Region]])</f>
        <v/>
      </c>
      <c r="E631" t="str">
        <f>IF(ISERROR(SEARCH("Node",Table4[[#This Row],[Type]])),IF(ISERROR(SEARCH("Iliac",Table4[[#This Row],[Type]])),"",Table4[[#This Row],[Type]]),Table4[[#This Row],[Type]])</f>
        <v/>
      </c>
      <c r="J631" t="s">
        <v>1365</v>
      </c>
      <c r="L631" t="s">
        <v>77</v>
      </c>
      <c r="M631" t="s">
        <v>1309</v>
      </c>
    </row>
    <row r="632" spans="1:16" x14ac:dyDescent="0.25">
      <c r="A632" t="s">
        <v>139</v>
      </c>
      <c r="B632" t="s">
        <v>46</v>
      </c>
      <c r="C632" t="str">
        <f>IF(ISBLANK(Table4[[#This Row],[Region]]),Table4[[#This Row],[Node Type]],Table4[[#This Row],[Region]])</f>
        <v/>
      </c>
      <c r="E632" t="str">
        <f>IF(ISERROR(SEARCH("Node",Table4[[#This Row],[Type]])),IF(ISERROR(SEARCH("Iliac",Table4[[#This Row],[Type]])),"",Table4[[#This Row],[Type]]),Table4[[#This Row],[Type]])</f>
        <v/>
      </c>
      <c r="L632" t="s">
        <v>46</v>
      </c>
      <c r="M632" t="s">
        <v>79</v>
      </c>
    </row>
    <row r="633" spans="1:16" x14ac:dyDescent="0.25">
      <c r="A633" t="s">
        <v>1368</v>
      </c>
      <c r="B633" t="s">
        <v>20</v>
      </c>
      <c r="C633" t="str">
        <f>IF(ISBLANK(Table4[[#This Row],[Region]]),Table4[[#This Row],[Node Type]],Table4[[#This Row],[Region]])</f>
        <v/>
      </c>
      <c r="E633" t="str">
        <f>IF(ISERROR(SEARCH("Node",Table4[[#This Row],[Type]])),IF(ISERROR(SEARCH("Iliac",Table4[[#This Row],[Type]])),"",Table4[[#This Row],[Type]]),Table4[[#This Row],[Type]])</f>
        <v/>
      </c>
      <c r="J633" t="s">
        <v>1362</v>
      </c>
      <c r="L633" t="s">
        <v>20</v>
      </c>
      <c r="M633" t="s">
        <v>1309</v>
      </c>
    </row>
    <row r="634" spans="1:16" x14ac:dyDescent="0.25">
      <c r="A634" t="s">
        <v>1375</v>
      </c>
      <c r="B634" t="s">
        <v>95</v>
      </c>
      <c r="C634" t="str">
        <f>IF(ISBLANK(Table4[[#This Row],[Region]]),Table4[[#This Row],[Node Type]],Table4[[#This Row],[Region]])</f>
        <v/>
      </c>
      <c r="E634" t="str">
        <f>IF(ISERROR(SEARCH("Node",Table4[[#This Row],[Type]])),IF(ISERROR(SEARCH("Iliac",Table4[[#This Row],[Type]])),"",Table4[[#This Row],[Type]]),Table4[[#This Row],[Type]])</f>
        <v/>
      </c>
      <c r="I634">
        <v>40</v>
      </c>
      <c r="L634" t="s">
        <v>77</v>
      </c>
      <c r="O634" t="s">
        <v>292</v>
      </c>
      <c r="P634" t="s">
        <v>85</v>
      </c>
    </row>
    <row r="635" spans="1:16" x14ac:dyDescent="0.25">
      <c r="A635" t="s">
        <v>1376</v>
      </c>
      <c r="B635" t="s">
        <v>77</v>
      </c>
      <c r="C635" t="str">
        <f>IF(ISBLANK(Table4[[#This Row],[Region]]),Table4[[#This Row],[Node Type]],Table4[[#This Row],[Region]])</f>
        <v/>
      </c>
      <c r="E635" t="str">
        <f>IF(ISERROR(SEARCH("Node",Table4[[#This Row],[Type]])),IF(ISERROR(SEARCH("Iliac",Table4[[#This Row],[Type]])),"",Table4[[#This Row],[Type]]),Table4[[#This Row],[Type]])</f>
        <v/>
      </c>
      <c r="I635">
        <v>40</v>
      </c>
      <c r="L635" t="s">
        <v>77</v>
      </c>
      <c r="O635" t="s">
        <v>290</v>
      </c>
      <c r="P635" t="s">
        <v>85</v>
      </c>
    </row>
    <row r="636" spans="1:16" x14ac:dyDescent="0.25">
      <c r="A636" t="s">
        <v>1379</v>
      </c>
      <c r="B636" t="s">
        <v>77</v>
      </c>
      <c r="C636" t="str">
        <f>IF(ISBLANK(Table4[[#This Row],[Region]]),Table4[[#This Row],[Node Type]],Table4[[#This Row],[Region]])</f>
        <v/>
      </c>
      <c r="E636" t="str">
        <f>IF(ISERROR(SEARCH("Node",Table4[[#This Row],[Type]])),IF(ISERROR(SEARCH("Iliac",Table4[[#This Row],[Type]])),"",Table4[[#This Row],[Type]]),Table4[[#This Row],[Type]])</f>
        <v/>
      </c>
      <c r="I636">
        <v>66</v>
      </c>
      <c r="J636" t="s">
        <v>1380</v>
      </c>
      <c r="L636" t="s">
        <v>77</v>
      </c>
    </row>
    <row r="637" spans="1:16" x14ac:dyDescent="0.25">
      <c r="A637" t="s">
        <v>1381</v>
      </c>
      <c r="B637" t="s">
        <v>77</v>
      </c>
      <c r="C637" t="str">
        <f>IF(ISBLANK(Table4[[#This Row],[Region]]),Table4[[#This Row],[Node Type]],Table4[[#This Row],[Region]])</f>
        <v/>
      </c>
      <c r="E637" t="str">
        <f>IF(ISERROR(SEARCH("Node",Table4[[#This Row],[Type]])),IF(ISERROR(SEARCH("Iliac",Table4[[#This Row],[Type]])),"",Table4[[#This Row],[Type]]),Table4[[#This Row],[Type]])</f>
        <v/>
      </c>
      <c r="I637">
        <v>54</v>
      </c>
      <c r="L637" t="s">
        <v>77</v>
      </c>
      <c r="N637" t="s">
        <v>108</v>
      </c>
    </row>
    <row r="638" spans="1:16" x14ac:dyDescent="0.25">
      <c r="A638" t="s">
        <v>1382</v>
      </c>
      <c r="B638" t="s">
        <v>46</v>
      </c>
      <c r="C638" t="str">
        <f>IF(ISBLANK(Table4[[#This Row],[Region]]),Table4[[#This Row],[Node Type]],Table4[[#This Row],[Region]])</f>
        <v/>
      </c>
      <c r="E638" t="str">
        <f>IF(ISERROR(SEARCH("Node",Table4[[#This Row],[Type]])),IF(ISERROR(SEARCH("Iliac",Table4[[#This Row],[Type]])),"",Table4[[#This Row],[Type]]),Table4[[#This Row],[Type]])</f>
        <v/>
      </c>
      <c r="I638">
        <v>66</v>
      </c>
      <c r="J638" t="s">
        <v>1380</v>
      </c>
      <c r="L638" t="s">
        <v>46</v>
      </c>
    </row>
    <row r="639" spans="1:16" x14ac:dyDescent="0.25">
      <c r="A639" t="s">
        <v>1383</v>
      </c>
      <c r="B639" t="s">
        <v>46</v>
      </c>
      <c r="C639" t="str">
        <f>IF(ISBLANK(Table4[[#This Row],[Region]]),Table4[[#This Row],[Node Type]],Table4[[#This Row],[Region]])</f>
        <v/>
      </c>
      <c r="E639" t="str">
        <f>IF(ISERROR(SEARCH("Node",Table4[[#This Row],[Type]])),IF(ISERROR(SEARCH("Iliac",Table4[[#This Row],[Type]])),"",Table4[[#This Row],[Type]]),Table4[[#This Row],[Type]])</f>
        <v/>
      </c>
      <c r="I639">
        <v>54</v>
      </c>
      <c r="L639" t="s">
        <v>46</v>
      </c>
      <c r="N639" t="s">
        <v>108</v>
      </c>
    </row>
    <row r="640" spans="1:16" x14ac:dyDescent="0.25">
      <c r="A640" t="s">
        <v>1333</v>
      </c>
      <c r="B640" t="s">
        <v>173</v>
      </c>
      <c r="C640" t="str">
        <f>IF(ISBLANK(Table4[[#This Row],[Region]]),Table4[[#This Row],[Node Type]],Table4[[#This Row],[Region]])</f>
        <v/>
      </c>
      <c r="E640" t="str">
        <f>IF(ISERROR(SEARCH("Node",Table4[[#This Row],[Type]])),IF(ISERROR(SEARCH("Iliac",Table4[[#This Row],[Type]])),"",Table4[[#This Row],[Type]]),Table4[[#This Row],[Type]])</f>
        <v/>
      </c>
      <c r="H640">
        <v>2</v>
      </c>
      <c r="L640" t="s">
        <v>20</v>
      </c>
    </row>
    <row r="641" spans="1:12" x14ac:dyDescent="0.25">
      <c r="A641" t="s">
        <v>77</v>
      </c>
      <c r="B641" t="s">
        <v>173</v>
      </c>
      <c r="C641" t="str">
        <f>IF(ISBLANK(Table4[[#This Row],[Region]]),Table4[[#This Row],[Node Type]],Table4[[#This Row],[Region]])</f>
        <v/>
      </c>
      <c r="E641" t="str">
        <f>IF(ISERROR(SEARCH("Node",Table4[[#This Row],[Type]])),IF(ISERROR(SEARCH("Iliac",Table4[[#This Row],[Type]])),"",Table4[[#This Row],[Type]]),Table4[[#This Row],[Type]])</f>
        <v/>
      </c>
      <c r="L641" t="s">
        <v>77</v>
      </c>
    </row>
    <row r="642" spans="1:12" x14ac:dyDescent="0.25">
      <c r="A642" t="s">
        <v>1389</v>
      </c>
      <c r="B642" t="s">
        <v>173</v>
      </c>
      <c r="C642" t="str">
        <f>IF(ISBLANK(Table4[[#This Row],[Region]]),Table4[[#This Row],[Node Type]],Table4[[#This Row],[Region]])</f>
        <v/>
      </c>
      <c r="E642" t="str">
        <f>IF(ISERROR(SEARCH("Node",Table4[[#This Row],[Type]])),IF(ISERROR(SEARCH("Iliac",Table4[[#This Row],[Type]])),"",Table4[[#This Row],[Type]]),Table4[[#This Row],[Type]])</f>
        <v/>
      </c>
      <c r="H642">
        <v>4</v>
      </c>
      <c r="L642" t="s">
        <v>46</v>
      </c>
    </row>
    <row r="643" spans="1:12" x14ac:dyDescent="0.25">
      <c r="A643" t="s">
        <v>1390</v>
      </c>
      <c r="B643" t="s">
        <v>77</v>
      </c>
      <c r="C643" t="str">
        <f>IF(ISBLANK(Table4[[#This Row],[Region]]),Table4[[#This Row],[Node Type]],Table4[[#This Row],[Region]])</f>
        <v/>
      </c>
      <c r="E643" t="str">
        <f>IF(ISERROR(SEARCH("Node",Table4[[#This Row],[Type]])),IF(ISERROR(SEARCH("Iliac",Table4[[#This Row],[Type]])),"",Table4[[#This Row],[Type]]),Table4[[#This Row],[Type]])</f>
        <v/>
      </c>
      <c r="H643">
        <v>6</v>
      </c>
      <c r="I643">
        <v>30</v>
      </c>
      <c r="L643" t="s">
        <v>77</v>
      </c>
    </row>
    <row r="644" spans="1:12" x14ac:dyDescent="0.25">
      <c r="A644" t="s">
        <v>1391</v>
      </c>
      <c r="B644" t="s">
        <v>77</v>
      </c>
      <c r="C644" t="str">
        <f>IF(ISBLANK(Table4[[#This Row],[Region]]),Table4[[#This Row],[Node Type]],Table4[[#This Row],[Region]])</f>
        <v/>
      </c>
      <c r="E644" t="str">
        <f>IF(ISERROR(SEARCH("Node",Table4[[#This Row],[Type]])),IF(ISERROR(SEARCH("Iliac",Table4[[#This Row],[Type]])),"",Table4[[#This Row],[Type]]),Table4[[#This Row],[Type]])</f>
        <v/>
      </c>
      <c r="H644">
        <v>5</v>
      </c>
      <c r="I644">
        <v>30</v>
      </c>
      <c r="L644" t="s">
        <v>77</v>
      </c>
    </row>
    <row r="645" spans="1:12" x14ac:dyDescent="0.25">
      <c r="A645" t="s">
        <v>1392</v>
      </c>
      <c r="B645" t="s">
        <v>77</v>
      </c>
      <c r="C645" t="str">
        <f>IF(ISBLANK(Table4[[#This Row],[Region]]),Table4[[#This Row],[Node Type]],Table4[[#This Row],[Region]])</f>
        <v/>
      </c>
      <c r="E645" t="str">
        <f>IF(ISERROR(SEARCH("Node",Table4[[#This Row],[Type]])),IF(ISERROR(SEARCH("Iliac",Table4[[#This Row],[Type]])),"",Table4[[#This Row],[Type]]),Table4[[#This Row],[Type]])</f>
        <v/>
      </c>
      <c r="H645">
        <v>4</v>
      </c>
      <c r="I645">
        <v>30</v>
      </c>
      <c r="L645" t="s">
        <v>77</v>
      </c>
    </row>
    <row r="646" spans="1:12" x14ac:dyDescent="0.25">
      <c r="A646" t="s">
        <v>1393</v>
      </c>
      <c r="B646" t="s">
        <v>77</v>
      </c>
      <c r="C646" t="str">
        <f>IF(ISBLANK(Table4[[#This Row],[Region]]),Table4[[#This Row],[Node Type]],Table4[[#This Row],[Region]])</f>
        <v/>
      </c>
      <c r="E646" t="str">
        <f>IF(ISERROR(SEARCH("Node",Table4[[#This Row],[Type]])),IF(ISERROR(SEARCH("Iliac",Table4[[#This Row],[Type]])),"",Table4[[#This Row],[Type]]),Table4[[#This Row],[Type]])</f>
        <v/>
      </c>
      <c r="H646">
        <v>3</v>
      </c>
      <c r="I646">
        <v>30</v>
      </c>
      <c r="L646" t="s">
        <v>77</v>
      </c>
    </row>
    <row r="647" spans="1:12" x14ac:dyDescent="0.25">
      <c r="A647" t="s">
        <v>1394</v>
      </c>
      <c r="B647" t="s">
        <v>77</v>
      </c>
      <c r="C647" t="str">
        <f>IF(ISBLANK(Table4[[#This Row],[Region]]),Table4[[#This Row],[Node Type]],Table4[[#This Row],[Region]])</f>
        <v/>
      </c>
      <c r="E647" t="str">
        <f>IF(ISERROR(SEARCH("Node",Table4[[#This Row],[Type]])),IF(ISERROR(SEARCH("Iliac",Table4[[#This Row],[Type]])),"",Table4[[#This Row],[Type]]),Table4[[#This Row],[Type]])</f>
        <v/>
      </c>
      <c r="H647">
        <v>2</v>
      </c>
      <c r="I647">
        <v>30</v>
      </c>
      <c r="L647" t="s">
        <v>77</v>
      </c>
    </row>
    <row r="648" spans="1:12" x14ac:dyDescent="0.25">
      <c r="A648" t="s">
        <v>1395</v>
      </c>
      <c r="B648" t="s">
        <v>20</v>
      </c>
      <c r="C648" t="str">
        <f>IF(ISBLANK(Table4[[#This Row],[Region]]),Table4[[#This Row],[Node Type]],Table4[[#This Row],[Region]])</f>
        <v/>
      </c>
      <c r="E648" t="str">
        <f>IF(ISERROR(SEARCH("Node",Table4[[#This Row],[Type]])),IF(ISERROR(SEARCH("Iliac",Table4[[#This Row],[Type]])),"",Table4[[#This Row],[Type]]),Table4[[#This Row],[Type]])</f>
        <v/>
      </c>
      <c r="H648">
        <v>6</v>
      </c>
      <c r="I648">
        <v>30</v>
      </c>
      <c r="L648" t="s">
        <v>20</v>
      </c>
    </row>
    <row r="649" spans="1:12" x14ac:dyDescent="0.25">
      <c r="A649" t="s">
        <v>1396</v>
      </c>
      <c r="B649" t="s">
        <v>20</v>
      </c>
      <c r="C649" t="str">
        <f>IF(ISBLANK(Table4[[#This Row],[Region]]),Table4[[#This Row],[Node Type]],Table4[[#This Row],[Region]])</f>
        <v/>
      </c>
      <c r="E649" t="str">
        <f>IF(ISERROR(SEARCH("Node",Table4[[#This Row],[Type]])),IF(ISERROR(SEARCH("Iliac",Table4[[#This Row],[Type]])),"",Table4[[#This Row],[Type]]),Table4[[#This Row],[Type]])</f>
        <v/>
      </c>
      <c r="H649">
        <v>5</v>
      </c>
      <c r="I649">
        <v>30</v>
      </c>
      <c r="L649" t="s">
        <v>20</v>
      </c>
    </row>
    <row r="650" spans="1:12" x14ac:dyDescent="0.25">
      <c r="A650" t="s">
        <v>1397</v>
      </c>
      <c r="B650" t="s">
        <v>20</v>
      </c>
      <c r="C650" t="str">
        <f>IF(ISBLANK(Table4[[#This Row],[Region]]),Table4[[#This Row],[Node Type]],Table4[[#This Row],[Region]])</f>
        <v/>
      </c>
      <c r="E650" t="str">
        <f>IF(ISERROR(SEARCH("Node",Table4[[#This Row],[Type]])),IF(ISERROR(SEARCH("Iliac",Table4[[#This Row],[Type]])),"",Table4[[#This Row],[Type]]),Table4[[#This Row],[Type]])</f>
        <v/>
      </c>
      <c r="H650">
        <v>4</v>
      </c>
      <c r="I650">
        <v>30</v>
      </c>
      <c r="L650" t="s">
        <v>20</v>
      </c>
    </row>
    <row r="651" spans="1:12" x14ac:dyDescent="0.25">
      <c r="A651" t="s">
        <v>1398</v>
      </c>
      <c r="B651" t="s">
        <v>20</v>
      </c>
      <c r="C651" t="str">
        <f>IF(ISBLANK(Table4[[#This Row],[Region]]),Table4[[#This Row],[Node Type]],Table4[[#This Row],[Region]])</f>
        <v/>
      </c>
      <c r="E651" t="str">
        <f>IF(ISERROR(SEARCH("Node",Table4[[#This Row],[Type]])),IF(ISERROR(SEARCH("Iliac",Table4[[#This Row],[Type]])),"",Table4[[#This Row],[Type]]),Table4[[#This Row],[Type]])</f>
        <v/>
      </c>
      <c r="H651">
        <v>3</v>
      </c>
      <c r="I651">
        <v>30</v>
      </c>
      <c r="L651" t="s">
        <v>20</v>
      </c>
    </row>
    <row r="652" spans="1:12" x14ac:dyDescent="0.25">
      <c r="A652" t="s">
        <v>1399</v>
      </c>
      <c r="B652" t="s">
        <v>20</v>
      </c>
      <c r="C652" t="str">
        <f>IF(ISBLANK(Table4[[#This Row],[Region]]),Table4[[#This Row],[Node Type]],Table4[[#This Row],[Region]])</f>
        <v/>
      </c>
      <c r="E652" t="str">
        <f>IF(ISERROR(SEARCH("Node",Table4[[#This Row],[Type]])),IF(ISERROR(SEARCH("Iliac",Table4[[#This Row],[Type]])),"",Table4[[#This Row],[Type]]),Table4[[#This Row],[Type]])</f>
        <v/>
      </c>
      <c r="H652">
        <v>2</v>
      </c>
      <c r="I652">
        <v>30</v>
      </c>
      <c r="L652" t="s">
        <v>20</v>
      </c>
    </row>
    <row r="653" spans="1:12" x14ac:dyDescent="0.25">
      <c r="A653" t="s">
        <v>1401</v>
      </c>
      <c r="B653" t="s">
        <v>20</v>
      </c>
      <c r="C653" t="str">
        <f>IF(ISBLANK(Table4[[#This Row],[Region]]),Table4[[#This Row],[Node Type]],Table4[[#This Row],[Region]])</f>
        <v/>
      </c>
      <c r="E653" t="str">
        <f>IF(ISERROR(SEARCH("Node",Table4[[#This Row],[Type]])),IF(ISERROR(SEARCH("Iliac",Table4[[#This Row],[Type]])),"",Table4[[#This Row],[Type]]),Table4[[#This Row],[Type]])</f>
        <v/>
      </c>
      <c r="H653">
        <v>7</v>
      </c>
      <c r="I653">
        <v>30</v>
      </c>
      <c r="L653" t="s">
        <v>20</v>
      </c>
    </row>
    <row r="654" spans="1:12" x14ac:dyDescent="0.25">
      <c r="A654" t="s">
        <v>1402</v>
      </c>
      <c r="B654" t="s">
        <v>77</v>
      </c>
      <c r="C654" t="str">
        <f>IF(ISBLANK(Table4[[#This Row],[Region]]),Table4[[#This Row],[Node Type]],Table4[[#This Row],[Region]])</f>
        <v/>
      </c>
      <c r="E654" t="str">
        <f>IF(ISERROR(SEARCH("Node",Table4[[#This Row],[Type]])),IF(ISERROR(SEARCH("Iliac",Table4[[#This Row],[Type]])),"",Table4[[#This Row],[Type]]),Table4[[#This Row],[Type]])</f>
        <v/>
      </c>
      <c r="H654">
        <v>7</v>
      </c>
      <c r="I654">
        <v>30</v>
      </c>
      <c r="L654" t="s">
        <v>77</v>
      </c>
    </row>
    <row r="655" spans="1:12" x14ac:dyDescent="0.25">
      <c r="A655" t="s">
        <v>1403</v>
      </c>
      <c r="B655" t="s">
        <v>77</v>
      </c>
      <c r="C655" t="str">
        <f>IF(ISBLANK(Table4[[#This Row],[Region]]),Table4[[#This Row],[Node Type]],Table4[[#This Row],[Region]])</f>
        <v/>
      </c>
      <c r="E655" t="str">
        <f>IF(ISERROR(SEARCH("Node",Table4[[#This Row],[Type]])),IF(ISERROR(SEARCH("Iliac",Table4[[#This Row],[Type]])),"",Table4[[#This Row],[Type]]),Table4[[#This Row],[Type]])</f>
        <v/>
      </c>
      <c r="J655" t="s">
        <v>1067</v>
      </c>
      <c r="K655" t="s">
        <v>211</v>
      </c>
      <c r="L655" t="s">
        <v>77</v>
      </c>
    </row>
    <row r="656" spans="1:12" x14ac:dyDescent="0.25">
      <c r="A656" t="s">
        <v>1404</v>
      </c>
      <c r="B656" t="s">
        <v>77</v>
      </c>
      <c r="C656" t="str">
        <f>IF(ISBLANK(Table4[[#This Row],[Region]]),Table4[[#This Row],[Node Type]],Table4[[#This Row],[Region]])</f>
        <v/>
      </c>
      <c r="E656" t="str">
        <f>IF(ISERROR(SEARCH("Node",Table4[[#This Row],[Type]])),IF(ISERROR(SEARCH("Iliac",Table4[[#This Row],[Type]])),"",Table4[[#This Row],[Type]]),Table4[[#This Row],[Type]])</f>
        <v/>
      </c>
      <c r="H656">
        <v>2</v>
      </c>
      <c r="J656" t="s">
        <v>1067</v>
      </c>
      <c r="L656" t="s">
        <v>77</v>
      </c>
    </row>
    <row r="657" spans="1:16" x14ac:dyDescent="0.25">
      <c r="A657" t="s">
        <v>1405</v>
      </c>
      <c r="B657" t="s">
        <v>77</v>
      </c>
      <c r="C657" t="str">
        <f>IF(ISBLANK(Table4[[#This Row],[Region]]),Table4[[#This Row],[Node Type]],Table4[[#This Row],[Region]])</f>
        <v/>
      </c>
      <c r="E657" t="str">
        <f>IF(ISERROR(SEARCH("Node",Table4[[#This Row],[Type]])),IF(ISERROR(SEARCH("Iliac",Table4[[#This Row],[Type]])),"",Table4[[#This Row],[Type]]),Table4[[#This Row],[Type]])</f>
        <v/>
      </c>
      <c r="H657">
        <v>4</v>
      </c>
      <c r="J657" t="s">
        <v>1067</v>
      </c>
      <c r="L657" t="s">
        <v>77</v>
      </c>
    </row>
    <row r="658" spans="1:16" x14ac:dyDescent="0.25">
      <c r="A658" t="s">
        <v>1406</v>
      </c>
      <c r="B658" t="s">
        <v>77</v>
      </c>
      <c r="C658" t="str">
        <f>IF(ISBLANK(Table4[[#This Row],[Region]]),Table4[[#This Row],[Node Type]],Table4[[#This Row],[Region]])</f>
        <v/>
      </c>
      <c r="E658" t="str">
        <f>IF(ISERROR(SEARCH("Node",Table4[[#This Row],[Type]])),IF(ISERROR(SEARCH("Iliac",Table4[[#This Row],[Type]])),"",Table4[[#This Row],[Type]]),Table4[[#This Row],[Type]])</f>
        <v/>
      </c>
      <c r="H658">
        <v>5</v>
      </c>
      <c r="J658" t="s">
        <v>1067</v>
      </c>
      <c r="L658" t="s">
        <v>77</v>
      </c>
    </row>
    <row r="659" spans="1:16" x14ac:dyDescent="0.25">
      <c r="A659" t="s">
        <v>1416</v>
      </c>
      <c r="B659" t="s">
        <v>46</v>
      </c>
      <c r="C659" t="str">
        <f>IF(ISBLANK(Table4[[#This Row],[Region]]),Table4[[#This Row],[Node Type]],Table4[[#This Row],[Region]])</f>
        <v/>
      </c>
      <c r="E659" t="str">
        <f>IF(ISERROR(SEARCH("Node",Table4[[#This Row],[Type]])),IF(ISERROR(SEARCH("Iliac",Table4[[#This Row],[Type]])),"",Table4[[#This Row],[Type]]),Table4[[#This Row],[Type]])</f>
        <v/>
      </c>
      <c r="I659">
        <v>40</v>
      </c>
      <c r="L659" t="s">
        <v>46</v>
      </c>
    </row>
    <row r="660" spans="1:16" x14ac:dyDescent="0.25">
      <c r="A660" t="s">
        <v>1417</v>
      </c>
      <c r="B660" t="s">
        <v>77</v>
      </c>
      <c r="C660" t="str">
        <f>IF(ISBLANK(Table4[[#This Row],[Region]]),Table4[[#This Row],[Node Type]],Table4[[#This Row],[Region]])</f>
        <v/>
      </c>
      <c r="E660" t="str">
        <f>IF(ISERROR(SEARCH("Node",Table4[[#This Row],[Type]])),IF(ISERROR(SEARCH("Iliac",Table4[[#This Row],[Type]])),"",Table4[[#This Row],[Type]]),Table4[[#This Row],[Type]])</f>
        <v/>
      </c>
      <c r="I660">
        <v>40</v>
      </c>
      <c r="L660" t="s">
        <v>77</v>
      </c>
      <c r="P660" t="s">
        <v>85</v>
      </c>
    </row>
    <row r="661" spans="1:16" x14ac:dyDescent="0.25">
      <c r="A661" t="s">
        <v>1418</v>
      </c>
      <c r="B661" t="s">
        <v>77</v>
      </c>
      <c r="C661" t="str">
        <f>IF(ISBLANK(Table4[[#This Row],[Region]]),Table4[[#This Row],[Node Type]],Table4[[#This Row],[Region]])</f>
        <v/>
      </c>
      <c r="E661" t="str">
        <f>IF(ISERROR(SEARCH("Node",Table4[[#This Row],[Type]])),IF(ISERROR(SEARCH("Iliac",Table4[[#This Row],[Type]])),"",Table4[[#This Row],[Type]]),Table4[[#This Row],[Type]])</f>
        <v/>
      </c>
      <c r="I661">
        <v>40</v>
      </c>
      <c r="L661" t="s">
        <v>77</v>
      </c>
    </row>
    <row r="662" spans="1:16" x14ac:dyDescent="0.25">
      <c r="A662" t="s">
        <v>1419</v>
      </c>
      <c r="B662" t="s">
        <v>46</v>
      </c>
      <c r="C662" t="str">
        <f>IF(ISBLANK(Table4[[#This Row],[Region]]),Table4[[#This Row],[Node Type]],Table4[[#This Row],[Region]])</f>
        <v/>
      </c>
      <c r="E662" t="str">
        <f>IF(ISERROR(SEARCH("Node",Table4[[#This Row],[Type]])),IF(ISERROR(SEARCH("Iliac",Table4[[#This Row],[Type]])),"",Table4[[#This Row],[Type]]),Table4[[#This Row],[Type]])</f>
        <v/>
      </c>
      <c r="I662">
        <v>45</v>
      </c>
      <c r="L662" t="s">
        <v>46</v>
      </c>
    </row>
    <row r="663" spans="1:16" x14ac:dyDescent="0.25">
      <c r="A663" t="s">
        <v>1420</v>
      </c>
      <c r="B663" t="s">
        <v>46</v>
      </c>
      <c r="C663" t="str">
        <f>IF(ISBLANK(Table4[[#This Row],[Region]]),Table4[[#This Row],[Node Type]],Table4[[#This Row],[Region]])</f>
        <v/>
      </c>
      <c r="E663" t="str">
        <f>IF(ISERROR(SEARCH("Node",Table4[[#This Row],[Type]])),IF(ISERROR(SEARCH("Iliac",Table4[[#This Row],[Type]])),"",Table4[[#This Row],[Type]]),Table4[[#This Row],[Type]])</f>
        <v/>
      </c>
      <c r="I663">
        <v>50.4</v>
      </c>
      <c r="L663" t="s">
        <v>46</v>
      </c>
    </row>
    <row r="664" spans="1:16" x14ac:dyDescent="0.25">
      <c r="A664" t="s">
        <v>1421</v>
      </c>
      <c r="B664" t="s">
        <v>77</v>
      </c>
      <c r="C664" t="str">
        <f>IF(ISBLANK(Table4[[#This Row],[Region]]),Table4[[#This Row],[Node Type]],Table4[[#This Row],[Region]])</f>
        <v/>
      </c>
      <c r="E664" t="str">
        <f>IF(ISERROR(SEARCH("Node",Table4[[#This Row],[Type]])),IF(ISERROR(SEARCH("Iliac",Table4[[#This Row],[Type]])),"",Table4[[#This Row],[Type]]),Table4[[#This Row],[Type]])</f>
        <v/>
      </c>
      <c r="I664">
        <v>50.4</v>
      </c>
      <c r="L664" t="s">
        <v>77</v>
      </c>
    </row>
    <row r="665" spans="1:16" x14ac:dyDescent="0.25">
      <c r="A665" t="s">
        <v>1422</v>
      </c>
      <c r="B665" t="s">
        <v>77</v>
      </c>
      <c r="C665" t="str">
        <f>IF(ISBLANK(Table4[[#This Row],[Region]]),Table4[[#This Row],[Node Type]],Table4[[#This Row],[Region]])</f>
        <v/>
      </c>
      <c r="E665" t="str">
        <f>IF(ISERROR(SEARCH("Node",Table4[[#This Row],[Type]])),IF(ISERROR(SEARCH("Iliac",Table4[[#This Row],[Type]])),"",Table4[[#This Row],[Type]]),Table4[[#This Row],[Type]])</f>
        <v/>
      </c>
      <c r="I665">
        <v>50.4</v>
      </c>
      <c r="L665" t="s">
        <v>77</v>
      </c>
      <c r="P665" t="s">
        <v>85</v>
      </c>
    </row>
    <row r="666" spans="1:16" x14ac:dyDescent="0.25">
      <c r="A666" t="s">
        <v>1424</v>
      </c>
      <c r="B666" t="s">
        <v>20</v>
      </c>
      <c r="C666" t="str">
        <f>IF(ISBLANK(Table4[[#This Row],[Region]]),Table4[[#This Row],[Node Type]],Table4[[#This Row],[Region]])</f>
        <v/>
      </c>
      <c r="E666" t="str">
        <f>IF(ISERROR(SEARCH("Node",Table4[[#This Row],[Type]])),IF(ISERROR(SEARCH("Iliac",Table4[[#This Row],[Type]])),"",Table4[[#This Row],[Type]]),Table4[[#This Row],[Type]])</f>
        <v/>
      </c>
      <c r="H666">
        <v>5</v>
      </c>
      <c r="I666">
        <v>18</v>
      </c>
      <c r="L666" t="s">
        <v>20</v>
      </c>
    </row>
    <row r="667" spans="1:16" x14ac:dyDescent="0.25">
      <c r="A667" t="s">
        <v>1425</v>
      </c>
      <c r="B667" t="s">
        <v>20</v>
      </c>
      <c r="C667" t="str">
        <f>IF(ISBLANK(Table4[[#This Row],[Region]]),Table4[[#This Row],[Node Type]],Table4[[#This Row],[Region]])</f>
        <v/>
      </c>
      <c r="E667" t="str">
        <f>IF(ISERROR(SEARCH("Node",Table4[[#This Row],[Type]])),IF(ISERROR(SEARCH("Iliac",Table4[[#This Row],[Type]])),"",Table4[[#This Row],[Type]]),Table4[[#This Row],[Type]])</f>
        <v/>
      </c>
      <c r="H667">
        <v>6</v>
      </c>
      <c r="I667">
        <v>18</v>
      </c>
      <c r="L667" t="s">
        <v>20</v>
      </c>
    </row>
    <row r="668" spans="1:16" x14ac:dyDescent="0.25">
      <c r="A668" t="s">
        <v>1427</v>
      </c>
      <c r="B668" t="s">
        <v>77</v>
      </c>
      <c r="C668" t="str">
        <f>IF(ISBLANK(Table4[[#This Row],[Region]]),Table4[[#This Row],[Node Type]],Table4[[#This Row],[Region]])</f>
        <v/>
      </c>
      <c r="E668" t="str">
        <f>IF(ISERROR(SEARCH("Node",Table4[[#This Row],[Type]])),IF(ISERROR(SEARCH("Iliac",Table4[[#This Row],[Type]])),"",Table4[[#This Row],[Type]]),Table4[[#This Row],[Type]])</f>
        <v/>
      </c>
      <c r="H668">
        <v>5</v>
      </c>
      <c r="I668">
        <v>18</v>
      </c>
      <c r="L668" t="s">
        <v>77</v>
      </c>
    </row>
    <row r="669" spans="1:16" x14ac:dyDescent="0.25">
      <c r="A669" t="s">
        <v>1428</v>
      </c>
      <c r="B669" t="s">
        <v>20</v>
      </c>
      <c r="C669" t="str">
        <f>IF(ISBLANK(Table4[[#This Row],[Region]]),Table4[[#This Row],[Node Type]],Table4[[#This Row],[Region]])</f>
        <v/>
      </c>
      <c r="E669" t="str">
        <f>IF(ISERROR(SEARCH("Node",Table4[[#This Row],[Type]])),IF(ISERROR(SEARCH("Iliac",Table4[[#This Row],[Type]])),"",Table4[[#This Row],[Type]]),Table4[[#This Row],[Type]])</f>
        <v/>
      </c>
      <c r="H669">
        <v>7</v>
      </c>
      <c r="I669">
        <v>18</v>
      </c>
      <c r="L669" t="s">
        <v>20</v>
      </c>
    </row>
    <row r="670" spans="1:16" x14ac:dyDescent="0.25">
      <c r="A670" t="s">
        <v>1429</v>
      </c>
      <c r="B670" t="s">
        <v>77</v>
      </c>
      <c r="C670" t="str">
        <f>IF(ISBLANK(Table4[[#This Row],[Region]]),Table4[[#This Row],[Node Type]],Table4[[#This Row],[Region]])</f>
        <v/>
      </c>
      <c r="E670" t="str">
        <f>IF(ISERROR(SEARCH("Node",Table4[[#This Row],[Type]])),IF(ISERROR(SEARCH("Iliac",Table4[[#This Row],[Type]])),"",Table4[[#This Row],[Type]]),Table4[[#This Row],[Type]])</f>
        <v/>
      </c>
      <c r="H670">
        <v>6</v>
      </c>
      <c r="I670">
        <v>18</v>
      </c>
      <c r="L670" t="s">
        <v>77</v>
      </c>
    </row>
    <row r="671" spans="1:16" x14ac:dyDescent="0.25">
      <c r="A671" t="s">
        <v>1430</v>
      </c>
      <c r="B671" t="s">
        <v>77</v>
      </c>
      <c r="C671" t="str">
        <f>IF(ISBLANK(Table4[[#This Row],[Region]]),Table4[[#This Row],[Node Type]],Table4[[#This Row],[Region]])</f>
        <v/>
      </c>
      <c r="E671" t="str">
        <f>IF(ISERROR(SEARCH("Node",Table4[[#This Row],[Type]])),IF(ISERROR(SEARCH("Iliac",Table4[[#This Row],[Type]])),"",Table4[[#This Row],[Type]]),Table4[[#This Row],[Type]])</f>
        <v/>
      </c>
      <c r="H671">
        <v>7</v>
      </c>
      <c r="I671">
        <v>18</v>
      </c>
      <c r="L671" t="s">
        <v>77</v>
      </c>
    </row>
    <row r="672" spans="1:16" x14ac:dyDescent="0.25">
      <c r="A672" t="s">
        <v>1432</v>
      </c>
      <c r="B672" t="s">
        <v>77</v>
      </c>
      <c r="C672" t="str">
        <f>IF(ISBLANK(Table4[[#This Row],[Region]]),Table4[[#This Row],[Node Type]],Table4[[#This Row],[Region]])</f>
        <v/>
      </c>
      <c r="E672" t="str">
        <f>IF(ISERROR(SEARCH("Node",Table4[[#This Row],[Type]])),IF(ISERROR(SEARCH("Iliac",Table4[[#This Row],[Type]])),"",Table4[[#This Row],[Type]]),Table4[[#This Row],[Type]])</f>
        <v/>
      </c>
      <c r="J672" t="s">
        <v>1433</v>
      </c>
      <c r="L672" t="s">
        <v>77</v>
      </c>
    </row>
    <row r="673" spans="1:14" x14ac:dyDescent="0.25">
      <c r="A673" t="s">
        <v>1434</v>
      </c>
      <c r="B673" t="s">
        <v>46</v>
      </c>
      <c r="C673" t="str">
        <f>IF(ISBLANK(Table4[[#This Row],[Region]]),Table4[[#This Row],[Node Type]],Table4[[#This Row],[Region]])</f>
        <v/>
      </c>
      <c r="E673" t="str">
        <f>IF(ISERROR(SEARCH("Node",Table4[[#This Row],[Type]])),IF(ISERROR(SEARCH("Iliac",Table4[[#This Row],[Type]])),"",Table4[[#This Row],[Type]]),Table4[[#This Row],[Type]])</f>
        <v/>
      </c>
      <c r="J673" t="s">
        <v>1433</v>
      </c>
      <c r="L673" t="s">
        <v>45</v>
      </c>
    </row>
    <row r="674" spans="1:14" x14ac:dyDescent="0.25">
      <c r="A674" t="s">
        <v>1435</v>
      </c>
      <c r="B674" t="s">
        <v>20</v>
      </c>
      <c r="C674" t="str">
        <f>IF(ISBLANK(Table4[[#This Row],[Region]]),Table4[[#This Row],[Node Type]],Table4[[#This Row],[Region]])</f>
        <v/>
      </c>
      <c r="E674" t="str">
        <f>IF(ISERROR(SEARCH("Node",Table4[[#This Row],[Type]])),IF(ISERROR(SEARCH("Iliac",Table4[[#This Row],[Type]])),"",Table4[[#This Row],[Type]]),Table4[[#This Row],[Type]])</f>
        <v/>
      </c>
      <c r="J674" t="s">
        <v>1436</v>
      </c>
      <c r="L674" t="s">
        <v>44</v>
      </c>
    </row>
    <row r="675" spans="1:14" x14ac:dyDescent="0.25">
      <c r="A675" t="s">
        <v>1437</v>
      </c>
      <c r="B675" t="s">
        <v>87</v>
      </c>
      <c r="C675" t="str">
        <f>IF(ISBLANK(Table4[[#This Row],[Region]]),Table4[[#This Row],[Node Type]],Table4[[#This Row],[Region]])</f>
        <v/>
      </c>
      <c r="E675" t="str">
        <f>IF(ISERROR(SEARCH("Node",Table4[[#This Row],[Type]])),IF(ISERROR(SEARCH("Iliac",Table4[[#This Row],[Type]])),"",Table4[[#This Row],[Type]]),Table4[[#This Row],[Type]])</f>
        <v/>
      </c>
      <c r="J675" t="s">
        <v>1433</v>
      </c>
      <c r="L675" t="s">
        <v>77</v>
      </c>
    </row>
    <row r="676" spans="1:14" x14ac:dyDescent="0.25">
      <c r="A676" t="s">
        <v>1438</v>
      </c>
      <c r="B676" t="s">
        <v>77</v>
      </c>
      <c r="C676" t="str">
        <f>IF(ISBLANK(Table4[[#This Row],[Region]]),Table4[[#This Row],[Node Type]],Table4[[#This Row],[Region]])</f>
        <v/>
      </c>
      <c r="E676" t="str">
        <f>IF(ISERROR(SEARCH("Node",Table4[[#This Row],[Type]])),IF(ISERROR(SEARCH("Iliac",Table4[[#This Row],[Type]])),"",Table4[[#This Row],[Type]]),Table4[[#This Row],[Type]])</f>
        <v/>
      </c>
      <c r="J676" t="s">
        <v>1436</v>
      </c>
      <c r="L676" t="s">
        <v>77</v>
      </c>
    </row>
    <row r="677" spans="1:14" x14ac:dyDescent="0.25">
      <c r="A677" t="s">
        <v>1439</v>
      </c>
      <c r="B677" t="s">
        <v>46</v>
      </c>
      <c r="C677" t="str">
        <f>IF(ISBLANK(Table4[[#This Row],[Region]]),Table4[[#This Row],[Node Type]],Table4[[#This Row],[Region]])</f>
        <v/>
      </c>
      <c r="E677" t="str">
        <f>IF(ISERROR(SEARCH("Node",Table4[[#This Row],[Type]])),IF(ISERROR(SEARCH("Iliac",Table4[[#This Row],[Type]])),"",Table4[[#This Row],[Type]]),Table4[[#This Row],[Type]])</f>
        <v/>
      </c>
      <c r="J677" t="s">
        <v>1436</v>
      </c>
      <c r="L677" t="s">
        <v>45</v>
      </c>
    </row>
    <row r="678" spans="1:14" x14ac:dyDescent="0.25">
      <c r="A678" t="s">
        <v>1440</v>
      </c>
      <c r="B678" t="s">
        <v>20</v>
      </c>
      <c r="C678" t="str">
        <f>IF(ISBLANK(Table4[[#This Row],[Region]]),Table4[[#This Row],[Node Type]],Table4[[#This Row],[Region]])</f>
        <v/>
      </c>
      <c r="E678" t="str">
        <f>IF(ISERROR(SEARCH("Node",Table4[[#This Row],[Type]])),IF(ISERROR(SEARCH("Iliac",Table4[[#This Row],[Type]])),"",Table4[[#This Row],[Type]]),Table4[[#This Row],[Type]])</f>
        <v/>
      </c>
      <c r="J678" t="s">
        <v>1433</v>
      </c>
      <c r="L678" t="s">
        <v>44</v>
      </c>
    </row>
    <row r="679" spans="1:14" x14ac:dyDescent="0.25">
      <c r="A679" t="s">
        <v>1441</v>
      </c>
      <c r="B679" t="s">
        <v>20</v>
      </c>
      <c r="C679" t="str">
        <f>IF(ISBLANK(Table4[[#This Row],[Region]]),Table4[[#This Row],[Node Type]],Table4[[#This Row],[Region]])</f>
        <v/>
      </c>
      <c r="E679" t="str">
        <f>IF(ISERROR(SEARCH("Node",Table4[[#This Row],[Type]])),IF(ISERROR(SEARCH("Iliac",Table4[[#This Row],[Type]])),"",Table4[[#This Row],[Type]]),Table4[[#This Row],[Type]])</f>
        <v/>
      </c>
      <c r="G679" t="s">
        <v>43</v>
      </c>
      <c r="J679" t="s">
        <v>1436</v>
      </c>
      <c r="L679" t="s">
        <v>20</v>
      </c>
    </row>
    <row r="680" spans="1:14" x14ac:dyDescent="0.25">
      <c r="A680" t="s">
        <v>1444</v>
      </c>
      <c r="B680" t="s">
        <v>20</v>
      </c>
      <c r="C680" t="str">
        <f>IF(ISBLANK(Table4[[#This Row],[Region]]),Table4[[#This Row],[Node Type]],Table4[[#This Row],[Region]])</f>
        <v/>
      </c>
      <c r="E680" t="str">
        <f>IF(ISERROR(SEARCH("Node",Table4[[#This Row],[Type]])),IF(ISERROR(SEARCH("Iliac",Table4[[#This Row],[Type]])),"",Table4[[#This Row],[Type]]),Table4[[#This Row],[Type]])</f>
        <v/>
      </c>
      <c r="G680" t="s">
        <v>43</v>
      </c>
      <c r="J680" t="s">
        <v>1433</v>
      </c>
      <c r="L680" t="s">
        <v>20</v>
      </c>
    </row>
    <row r="681" spans="1:14" x14ac:dyDescent="0.25">
      <c r="A681" t="s">
        <v>1447</v>
      </c>
      <c r="B681" t="s">
        <v>87</v>
      </c>
      <c r="C681" t="str">
        <f>IF(ISBLANK(Table4[[#This Row],[Region]]),Table4[[#This Row],[Node Type]],Table4[[#This Row],[Region]])</f>
        <v/>
      </c>
      <c r="E681" t="str">
        <f>IF(ISERROR(SEARCH("Node",Table4[[#This Row],[Type]])),IF(ISERROR(SEARCH("Iliac",Table4[[#This Row],[Type]])),"",Table4[[#This Row],[Type]]),Table4[[#This Row],[Type]])</f>
        <v/>
      </c>
      <c r="J681" t="s">
        <v>1436</v>
      </c>
      <c r="L681" t="s">
        <v>77</v>
      </c>
    </row>
    <row r="682" spans="1:14" x14ac:dyDescent="0.25">
      <c r="A682" t="s">
        <v>1448</v>
      </c>
      <c r="B682" t="s">
        <v>77</v>
      </c>
      <c r="C682" t="str">
        <f>IF(ISBLANK(Table4[[#This Row],[Region]]),Table4[[#This Row],[Node Type]],Table4[[#This Row],[Region]])</f>
        <v/>
      </c>
      <c r="E682" t="str">
        <f>IF(ISERROR(SEARCH("Node",Table4[[#This Row],[Type]])),IF(ISERROR(SEARCH("Iliac",Table4[[#This Row],[Type]])),"",Table4[[#This Row],[Type]]),Table4[[#This Row],[Type]])</f>
        <v/>
      </c>
      <c r="J682" t="s">
        <v>1449</v>
      </c>
      <c r="L682" t="s">
        <v>77</v>
      </c>
    </row>
    <row r="683" spans="1:14" x14ac:dyDescent="0.25">
      <c r="A683" t="s">
        <v>1450</v>
      </c>
      <c r="B683" t="s">
        <v>87</v>
      </c>
      <c r="C683" t="str">
        <f>IF(ISBLANK(Table4[[#This Row],[Region]]),Table4[[#This Row],[Node Type]],Table4[[#This Row],[Region]])</f>
        <v/>
      </c>
      <c r="E683" t="str">
        <f>IF(ISERROR(SEARCH("Node",Table4[[#This Row],[Type]])),IF(ISERROR(SEARCH("Iliac",Table4[[#This Row],[Type]])),"",Table4[[#This Row],[Type]]),Table4[[#This Row],[Type]])</f>
        <v/>
      </c>
      <c r="J683" t="s">
        <v>1449</v>
      </c>
      <c r="L683" t="s">
        <v>77</v>
      </c>
    </row>
    <row r="684" spans="1:14" x14ac:dyDescent="0.25">
      <c r="A684" t="s">
        <v>1460</v>
      </c>
      <c r="B684" t="s">
        <v>20</v>
      </c>
      <c r="C684" t="str">
        <f>IF(ISBLANK(Table4[[#This Row],[Region]]),Table4[[#This Row],[Node Type]],Table4[[#This Row],[Region]])</f>
        <v/>
      </c>
      <c r="E684" t="str">
        <f>IF(ISERROR(SEARCH("Node",Table4[[#This Row],[Type]])),IF(ISERROR(SEARCH("Iliac",Table4[[#This Row],[Type]])),"",Table4[[#This Row],[Type]]),Table4[[#This Row],[Type]])</f>
        <v/>
      </c>
      <c r="J684" t="s">
        <v>1461</v>
      </c>
      <c r="L684" t="s">
        <v>44</v>
      </c>
    </row>
    <row r="685" spans="1:14" x14ac:dyDescent="0.25">
      <c r="A685" t="s">
        <v>20</v>
      </c>
      <c r="B685" t="s">
        <v>48</v>
      </c>
      <c r="C685" t="str">
        <f>IF(ISBLANK(Table4[[#This Row],[Region]]),Table4[[#This Row],[Node Type]],Table4[[#This Row],[Region]])</f>
        <v/>
      </c>
      <c r="E685" t="str">
        <f>IF(ISERROR(SEARCH("Node",Table4[[#This Row],[Type]])),IF(ISERROR(SEARCH("Iliac",Table4[[#This Row],[Type]])),"",Table4[[#This Row],[Type]]),Table4[[#This Row],[Type]])</f>
        <v/>
      </c>
      <c r="L685" t="s">
        <v>20</v>
      </c>
    </row>
    <row r="686" spans="1:14" x14ac:dyDescent="0.25">
      <c r="A686" t="s">
        <v>1470</v>
      </c>
      <c r="B686" t="s">
        <v>173</v>
      </c>
      <c r="C686" t="str">
        <f>IF(ISBLANK(Table4[[#This Row],[Region]]),Table4[[#This Row],[Node Type]],Table4[[#This Row],[Region]])</f>
        <v/>
      </c>
      <c r="E686" t="str">
        <f>IF(ISERROR(SEARCH("Node",Table4[[#This Row],[Type]])),IF(ISERROR(SEARCH("Iliac",Table4[[#This Row],[Type]])),"",Table4[[#This Row],[Type]]),Table4[[#This Row],[Type]])</f>
        <v/>
      </c>
      <c r="I686">
        <v>56</v>
      </c>
      <c r="L686" t="s">
        <v>46</v>
      </c>
      <c r="N686" t="s">
        <v>106</v>
      </c>
    </row>
    <row r="687" spans="1:14" x14ac:dyDescent="0.25">
      <c r="A687" t="s">
        <v>1471</v>
      </c>
      <c r="B687" t="s">
        <v>173</v>
      </c>
      <c r="C687" t="str">
        <f>IF(ISBLANK(Table4[[#This Row],[Region]]),Table4[[#This Row],[Node Type]],Table4[[#This Row],[Region]])</f>
        <v/>
      </c>
      <c r="E687" t="str">
        <f>IF(ISERROR(SEARCH("Node",Table4[[#This Row],[Type]])),IF(ISERROR(SEARCH("Iliac",Table4[[#This Row],[Type]])),"",Table4[[#This Row],[Type]]),Table4[[#This Row],[Type]])</f>
        <v/>
      </c>
      <c r="I687">
        <v>56</v>
      </c>
      <c r="L687" t="s">
        <v>46</v>
      </c>
      <c r="N687" t="s">
        <v>108</v>
      </c>
    </row>
    <row r="688" spans="1:14" x14ac:dyDescent="0.25">
      <c r="A688" t="s">
        <v>1472</v>
      </c>
      <c r="B688" t="s">
        <v>173</v>
      </c>
      <c r="C688" t="str">
        <f>IF(ISBLANK(Table4[[#This Row],[Region]]),Table4[[#This Row],[Node Type]],Table4[[#This Row],[Region]])</f>
        <v/>
      </c>
      <c r="E688" t="str">
        <f>IF(ISERROR(SEARCH("Node",Table4[[#This Row],[Type]])),IF(ISERROR(SEARCH("Iliac",Table4[[#This Row],[Type]])),"",Table4[[#This Row],[Type]]),Table4[[#This Row],[Type]])</f>
        <v/>
      </c>
      <c r="I688">
        <v>56</v>
      </c>
      <c r="L688" t="s">
        <v>77</v>
      </c>
      <c r="N688" t="s">
        <v>106</v>
      </c>
    </row>
    <row r="689" spans="1:14" x14ac:dyDescent="0.25">
      <c r="A689" t="s">
        <v>1473</v>
      </c>
      <c r="B689" t="s">
        <v>173</v>
      </c>
      <c r="C689" t="str">
        <f>IF(ISBLANK(Table4[[#This Row],[Region]]),Table4[[#This Row],[Node Type]],Table4[[#This Row],[Region]])</f>
        <v/>
      </c>
      <c r="E689" t="str">
        <f>IF(ISERROR(SEARCH("Node",Table4[[#This Row],[Type]])),IF(ISERROR(SEARCH("Iliac",Table4[[#This Row],[Type]])),"",Table4[[#This Row],[Type]]),Table4[[#This Row],[Type]])</f>
        <v/>
      </c>
      <c r="I689">
        <v>56</v>
      </c>
      <c r="L689" t="s">
        <v>77</v>
      </c>
      <c r="N689" t="s">
        <v>108</v>
      </c>
    </row>
    <row r="690" spans="1:14" x14ac:dyDescent="0.25">
      <c r="A690" t="s">
        <v>1474</v>
      </c>
      <c r="B690" t="s">
        <v>46</v>
      </c>
      <c r="C690" t="str">
        <f>IF(ISBLANK(Table4[[#This Row],[Region]]),Table4[[#This Row],[Node Type]],Table4[[#This Row],[Region]])</f>
        <v/>
      </c>
      <c r="E690" t="str">
        <f>IF(ISERROR(SEARCH("Node",Table4[[#This Row],[Type]])),IF(ISERROR(SEARCH("Iliac",Table4[[#This Row],[Type]])),"",Table4[[#This Row],[Type]]),Table4[[#This Row],[Type]])</f>
        <v/>
      </c>
      <c r="I690">
        <v>70</v>
      </c>
      <c r="J690" t="s">
        <v>1475</v>
      </c>
      <c r="L690" t="s">
        <v>46</v>
      </c>
    </row>
    <row r="691" spans="1:14" x14ac:dyDescent="0.25">
      <c r="A691" t="s">
        <v>1476</v>
      </c>
      <c r="B691" t="s">
        <v>20</v>
      </c>
      <c r="C691" t="str">
        <f>IF(ISBLANK(Table4[[#This Row],[Region]]),Table4[[#This Row],[Node Type]],Table4[[#This Row],[Region]])</f>
        <v/>
      </c>
      <c r="E691" t="str">
        <f>IF(ISERROR(SEARCH("Node",Table4[[#This Row],[Type]])),IF(ISERROR(SEARCH("Iliac",Table4[[#This Row],[Type]])),"",Table4[[#This Row],[Type]]),Table4[[#This Row],[Type]])</f>
        <v/>
      </c>
      <c r="J691" t="s">
        <v>1475</v>
      </c>
      <c r="L691" t="s">
        <v>20</v>
      </c>
      <c r="M691" t="s">
        <v>235</v>
      </c>
    </row>
    <row r="692" spans="1:14" x14ac:dyDescent="0.25">
      <c r="A692" t="s">
        <v>1477</v>
      </c>
      <c r="B692" t="s">
        <v>77</v>
      </c>
      <c r="C692" t="str">
        <f>IF(ISBLANK(Table4[[#This Row],[Region]]),Table4[[#This Row],[Node Type]],Table4[[#This Row],[Region]])</f>
        <v/>
      </c>
      <c r="E692" t="str">
        <f>IF(ISERROR(SEARCH("Node",Table4[[#This Row],[Type]])),IF(ISERROR(SEARCH("Iliac",Table4[[#This Row],[Type]])),"",Table4[[#This Row],[Type]]),Table4[[#This Row],[Type]])</f>
        <v/>
      </c>
      <c r="I692">
        <v>70</v>
      </c>
      <c r="J692" t="s">
        <v>1475</v>
      </c>
      <c r="L692" t="s">
        <v>77</v>
      </c>
    </row>
    <row r="693" spans="1:14" x14ac:dyDescent="0.25">
      <c r="A693" t="s">
        <v>1478</v>
      </c>
      <c r="B693" t="s">
        <v>20</v>
      </c>
      <c r="C693" t="str">
        <f>IF(ISBLANK(Table4[[#This Row],[Region]]),Table4[[#This Row],[Node Type]],Table4[[#This Row],[Region]])</f>
        <v/>
      </c>
      <c r="E693" t="str">
        <f>IF(ISERROR(SEARCH("Node",Table4[[#This Row],[Type]])),IF(ISERROR(SEARCH("Iliac",Table4[[#This Row],[Type]])),"",Table4[[#This Row],[Type]]),Table4[[#This Row],[Type]])</f>
        <v/>
      </c>
      <c r="J693" t="s">
        <v>1475</v>
      </c>
      <c r="L693" t="s">
        <v>20</v>
      </c>
      <c r="M693" t="s">
        <v>79</v>
      </c>
    </row>
    <row r="694" spans="1:14" x14ac:dyDescent="0.25">
      <c r="A694" t="s">
        <v>1479</v>
      </c>
      <c r="B694" t="s">
        <v>46</v>
      </c>
      <c r="C694" t="str">
        <f>IF(ISBLANK(Table4[[#This Row],[Region]]),Table4[[#This Row],[Node Type]],Table4[[#This Row],[Region]])</f>
        <v/>
      </c>
      <c r="E694" t="str">
        <f>IF(ISERROR(SEARCH("Node",Table4[[#This Row],[Type]])),IF(ISERROR(SEARCH("Iliac",Table4[[#This Row],[Type]])),"",Table4[[#This Row],[Type]]),Table4[[#This Row],[Type]])</f>
        <v/>
      </c>
      <c r="I694">
        <v>56</v>
      </c>
      <c r="L694" t="s">
        <v>46</v>
      </c>
      <c r="N694" t="s">
        <v>106</v>
      </c>
    </row>
    <row r="695" spans="1:14" x14ac:dyDescent="0.25">
      <c r="A695" t="s">
        <v>1480</v>
      </c>
      <c r="B695" t="s">
        <v>46</v>
      </c>
      <c r="C695" t="str">
        <f>IF(ISBLANK(Table4[[#This Row],[Region]]),Table4[[#This Row],[Node Type]],Table4[[#This Row],[Region]])</f>
        <v/>
      </c>
      <c r="E695" t="str">
        <f>IF(ISERROR(SEARCH("Node",Table4[[#This Row],[Type]])),IF(ISERROR(SEARCH("Iliac",Table4[[#This Row],[Type]])),"",Table4[[#This Row],[Type]]),Table4[[#This Row],[Type]])</f>
        <v/>
      </c>
      <c r="I695">
        <v>56</v>
      </c>
      <c r="L695" t="s">
        <v>46</v>
      </c>
      <c r="N695" t="s">
        <v>108</v>
      </c>
    </row>
    <row r="696" spans="1:14" x14ac:dyDescent="0.25">
      <c r="A696" t="s">
        <v>1481</v>
      </c>
      <c r="B696" t="s">
        <v>46</v>
      </c>
      <c r="C696" t="str">
        <f>IF(ISBLANK(Table4[[#This Row],[Region]]),Table4[[#This Row],[Node Type]],Table4[[#This Row],[Region]])</f>
        <v/>
      </c>
      <c r="E696" t="str">
        <f>IF(ISERROR(SEARCH("Node",Table4[[#This Row],[Type]])),IF(ISERROR(SEARCH("Iliac",Table4[[#This Row],[Type]])),"",Table4[[#This Row],[Type]]),Table4[[#This Row],[Type]])</f>
        <v/>
      </c>
      <c r="I696">
        <v>70</v>
      </c>
      <c r="J696" t="s">
        <v>1263</v>
      </c>
      <c r="L696" t="s">
        <v>46</v>
      </c>
    </row>
    <row r="697" spans="1:14" x14ac:dyDescent="0.25">
      <c r="A697" t="s">
        <v>1482</v>
      </c>
      <c r="B697" t="s">
        <v>20</v>
      </c>
      <c r="C697" t="str">
        <f>IF(ISBLANK(Table4[[#This Row],[Region]]),Table4[[#This Row],[Node Type]],Table4[[#This Row],[Region]])</f>
        <v/>
      </c>
      <c r="E697" t="str">
        <f>IF(ISERROR(SEARCH("Node",Table4[[#This Row],[Type]])),IF(ISERROR(SEARCH("Iliac",Table4[[#This Row],[Type]])),"",Table4[[#This Row],[Type]]),Table4[[#This Row],[Type]])</f>
        <v/>
      </c>
      <c r="J697" t="s">
        <v>1263</v>
      </c>
      <c r="L697" t="s">
        <v>20</v>
      </c>
    </row>
    <row r="698" spans="1:14" x14ac:dyDescent="0.25">
      <c r="A698" t="s">
        <v>1483</v>
      </c>
      <c r="B698" t="s">
        <v>48</v>
      </c>
      <c r="C698" t="str">
        <f>IF(ISBLANK(Table4[[#This Row],[Region]]),Table4[[#This Row],[Node Type]],Table4[[#This Row],[Region]])</f>
        <v/>
      </c>
      <c r="E698" t="str">
        <f>IF(ISERROR(SEARCH("Node",Table4[[#This Row],[Type]])),IF(ISERROR(SEARCH("Iliac",Table4[[#This Row],[Type]])),"",Table4[[#This Row],[Type]]),Table4[[#This Row],[Type]])</f>
        <v/>
      </c>
      <c r="J698" t="s">
        <v>1263</v>
      </c>
      <c r="L698" t="s">
        <v>20</v>
      </c>
      <c r="M698" t="s">
        <v>79</v>
      </c>
    </row>
    <row r="699" spans="1:14" x14ac:dyDescent="0.25">
      <c r="A699" t="s">
        <v>1484</v>
      </c>
      <c r="B699" t="s">
        <v>77</v>
      </c>
      <c r="C699" t="str">
        <f>IF(ISBLANK(Table4[[#This Row],[Region]]),Table4[[#This Row],[Node Type]],Table4[[#This Row],[Region]])</f>
        <v/>
      </c>
      <c r="E699" t="str">
        <f>IF(ISERROR(SEARCH("Node",Table4[[#This Row],[Type]])),IF(ISERROR(SEARCH("Iliac",Table4[[#This Row],[Type]])),"",Table4[[#This Row],[Type]]),Table4[[#This Row],[Type]])</f>
        <v/>
      </c>
      <c r="I699">
        <v>56</v>
      </c>
      <c r="L699" t="s">
        <v>77</v>
      </c>
      <c r="N699" t="s">
        <v>106</v>
      </c>
    </row>
    <row r="700" spans="1:14" x14ac:dyDescent="0.25">
      <c r="A700" t="s">
        <v>1485</v>
      </c>
      <c r="B700" t="s">
        <v>77</v>
      </c>
      <c r="C700" t="str">
        <f>IF(ISBLANK(Table4[[#This Row],[Region]]),Table4[[#This Row],[Node Type]],Table4[[#This Row],[Region]])</f>
        <v/>
      </c>
      <c r="E700" t="str">
        <f>IF(ISERROR(SEARCH("Node",Table4[[#This Row],[Type]])),IF(ISERROR(SEARCH("Iliac",Table4[[#This Row],[Type]])),"",Table4[[#This Row],[Type]]),Table4[[#This Row],[Type]])</f>
        <v/>
      </c>
      <c r="I700">
        <v>56</v>
      </c>
      <c r="L700" t="s">
        <v>77</v>
      </c>
      <c r="N700" t="s">
        <v>108</v>
      </c>
    </row>
    <row r="701" spans="1:14" x14ac:dyDescent="0.25">
      <c r="A701" t="s">
        <v>1486</v>
      </c>
      <c r="B701" t="s">
        <v>77</v>
      </c>
      <c r="C701" t="str">
        <f>IF(ISBLANK(Table4[[#This Row],[Region]]),Table4[[#This Row],[Node Type]],Table4[[#This Row],[Region]])</f>
        <v/>
      </c>
      <c r="E701" t="str">
        <f>IF(ISERROR(SEARCH("Node",Table4[[#This Row],[Type]])),IF(ISERROR(SEARCH("Iliac",Table4[[#This Row],[Type]])),"",Table4[[#This Row],[Type]]),Table4[[#This Row],[Type]])</f>
        <v/>
      </c>
      <c r="I701">
        <v>70</v>
      </c>
      <c r="J701" t="s">
        <v>1263</v>
      </c>
      <c r="L701" t="s">
        <v>77</v>
      </c>
    </row>
    <row r="702" spans="1:14" x14ac:dyDescent="0.25">
      <c r="A702" t="s">
        <v>1493</v>
      </c>
      <c r="B702" t="s">
        <v>77</v>
      </c>
      <c r="C702" t="str">
        <f>IF(ISBLANK(Table4[[#This Row],[Region]]),Table4[[#This Row],[Node Type]],Table4[[#This Row],[Region]])</f>
        <v/>
      </c>
      <c r="E702" t="str">
        <f>IF(ISERROR(SEARCH("Node",Table4[[#This Row],[Type]])),IF(ISERROR(SEARCH("Iliac",Table4[[#This Row],[Type]])),"",Table4[[#This Row],[Type]]),Table4[[#This Row],[Type]])</f>
        <v/>
      </c>
      <c r="I702">
        <v>60</v>
      </c>
      <c r="L702" t="s">
        <v>77</v>
      </c>
    </row>
    <row r="703" spans="1:14" x14ac:dyDescent="0.25">
      <c r="A703" t="s">
        <v>1494</v>
      </c>
      <c r="B703" t="s">
        <v>46</v>
      </c>
      <c r="C703" t="str">
        <f>IF(ISBLANK(Table4[[#This Row],[Region]]),Table4[[#This Row],[Node Type]],Table4[[#This Row],[Region]])</f>
        <v/>
      </c>
      <c r="E703" t="str">
        <f>IF(ISERROR(SEARCH("Node",Table4[[#This Row],[Type]])),IF(ISERROR(SEARCH("Iliac",Table4[[#This Row],[Type]])),"",Table4[[#This Row],[Type]]),Table4[[#This Row],[Type]])</f>
        <v/>
      </c>
      <c r="I703">
        <v>60</v>
      </c>
      <c r="L703" t="s">
        <v>46</v>
      </c>
    </row>
    <row r="704" spans="1:14" x14ac:dyDescent="0.25">
      <c r="A704" t="s">
        <v>49</v>
      </c>
      <c r="B704" t="s">
        <v>173</v>
      </c>
      <c r="C704" t="str">
        <f>IF(ISBLANK(Table4[[#This Row],[Region]]),Table4[[#This Row],[Node Type]],Table4[[#This Row],[Region]])</f>
        <v>Node</v>
      </c>
      <c r="E704" t="str">
        <f>IF(ISERROR(SEARCH("Node",Table4[[#This Row],[Type]])),IF(ISERROR(SEARCH("Iliac",Table4[[#This Row],[Type]])),"",Table4[[#This Row],[Type]]),Table4[[#This Row],[Type]])</f>
        <v>Node</v>
      </c>
      <c r="L704" t="s">
        <v>49</v>
      </c>
    </row>
    <row r="705" spans="1:19" x14ac:dyDescent="0.25">
      <c r="A705" t="s">
        <v>1499</v>
      </c>
      <c r="B705" t="s">
        <v>20</v>
      </c>
      <c r="C705" t="str">
        <f>IF(ISBLANK(Table4[[#This Row],[Region]]),Table4[[#This Row],[Node Type]],Table4[[#This Row],[Region]])</f>
        <v/>
      </c>
      <c r="E705" t="str">
        <f>IF(ISERROR(SEARCH("Node",Table4[[#This Row],[Type]])),IF(ISERROR(SEARCH("Iliac",Table4[[#This Row],[Type]])),"",Table4[[#This Row],[Type]]),Table4[[#This Row],[Type]])</f>
        <v/>
      </c>
      <c r="L705" t="s">
        <v>20</v>
      </c>
      <c r="M705" t="s">
        <v>79</v>
      </c>
      <c r="N705" t="s">
        <v>108</v>
      </c>
    </row>
    <row r="706" spans="1:19" x14ac:dyDescent="0.25">
      <c r="A706" t="s">
        <v>1500</v>
      </c>
      <c r="B706" t="s">
        <v>77</v>
      </c>
      <c r="C706" t="str">
        <f>IF(ISBLANK(Table4[[#This Row],[Region]]),Table4[[#This Row],[Node Type]],Table4[[#This Row],[Region]])</f>
        <v/>
      </c>
      <c r="E706" t="str">
        <f>IF(ISERROR(SEARCH("Node",Table4[[#This Row],[Type]])),IF(ISERROR(SEARCH("Iliac",Table4[[#This Row],[Type]])),"",Table4[[#This Row],[Type]]),Table4[[#This Row],[Type]])</f>
        <v/>
      </c>
      <c r="I706">
        <v>66</v>
      </c>
      <c r="L706" t="s">
        <v>77</v>
      </c>
      <c r="N706" t="s">
        <v>106</v>
      </c>
      <c r="P706" t="s">
        <v>85</v>
      </c>
    </row>
    <row r="707" spans="1:19" x14ac:dyDescent="0.25">
      <c r="A707" t="s">
        <v>1501</v>
      </c>
      <c r="B707" t="s">
        <v>77</v>
      </c>
      <c r="C707" t="str">
        <f>IF(ISBLANK(Table4[[#This Row],[Region]]),Table4[[#This Row],[Node Type]],Table4[[#This Row],[Region]])</f>
        <v/>
      </c>
      <c r="E707" t="str">
        <f>IF(ISERROR(SEARCH("Node",Table4[[#This Row],[Type]])),IF(ISERROR(SEARCH("Iliac",Table4[[#This Row],[Type]])),"",Table4[[#This Row],[Type]]),Table4[[#This Row],[Type]])</f>
        <v/>
      </c>
      <c r="I707">
        <v>66</v>
      </c>
      <c r="L707" t="s">
        <v>77</v>
      </c>
      <c r="N707" t="s">
        <v>108</v>
      </c>
      <c r="P707" t="s">
        <v>85</v>
      </c>
    </row>
    <row r="708" spans="1:19" x14ac:dyDescent="0.25">
      <c r="A708" t="s">
        <v>1502</v>
      </c>
      <c r="B708" t="s">
        <v>77</v>
      </c>
      <c r="C708" t="str">
        <f>IF(ISBLANK(Table4[[#This Row],[Region]]),Table4[[#This Row],[Node Type]],Table4[[#This Row],[Region]])</f>
        <v/>
      </c>
      <c r="E708" t="str">
        <f>IF(ISERROR(SEARCH("Node",Table4[[#This Row],[Type]])),IF(ISERROR(SEARCH("Iliac",Table4[[#This Row],[Type]])),"",Table4[[#This Row],[Type]]),Table4[[#This Row],[Type]])</f>
        <v/>
      </c>
      <c r="I708">
        <v>54</v>
      </c>
      <c r="L708" t="s">
        <v>77</v>
      </c>
      <c r="O708" t="s">
        <v>290</v>
      </c>
      <c r="P708" t="s">
        <v>85</v>
      </c>
    </row>
    <row r="709" spans="1:19" x14ac:dyDescent="0.25">
      <c r="A709" t="s">
        <v>1503</v>
      </c>
      <c r="B709" t="s">
        <v>77</v>
      </c>
      <c r="C709" t="str">
        <f>IF(ISBLANK(Table4[[#This Row],[Region]]),Table4[[#This Row],[Node Type]],Table4[[#This Row],[Region]])</f>
        <v/>
      </c>
      <c r="E709" t="str">
        <f>IF(ISERROR(SEARCH("Node",Table4[[#This Row],[Type]])),IF(ISERROR(SEARCH("Iliac",Table4[[#This Row],[Type]])),"",Table4[[#This Row],[Type]]),Table4[[#This Row],[Type]])</f>
        <v/>
      </c>
      <c r="I709">
        <v>54</v>
      </c>
      <c r="L709" t="s">
        <v>77</v>
      </c>
      <c r="O709" t="s">
        <v>292</v>
      </c>
      <c r="P709" t="s">
        <v>85</v>
      </c>
    </row>
    <row r="710" spans="1:19" x14ac:dyDescent="0.25">
      <c r="A710" t="s">
        <v>1504</v>
      </c>
      <c r="B710" t="s">
        <v>46</v>
      </c>
      <c r="C710" t="str">
        <f>IF(ISBLANK(Table4[[#This Row],[Region]]),Table4[[#This Row],[Node Type]],Table4[[#This Row],[Region]])</f>
        <v/>
      </c>
      <c r="E710" t="str">
        <f>IF(ISERROR(SEARCH("Node",Table4[[#This Row],[Type]])),IF(ISERROR(SEARCH("Iliac",Table4[[#This Row],[Type]])),"",Table4[[#This Row],[Type]]),Table4[[#This Row],[Type]])</f>
        <v/>
      </c>
      <c r="L710" t="s">
        <v>46</v>
      </c>
      <c r="N710" t="s">
        <v>106</v>
      </c>
    </row>
    <row r="711" spans="1:19" x14ac:dyDescent="0.25">
      <c r="A711" t="s">
        <v>1505</v>
      </c>
      <c r="B711" t="s">
        <v>77</v>
      </c>
      <c r="C711" t="str">
        <f>IF(ISBLANK(Table4[[#This Row],[Region]]),Table4[[#This Row],[Node Type]],Table4[[#This Row],[Region]])</f>
        <v/>
      </c>
      <c r="E711" t="str">
        <f>IF(ISERROR(SEARCH("Node",Table4[[#This Row],[Type]])),IF(ISERROR(SEARCH("Iliac",Table4[[#This Row],[Type]])),"",Table4[[#This Row],[Type]]),Table4[[#This Row],[Type]])</f>
        <v/>
      </c>
      <c r="I711">
        <v>66</v>
      </c>
      <c r="L711" t="s">
        <v>77</v>
      </c>
      <c r="N711" t="s">
        <v>106</v>
      </c>
    </row>
    <row r="712" spans="1:19" x14ac:dyDescent="0.25">
      <c r="A712" t="s">
        <v>1506</v>
      </c>
      <c r="B712" t="s">
        <v>46</v>
      </c>
      <c r="C712" t="str">
        <f>IF(ISBLANK(Table4[[#This Row],[Region]]),Table4[[#This Row],[Node Type]],Table4[[#This Row],[Region]])</f>
        <v/>
      </c>
      <c r="E712" t="str">
        <f>IF(ISERROR(SEARCH("Node",Table4[[#This Row],[Type]])),IF(ISERROR(SEARCH("Iliac",Table4[[#This Row],[Type]])),"",Table4[[#This Row],[Type]]),Table4[[#This Row],[Type]])</f>
        <v/>
      </c>
      <c r="I712">
        <v>66</v>
      </c>
      <c r="L712" t="s">
        <v>46</v>
      </c>
      <c r="N712" t="s">
        <v>108</v>
      </c>
    </row>
    <row r="713" spans="1:19" x14ac:dyDescent="0.25">
      <c r="A713" t="s">
        <v>1507</v>
      </c>
      <c r="B713" t="s">
        <v>77</v>
      </c>
      <c r="C713" t="str">
        <f>IF(ISBLANK(Table4[[#This Row],[Region]]),Table4[[#This Row],[Node Type]],Table4[[#This Row],[Region]])</f>
        <v/>
      </c>
      <c r="E713" t="str">
        <f>IF(ISERROR(SEARCH("Node",Table4[[#This Row],[Type]])),IF(ISERROR(SEARCH("Iliac",Table4[[#This Row],[Type]])),"",Table4[[#This Row],[Type]]),Table4[[#This Row],[Type]])</f>
        <v/>
      </c>
      <c r="I713">
        <v>66</v>
      </c>
      <c r="L713" t="s">
        <v>77</v>
      </c>
      <c r="N713" t="s">
        <v>108</v>
      </c>
    </row>
    <row r="714" spans="1:19" x14ac:dyDescent="0.25">
      <c r="A714" t="s">
        <v>1201</v>
      </c>
      <c r="B714" t="s">
        <v>77</v>
      </c>
      <c r="C714" t="str">
        <f>IF(ISBLANK(Table4[[#This Row],[Region]]),Table4[[#This Row],[Node Type]],Table4[[#This Row],[Region]])</f>
        <v/>
      </c>
      <c r="E714" t="str">
        <f>IF(ISERROR(SEARCH("Node",Table4[[#This Row],[Type]])),IF(ISERROR(SEARCH("Iliac",Table4[[#This Row],[Type]])),"",Table4[[#This Row],[Type]]),Table4[[#This Row],[Type]])</f>
        <v/>
      </c>
      <c r="J714" t="s">
        <v>83</v>
      </c>
      <c r="L714" t="s">
        <v>77</v>
      </c>
    </row>
    <row r="715" spans="1:19" x14ac:dyDescent="0.25">
      <c r="A715" t="s">
        <v>1513</v>
      </c>
      <c r="B715" t="s">
        <v>20</v>
      </c>
      <c r="C715" t="str">
        <f>IF(ISBLANK(Table4[[#This Row],[Region]]),Table4[[#This Row],[Node Type]],Table4[[#This Row],[Region]])</f>
        <v/>
      </c>
      <c r="E715" t="str">
        <f>IF(ISERROR(SEARCH("Node",Table4[[#This Row],[Type]])),IF(ISERROR(SEARCH("Iliac",Table4[[#This Row],[Type]])),"",Table4[[#This Row],[Type]]),Table4[[#This Row],[Type]])</f>
        <v/>
      </c>
      <c r="H715">
        <v>1</v>
      </c>
      <c r="L715" t="s">
        <v>20</v>
      </c>
      <c r="R715" t="s">
        <v>1127</v>
      </c>
      <c r="S715">
        <v>-18</v>
      </c>
    </row>
    <row r="716" spans="1:19" x14ac:dyDescent="0.25">
      <c r="A716" t="s">
        <v>1514</v>
      </c>
      <c r="B716" t="s">
        <v>77</v>
      </c>
      <c r="C716" t="str">
        <f>IF(ISBLANK(Table4[[#This Row],[Region]]),Table4[[#This Row],[Node Type]],Table4[[#This Row],[Region]])</f>
        <v/>
      </c>
      <c r="E716" t="str">
        <f>IF(ISERROR(SEARCH("Node",Table4[[#This Row],[Type]])),IF(ISERROR(SEARCH("Iliac",Table4[[#This Row],[Type]])),"",Table4[[#This Row],[Type]]),Table4[[#This Row],[Type]])</f>
        <v/>
      </c>
      <c r="H716">
        <v>2</v>
      </c>
      <c r="L716" t="s">
        <v>77</v>
      </c>
      <c r="R716" t="s">
        <v>1127</v>
      </c>
      <c r="S716">
        <v>-18</v>
      </c>
    </row>
    <row r="717" spans="1:19" x14ac:dyDescent="0.25">
      <c r="A717" t="s">
        <v>1515</v>
      </c>
      <c r="B717" t="s">
        <v>77</v>
      </c>
      <c r="C717" t="str">
        <f>IF(ISBLANK(Table4[[#This Row],[Region]]),Table4[[#This Row],[Node Type]],Table4[[#This Row],[Region]])</f>
        <v/>
      </c>
      <c r="E717" t="str">
        <f>IF(ISERROR(SEARCH("Node",Table4[[#This Row],[Type]])),IF(ISERROR(SEARCH("Iliac",Table4[[#This Row],[Type]])),"",Table4[[#This Row],[Type]]),Table4[[#This Row],[Type]])</f>
        <v/>
      </c>
      <c r="H717">
        <v>1</v>
      </c>
      <c r="L717" t="s">
        <v>77</v>
      </c>
      <c r="R717" t="s">
        <v>1127</v>
      </c>
      <c r="S717">
        <v>-18</v>
      </c>
    </row>
    <row r="718" spans="1:19" x14ac:dyDescent="0.25">
      <c r="A718" t="s">
        <v>1516</v>
      </c>
      <c r="B718" t="s">
        <v>48</v>
      </c>
      <c r="C718" t="str">
        <f>IF(ISBLANK(Table4[[#This Row],[Region]]),Table4[[#This Row],[Node Type]],Table4[[#This Row],[Region]])</f>
        <v/>
      </c>
      <c r="E718" t="str">
        <f>IF(ISERROR(SEARCH("Node",Table4[[#This Row],[Type]])),IF(ISERROR(SEARCH("Iliac",Table4[[#This Row],[Type]])),"",Table4[[#This Row],[Type]]),Table4[[#This Row],[Type]])</f>
        <v/>
      </c>
      <c r="H718">
        <v>2</v>
      </c>
      <c r="L718" t="s">
        <v>46</v>
      </c>
      <c r="R718" t="s">
        <v>1127</v>
      </c>
      <c r="S718">
        <v>-18</v>
      </c>
    </row>
    <row r="719" spans="1:19" x14ac:dyDescent="0.25">
      <c r="A719" t="s">
        <v>1517</v>
      </c>
      <c r="B719" t="s">
        <v>46</v>
      </c>
      <c r="C719" t="str">
        <f>IF(ISBLANK(Table4[[#This Row],[Region]]),Table4[[#This Row],[Node Type]],Table4[[#This Row],[Region]])</f>
        <v/>
      </c>
      <c r="E719" t="str">
        <f>IF(ISERROR(SEARCH("Node",Table4[[#This Row],[Type]])),IF(ISERROR(SEARCH("Iliac",Table4[[#This Row],[Type]])),"",Table4[[#This Row],[Type]]),Table4[[#This Row],[Type]])</f>
        <v/>
      </c>
      <c r="H719">
        <v>1</v>
      </c>
      <c r="L719" t="s">
        <v>46</v>
      </c>
      <c r="R719" t="s">
        <v>1127</v>
      </c>
      <c r="S719">
        <v>-18</v>
      </c>
    </row>
    <row r="720" spans="1:19" x14ac:dyDescent="0.25">
      <c r="A720" t="s">
        <v>1518</v>
      </c>
      <c r="B720" t="s">
        <v>20</v>
      </c>
      <c r="C720" t="str">
        <f>IF(ISBLANK(Table4[[#This Row],[Region]]),Table4[[#This Row],[Node Type]],Table4[[#This Row],[Region]])</f>
        <v/>
      </c>
      <c r="E720" t="str">
        <f>IF(ISERROR(SEARCH("Node",Table4[[#This Row],[Type]])),IF(ISERROR(SEARCH("Iliac",Table4[[#This Row],[Type]])),"",Table4[[#This Row],[Type]]),Table4[[#This Row],[Type]])</f>
        <v/>
      </c>
      <c r="H720">
        <v>2</v>
      </c>
      <c r="L720" t="s">
        <v>20</v>
      </c>
      <c r="R720" t="s">
        <v>1127</v>
      </c>
      <c r="S720">
        <v>-18</v>
      </c>
    </row>
    <row r="721" spans="1:16" x14ac:dyDescent="0.25">
      <c r="A721" t="s">
        <v>287</v>
      </c>
      <c r="B721" t="s">
        <v>173</v>
      </c>
      <c r="C721" t="str">
        <f>IF(ISBLANK(Table4[[#This Row],[Region]]),Table4[[#This Row],[Node Type]],Table4[[#This Row],[Region]])</f>
        <v/>
      </c>
      <c r="E721" t="str">
        <f>IF(ISERROR(SEARCH("Node",Table4[[#This Row],[Type]])),IF(ISERROR(SEARCH("Iliac",Table4[[#This Row],[Type]])),"",Table4[[#This Row],[Type]]),Table4[[#This Row],[Type]])</f>
        <v/>
      </c>
      <c r="I721">
        <v>54</v>
      </c>
      <c r="L721" t="s">
        <v>77</v>
      </c>
      <c r="P721" t="s">
        <v>83</v>
      </c>
    </row>
    <row r="722" spans="1:16" x14ac:dyDescent="0.25">
      <c r="A722" t="s">
        <v>1521</v>
      </c>
      <c r="B722" t="s">
        <v>173</v>
      </c>
      <c r="C722" t="str">
        <f>IF(ISBLANK(Table4[[#This Row],[Region]]),Table4[[#This Row],[Node Type]],Table4[[#This Row],[Region]])</f>
        <v/>
      </c>
      <c r="E722" t="str">
        <f>IF(ISERROR(SEARCH("Node",Table4[[#This Row],[Type]])),IF(ISERROR(SEARCH("Iliac",Table4[[#This Row],[Type]])),"",Table4[[#This Row],[Type]]),Table4[[#This Row],[Type]])</f>
        <v/>
      </c>
      <c r="I722">
        <v>50.4</v>
      </c>
      <c r="L722" t="s">
        <v>77</v>
      </c>
      <c r="P722" t="s">
        <v>83</v>
      </c>
    </row>
    <row r="723" spans="1:16" x14ac:dyDescent="0.25">
      <c r="A723" t="s">
        <v>914</v>
      </c>
      <c r="B723" t="s">
        <v>173</v>
      </c>
      <c r="C723" t="str">
        <f>IF(ISBLANK(Table4[[#This Row],[Region]]),Table4[[#This Row],[Node Type]],Table4[[#This Row],[Region]])</f>
        <v/>
      </c>
      <c r="E723" t="str">
        <f>IF(ISERROR(SEARCH("Node",Table4[[#This Row],[Type]])),IF(ISERROR(SEARCH("Iliac",Table4[[#This Row],[Type]])),"",Table4[[#This Row],[Type]]),Table4[[#This Row],[Type]])</f>
        <v/>
      </c>
      <c r="I723">
        <v>36</v>
      </c>
      <c r="L723" t="s">
        <v>77</v>
      </c>
      <c r="P723" t="s">
        <v>83</v>
      </c>
    </row>
    <row r="724" spans="1:16" x14ac:dyDescent="0.25">
      <c r="A724" t="s">
        <v>437</v>
      </c>
      <c r="B724" t="s">
        <v>173</v>
      </c>
      <c r="C724" t="str">
        <f>IF(ISBLANK(Table4[[#This Row],[Region]]),Table4[[#This Row],[Node Type]],Table4[[#This Row],[Region]])</f>
        <v/>
      </c>
      <c r="E724" t="str">
        <f>IF(ISERROR(SEARCH("Node",Table4[[#This Row],[Type]])),IF(ISERROR(SEARCH("Iliac",Table4[[#This Row],[Type]])),"",Table4[[#This Row],[Type]]),Table4[[#This Row],[Type]])</f>
        <v/>
      </c>
      <c r="I724">
        <v>54</v>
      </c>
      <c r="L724" t="s">
        <v>77</v>
      </c>
      <c r="P724" t="s">
        <v>85</v>
      </c>
    </row>
    <row r="725" spans="1:16" x14ac:dyDescent="0.25">
      <c r="A725" t="s">
        <v>1420</v>
      </c>
      <c r="B725" t="s">
        <v>48</v>
      </c>
      <c r="C725" t="str">
        <f>IF(ISBLANK(Table4[[#This Row],[Region]]),Table4[[#This Row],[Node Type]],Table4[[#This Row],[Region]])</f>
        <v/>
      </c>
      <c r="E725" t="str">
        <f>IF(ISERROR(SEARCH("Node",Table4[[#This Row],[Type]])),IF(ISERROR(SEARCH("Iliac",Table4[[#This Row],[Type]])),"",Table4[[#This Row],[Type]]),Table4[[#This Row],[Type]])</f>
        <v/>
      </c>
      <c r="I725">
        <v>50.4</v>
      </c>
      <c r="L725" t="s">
        <v>46</v>
      </c>
    </row>
    <row r="726" spans="1:16" x14ac:dyDescent="0.25">
      <c r="A726" t="s">
        <v>1524</v>
      </c>
      <c r="B726" t="s">
        <v>77</v>
      </c>
      <c r="C726" t="str">
        <f>IF(ISBLANK(Table4[[#This Row],[Region]]),Table4[[#This Row],[Node Type]],Table4[[#This Row],[Region]])</f>
        <v/>
      </c>
      <c r="E726" t="str">
        <f>IF(ISERROR(SEARCH("Node",Table4[[#This Row],[Type]])),IF(ISERROR(SEARCH("Iliac",Table4[[#This Row],[Type]])),"",Table4[[#This Row],[Type]]),Table4[[#This Row],[Type]])</f>
        <v/>
      </c>
      <c r="I726">
        <v>50.4</v>
      </c>
      <c r="L726" t="s">
        <v>77</v>
      </c>
    </row>
    <row r="727" spans="1:16" x14ac:dyDescent="0.25">
      <c r="A727" t="s">
        <v>1529</v>
      </c>
      <c r="B727" t="s">
        <v>77</v>
      </c>
      <c r="C727" t="str">
        <f>IF(ISBLANK(Table4[[#This Row],[Region]]),Table4[[#This Row],[Node Type]],Table4[[#This Row],[Region]])</f>
        <v/>
      </c>
      <c r="E727" t="str">
        <f>IF(ISERROR(SEARCH("Node",Table4[[#This Row],[Type]])),IF(ISERROR(SEARCH("Iliac",Table4[[#This Row],[Type]])),"",Table4[[#This Row],[Type]]),Table4[[#This Row],[Type]])</f>
        <v/>
      </c>
      <c r="I727">
        <v>56</v>
      </c>
      <c r="L727" t="s">
        <v>77</v>
      </c>
      <c r="N727" t="s">
        <v>106</v>
      </c>
      <c r="P727" t="s">
        <v>85</v>
      </c>
    </row>
    <row r="728" spans="1:16" x14ac:dyDescent="0.25">
      <c r="A728" t="s">
        <v>1533</v>
      </c>
      <c r="B728" t="s">
        <v>20</v>
      </c>
      <c r="C728" t="str">
        <f>IF(ISBLANK(Table4[[#This Row],[Region]]),Table4[[#This Row],[Node Type]],Table4[[#This Row],[Region]])</f>
        <v/>
      </c>
      <c r="E728" t="str">
        <f>IF(ISERROR(SEARCH("Node",Table4[[#This Row],[Type]])),IF(ISERROR(SEARCH("Iliac",Table4[[#This Row],[Type]])),"",Table4[[#This Row],[Type]]),Table4[[#This Row],[Type]])</f>
        <v/>
      </c>
      <c r="H728">
        <v>6</v>
      </c>
      <c r="L728" t="s">
        <v>20</v>
      </c>
    </row>
    <row r="729" spans="1:16" x14ac:dyDescent="0.25">
      <c r="A729" t="s">
        <v>1534</v>
      </c>
      <c r="B729" t="s">
        <v>20</v>
      </c>
      <c r="C729" t="str">
        <f>IF(ISBLANK(Table4[[#This Row],[Region]]),Table4[[#This Row],[Node Type]],Table4[[#This Row],[Region]])</f>
        <v/>
      </c>
      <c r="E729" t="str">
        <f>IF(ISERROR(SEARCH("Node",Table4[[#This Row],[Type]])),IF(ISERROR(SEARCH("Iliac",Table4[[#This Row],[Type]])),"",Table4[[#This Row],[Type]]),Table4[[#This Row],[Type]])</f>
        <v/>
      </c>
      <c r="H729">
        <v>7</v>
      </c>
      <c r="L729" t="s">
        <v>20</v>
      </c>
    </row>
    <row r="730" spans="1:16" x14ac:dyDescent="0.25">
      <c r="A730" t="s">
        <v>1535</v>
      </c>
      <c r="B730" t="s">
        <v>20</v>
      </c>
      <c r="C730" t="str">
        <f>IF(ISBLANK(Table4[[#This Row],[Region]]),Table4[[#This Row],[Node Type]],Table4[[#This Row],[Region]])</f>
        <v/>
      </c>
      <c r="E730" t="str">
        <f>IF(ISERROR(SEARCH("Node",Table4[[#This Row],[Type]])),IF(ISERROR(SEARCH("Iliac",Table4[[#This Row],[Type]])),"",Table4[[#This Row],[Type]]),Table4[[#This Row],[Type]])</f>
        <v/>
      </c>
      <c r="H730">
        <v>13</v>
      </c>
      <c r="L730" t="s">
        <v>20</v>
      </c>
    </row>
    <row r="731" spans="1:16" x14ac:dyDescent="0.25">
      <c r="A731" t="s">
        <v>1536</v>
      </c>
      <c r="B731" t="s">
        <v>20</v>
      </c>
      <c r="C731" t="str">
        <f>IF(ISBLANK(Table4[[#This Row],[Region]]),Table4[[#This Row],[Node Type]],Table4[[#This Row],[Region]])</f>
        <v/>
      </c>
      <c r="E731" t="str">
        <f>IF(ISERROR(SEARCH("Node",Table4[[#This Row],[Type]])),IF(ISERROR(SEARCH("Iliac",Table4[[#This Row],[Type]])),"",Table4[[#This Row],[Type]]),Table4[[#This Row],[Type]])</f>
        <v/>
      </c>
      <c r="H731">
        <v>14</v>
      </c>
      <c r="L731" t="s">
        <v>20</v>
      </c>
    </row>
    <row r="732" spans="1:16" x14ac:dyDescent="0.25">
      <c r="A732" t="s">
        <v>1537</v>
      </c>
      <c r="B732" t="s">
        <v>20</v>
      </c>
      <c r="C732" t="str">
        <f>IF(ISBLANK(Table4[[#This Row],[Region]]),Table4[[#This Row],[Node Type]],Table4[[#This Row],[Region]])</f>
        <v/>
      </c>
      <c r="E732" t="str">
        <f>IF(ISERROR(SEARCH("Node",Table4[[#This Row],[Type]])),IF(ISERROR(SEARCH("Iliac",Table4[[#This Row],[Type]])),"",Table4[[#This Row],[Type]]),Table4[[#This Row],[Type]])</f>
        <v/>
      </c>
      <c r="H732">
        <v>15</v>
      </c>
      <c r="L732" t="s">
        <v>20</v>
      </c>
    </row>
    <row r="733" spans="1:16" x14ac:dyDescent="0.25">
      <c r="A733" t="s">
        <v>1538</v>
      </c>
      <c r="B733" t="s">
        <v>77</v>
      </c>
      <c r="C733" t="str">
        <f>IF(ISBLANK(Table4[[#This Row],[Region]]),Table4[[#This Row],[Node Type]],Table4[[#This Row],[Region]])</f>
        <v/>
      </c>
      <c r="E733" t="str">
        <f>IF(ISERROR(SEARCH("Node",Table4[[#This Row],[Type]])),IF(ISERROR(SEARCH("Iliac",Table4[[#This Row],[Type]])),"",Table4[[#This Row],[Type]]),Table4[[#This Row],[Type]])</f>
        <v/>
      </c>
      <c r="H733">
        <v>7</v>
      </c>
      <c r="I733">
        <v>27</v>
      </c>
      <c r="L733" t="s">
        <v>77</v>
      </c>
    </row>
    <row r="734" spans="1:16" x14ac:dyDescent="0.25">
      <c r="A734" t="s">
        <v>1539</v>
      </c>
      <c r="B734" t="s">
        <v>77</v>
      </c>
      <c r="C734" t="str">
        <f>IF(ISBLANK(Table4[[#This Row],[Region]]),Table4[[#This Row],[Node Type]],Table4[[#This Row],[Region]])</f>
        <v/>
      </c>
      <c r="E734" t="str">
        <f>IF(ISERROR(SEARCH("Node",Table4[[#This Row],[Type]])),IF(ISERROR(SEARCH("Iliac",Table4[[#This Row],[Type]])),"",Table4[[#This Row],[Type]]),Table4[[#This Row],[Type]])</f>
        <v/>
      </c>
      <c r="H734">
        <v>8</v>
      </c>
      <c r="I734">
        <v>27</v>
      </c>
      <c r="L734" t="s">
        <v>77</v>
      </c>
    </row>
    <row r="735" spans="1:16" x14ac:dyDescent="0.25">
      <c r="A735" t="s">
        <v>1540</v>
      </c>
      <c r="B735" t="s">
        <v>77</v>
      </c>
      <c r="C735" t="str">
        <f>IF(ISBLANK(Table4[[#This Row],[Region]]),Table4[[#This Row],[Node Type]],Table4[[#This Row],[Region]])</f>
        <v/>
      </c>
      <c r="E735" t="str">
        <f>IF(ISERROR(SEARCH("Node",Table4[[#This Row],[Type]])),IF(ISERROR(SEARCH("Iliac",Table4[[#This Row],[Type]])),"",Table4[[#This Row],[Type]]),Table4[[#This Row],[Type]])</f>
        <v/>
      </c>
      <c r="H735">
        <v>10</v>
      </c>
      <c r="I735">
        <v>27</v>
      </c>
      <c r="L735" t="s">
        <v>77</v>
      </c>
    </row>
    <row r="736" spans="1:16" x14ac:dyDescent="0.25">
      <c r="A736" t="s">
        <v>1541</v>
      </c>
      <c r="B736" t="s">
        <v>77</v>
      </c>
      <c r="C736" t="str">
        <f>IF(ISBLANK(Table4[[#This Row],[Region]]),Table4[[#This Row],[Node Type]],Table4[[#This Row],[Region]])</f>
        <v/>
      </c>
      <c r="E736" t="str">
        <f>IF(ISERROR(SEARCH("Node",Table4[[#This Row],[Type]])),IF(ISERROR(SEARCH("Iliac",Table4[[#This Row],[Type]])),"",Table4[[#This Row],[Type]]),Table4[[#This Row],[Type]])</f>
        <v/>
      </c>
      <c r="H736">
        <v>11</v>
      </c>
      <c r="I736">
        <v>27</v>
      </c>
      <c r="L736" t="s">
        <v>77</v>
      </c>
    </row>
    <row r="737" spans="1:12" x14ac:dyDescent="0.25">
      <c r="A737" t="s">
        <v>1542</v>
      </c>
      <c r="B737" t="s">
        <v>77</v>
      </c>
      <c r="C737" t="str">
        <f>IF(ISBLANK(Table4[[#This Row],[Region]]),Table4[[#This Row],[Node Type]],Table4[[#This Row],[Region]])</f>
        <v/>
      </c>
      <c r="E737" t="str">
        <f>IF(ISERROR(SEARCH("Node",Table4[[#This Row],[Type]])),IF(ISERROR(SEARCH("Iliac",Table4[[#This Row],[Type]])),"",Table4[[#This Row],[Type]]),Table4[[#This Row],[Type]])</f>
        <v/>
      </c>
      <c r="H737">
        <v>12</v>
      </c>
      <c r="I737">
        <v>27</v>
      </c>
      <c r="L737" t="s">
        <v>77</v>
      </c>
    </row>
    <row r="738" spans="1:12" x14ac:dyDescent="0.25">
      <c r="A738" t="s">
        <v>1543</v>
      </c>
      <c r="B738" t="s">
        <v>77</v>
      </c>
      <c r="C738" t="str">
        <f>IF(ISBLANK(Table4[[#This Row],[Region]]),Table4[[#This Row],[Node Type]],Table4[[#This Row],[Region]])</f>
        <v/>
      </c>
      <c r="E738" t="str">
        <f>IF(ISERROR(SEARCH("Node",Table4[[#This Row],[Type]])),IF(ISERROR(SEARCH("Iliac",Table4[[#This Row],[Type]])),"",Table4[[#This Row],[Type]]),Table4[[#This Row],[Type]])</f>
        <v/>
      </c>
      <c r="H738">
        <v>13</v>
      </c>
      <c r="I738">
        <v>27</v>
      </c>
      <c r="L738" t="s">
        <v>77</v>
      </c>
    </row>
    <row r="739" spans="1:12" x14ac:dyDescent="0.25">
      <c r="A739" t="s">
        <v>1544</v>
      </c>
      <c r="B739" t="s">
        <v>77</v>
      </c>
      <c r="C739" t="str">
        <f>IF(ISBLANK(Table4[[#This Row],[Region]]),Table4[[#This Row],[Node Type]],Table4[[#This Row],[Region]])</f>
        <v/>
      </c>
      <c r="E739" t="str">
        <f>IF(ISERROR(SEARCH("Node",Table4[[#This Row],[Type]])),IF(ISERROR(SEARCH("Iliac",Table4[[#This Row],[Type]])),"",Table4[[#This Row],[Type]]),Table4[[#This Row],[Type]])</f>
        <v/>
      </c>
      <c r="H739">
        <v>14</v>
      </c>
      <c r="I739">
        <v>27</v>
      </c>
      <c r="L739" t="s">
        <v>77</v>
      </c>
    </row>
    <row r="740" spans="1:12" x14ac:dyDescent="0.25">
      <c r="A740" t="s">
        <v>1545</v>
      </c>
      <c r="B740" t="s">
        <v>77</v>
      </c>
      <c r="C740" t="str">
        <f>IF(ISBLANK(Table4[[#This Row],[Region]]),Table4[[#This Row],[Node Type]],Table4[[#This Row],[Region]])</f>
        <v/>
      </c>
      <c r="E740" t="str">
        <f>IF(ISERROR(SEARCH("Node",Table4[[#This Row],[Type]])),IF(ISERROR(SEARCH("Iliac",Table4[[#This Row],[Type]])),"",Table4[[#This Row],[Type]]),Table4[[#This Row],[Type]])</f>
        <v/>
      </c>
      <c r="H740">
        <v>15</v>
      </c>
      <c r="I740">
        <v>27</v>
      </c>
      <c r="L740" t="s">
        <v>77</v>
      </c>
    </row>
    <row r="741" spans="1:12" x14ac:dyDescent="0.25">
      <c r="A741" t="s">
        <v>1546</v>
      </c>
      <c r="B741" t="s">
        <v>77</v>
      </c>
      <c r="C741" t="str">
        <f>IF(ISBLANK(Table4[[#This Row],[Region]]),Table4[[#This Row],[Node Type]],Table4[[#This Row],[Region]])</f>
        <v/>
      </c>
      <c r="E741" t="str">
        <f>IF(ISERROR(SEARCH("Node",Table4[[#This Row],[Type]])),IF(ISERROR(SEARCH("Iliac",Table4[[#This Row],[Type]])),"",Table4[[#This Row],[Type]]),Table4[[#This Row],[Type]])</f>
        <v/>
      </c>
      <c r="H741">
        <v>6</v>
      </c>
      <c r="I741">
        <v>27</v>
      </c>
      <c r="L741" t="s">
        <v>77</v>
      </c>
    </row>
    <row r="742" spans="1:12" x14ac:dyDescent="0.25">
      <c r="A742" t="s">
        <v>1555</v>
      </c>
      <c r="B742" t="s">
        <v>48</v>
      </c>
      <c r="C742" t="str">
        <f>IF(ISBLANK(Table4[[#This Row],[Region]]),Table4[[#This Row],[Node Type]],Table4[[#This Row],[Region]])</f>
        <v/>
      </c>
      <c r="E742" t="str">
        <f>IF(ISERROR(SEARCH("Node",Table4[[#This Row],[Type]])),IF(ISERROR(SEARCH("Iliac",Table4[[#This Row],[Type]])),"",Table4[[#This Row],[Type]]),Table4[[#This Row],[Type]])</f>
        <v/>
      </c>
      <c r="I742">
        <v>66</v>
      </c>
      <c r="J742" t="s">
        <v>1475</v>
      </c>
      <c r="L742" t="s">
        <v>46</v>
      </c>
    </row>
    <row r="743" spans="1:12" x14ac:dyDescent="0.25">
      <c r="A743" t="s">
        <v>1560</v>
      </c>
      <c r="B743" t="s">
        <v>46</v>
      </c>
      <c r="C743" t="str">
        <f>IF(ISBLANK(Table4[[#This Row],[Region]]),Table4[[#This Row],[Node Type]],Table4[[#This Row],[Region]])</f>
        <v/>
      </c>
      <c r="E743" t="str">
        <f>IF(ISERROR(SEARCH("Node",Table4[[#This Row],[Type]])),IF(ISERROR(SEARCH("Iliac",Table4[[#This Row],[Type]])),"",Table4[[#This Row],[Type]]),Table4[[#This Row],[Type]])</f>
        <v/>
      </c>
      <c r="I743">
        <v>37.5</v>
      </c>
      <c r="L743" t="s">
        <v>45</v>
      </c>
    </row>
    <row r="744" spans="1:12" x14ac:dyDescent="0.25">
      <c r="A744" t="s">
        <v>1561</v>
      </c>
      <c r="B744" t="s">
        <v>77</v>
      </c>
      <c r="C744" t="str">
        <f>IF(ISBLANK(Table4[[#This Row],[Region]]),Table4[[#This Row],[Node Type]],Table4[[#This Row],[Region]])</f>
        <v/>
      </c>
      <c r="E744" t="str">
        <f>IF(ISERROR(SEARCH("Node",Table4[[#This Row],[Type]])),IF(ISERROR(SEARCH("Iliac",Table4[[#This Row],[Type]])),"",Table4[[#This Row],[Type]]),Table4[[#This Row],[Type]])</f>
        <v/>
      </c>
      <c r="I744">
        <v>37.5</v>
      </c>
      <c r="L744" t="s">
        <v>77</v>
      </c>
    </row>
    <row r="745" spans="1:12" x14ac:dyDescent="0.25">
      <c r="A745" t="s">
        <v>604</v>
      </c>
      <c r="B745" t="s">
        <v>20</v>
      </c>
      <c r="C745" t="str">
        <f>IF(ISBLANK(Table4[[#This Row],[Region]]),Table4[[#This Row],[Node Type]],Table4[[#This Row],[Region]])</f>
        <v/>
      </c>
      <c r="E745" t="str">
        <f>IF(ISERROR(SEARCH("Node",Table4[[#This Row],[Type]])),IF(ISERROR(SEARCH("Iliac",Table4[[#This Row],[Type]])),"",Table4[[#This Row],[Type]]),Table4[[#This Row],[Type]])</f>
        <v/>
      </c>
      <c r="K745" t="s">
        <v>605</v>
      </c>
      <c r="L745" t="s">
        <v>20</v>
      </c>
    </row>
    <row r="746" spans="1:12" x14ac:dyDescent="0.25">
      <c r="A746" t="s">
        <v>1567</v>
      </c>
      <c r="B746" t="s">
        <v>46</v>
      </c>
      <c r="C746" t="str">
        <f>IF(ISBLANK(Table4[[#This Row],[Region]]),Table4[[#This Row],[Node Type]],Table4[[#This Row],[Region]])</f>
        <v/>
      </c>
      <c r="E746" t="str">
        <f>IF(ISERROR(SEARCH("Node",Table4[[#This Row],[Type]])),IF(ISERROR(SEARCH("Iliac",Table4[[#This Row],[Type]])),"",Table4[[#This Row],[Type]]),Table4[[#This Row],[Type]])</f>
        <v/>
      </c>
      <c r="J746" t="s">
        <v>1568</v>
      </c>
      <c r="L746" t="s">
        <v>46</v>
      </c>
    </row>
    <row r="747" spans="1:12" x14ac:dyDescent="0.25">
      <c r="A747" t="s">
        <v>1571</v>
      </c>
      <c r="B747" t="s">
        <v>20</v>
      </c>
      <c r="C747" t="str">
        <f>IF(ISBLANK(Table4[[#This Row],[Region]]),Table4[[#This Row],[Node Type]],Table4[[#This Row],[Region]])</f>
        <v/>
      </c>
      <c r="E747" t="str">
        <f>IF(ISERROR(SEARCH("Node",Table4[[#This Row],[Type]])),IF(ISERROR(SEARCH("Iliac",Table4[[#This Row],[Type]])),"",Table4[[#This Row],[Type]]),Table4[[#This Row],[Type]])</f>
        <v/>
      </c>
      <c r="J747" t="s">
        <v>1572</v>
      </c>
      <c r="L747" t="s">
        <v>20</v>
      </c>
    </row>
    <row r="748" spans="1:12" x14ac:dyDescent="0.25">
      <c r="A748" t="s">
        <v>1573</v>
      </c>
      <c r="B748" t="s">
        <v>77</v>
      </c>
      <c r="C748" t="str">
        <f>IF(ISBLANK(Table4[[#This Row],[Region]]),Table4[[#This Row],[Node Type]],Table4[[#This Row],[Region]])</f>
        <v/>
      </c>
      <c r="E748" t="str">
        <f>IF(ISERROR(SEARCH("Node",Table4[[#This Row],[Type]])),IF(ISERROR(SEARCH("Iliac",Table4[[#This Row],[Type]])),"",Table4[[#This Row],[Type]]),Table4[[#This Row],[Type]])</f>
        <v/>
      </c>
      <c r="J748" t="s">
        <v>1572</v>
      </c>
      <c r="L748" t="s">
        <v>77</v>
      </c>
    </row>
    <row r="749" spans="1:12" x14ac:dyDescent="0.25">
      <c r="A749" t="s">
        <v>1574</v>
      </c>
      <c r="B749" t="s">
        <v>20</v>
      </c>
      <c r="C749" t="str">
        <f>IF(ISBLANK(Table4[[#This Row],[Region]]),Table4[[#This Row],[Node Type]],Table4[[#This Row],[Region]])</f>
        <v/>
      </c>
      <c r="E749" t="str">
        <f>IF(ISERROR(SEARCH("Node",Table4[[#This Row],[Type]])),IF(ISERROR(SEARCH("Iliac",Table4[[#This Row],[Type]])),"",Table4[[#This Row],[Type]]),Table4[[#This Row],[Type]])</f>
        <v/>
      </c>
      <c r="H749">
        <v>1</v>
      </c>
      <c r="I749">
        <v>30</v>
      </c>
      <c r="L749" t="s">
        <v>20</v>
      </c>
    </row>
    <row r="750" spans="1:12" x14ac:dyDescent="0.25">
      <c r="A750" t="s">
        <v>1575</v>
      </c>
      <c r="B750" t="s">
        <v>20</v>
      </c>
      <c r="C750" t="str">
        <f>IF(ISBLANK(Table4[[#This Row],[Region]]),Table4[[#This Row],[Node Type]],Table4[[#This Row],[Region]])</f>
        <v/>
      </c>
      <c r="E750" t="str">
        <f>IF(ISERROR(SEARCH("Node",Table4[[#This Row],[Type]])),IF(ISERROR(SEARCH("Iliac",Table4[[#This Row],[Type]])),"",Table4[[#This Row],[Type]]),Table4[[#This Row],[Type]])</f>
        <v/>
      </c>
      <c r="H750">
        <v>2</v>
      </c>
      <c r="I750">
        <v>30</v>
      </c>
      <c r="L750" t="s">
        <v>20</v>
      </c>
    </row>
    <row r="751" spans="1:12" x14ac:dyDescent="0.25">
      <c r="A751" t="s">
        <v>1576</v>
      </c>
      <c r="B751" t="s">
        <v>20</v>
      </c>
      <c r="C751" t="str">
        <f>IF(ISBLANK(Table4[[#This Row],[Region]]),Table4[[#This Row],[Node Type]],Table4[[#This Row],[Region]])</f>
        <v/>
      </c>
      <c r="E751" t="str">
        <f>IF(ISERROR(SEARCH("Node",Table4[[#This Row],[Type]])),IF(ISERROR(SEARCH("Iliac",Table4[[#This Row],[Type]])),"",Table4[[#This Row],[Type]]),Table4[[#This Row],[Type]])</f>
        <v/>
      </c>
      <c r="H751">
        <v>3</v>
      </c>
      <c r="I751">
        <v>30</v>
      </c>
      <c r="L751" t="s">
        <v>20</v>
      </c>
    </row>
    <row r="752" spans="1:12" x14ac:dyDescent="0.25">
      <c r="A752" t="s">
        <v>1577</v>
      </c>
      <c r="B752" t="s">
        <v>20</v>
      </c>
      <c r="C752" t="str">
        <f>IF(ISBLANK(Table4[[#This Row],[Region]]),Table4[[#This Row],[Node Type]],Table4[[#This Row],[Region]])</f>
        <v/>
      </c>
      <c r="E752" t="str">
        <f>IF(ISERROR(SEARCH("Node",Table4[[#This Row],[Type]])),IF(ISERROR(SEARCH("Iliac",Table4[[#This Row],[Type]])),"",Table4[[#This Row],[Type]]),Table4[[#This Row],[Type]])</f>
        <v/>
      </c>
      <c r="H752">
        <v>4</v>
      </c>
      <c r="I752">
        <v>30</v>
      </c>
      <c r="L752" t="s">
        <v>20</v>
      </c>
    </row>
    <row r="753" spans="1:14" x14ac:dyDescent="0.25">
      <c r="A753" t="s">
        <v>1578</v>
      </c>
      <c r="B753" t="s">
        <v>20</v>
      </c>
      <c r="C753" t="str">
        <f>IF(ISBLANK(Table4[[#This Row],[Region]]),Table4[[#This Row],[Node Type]],Table4[[#This Row],[Region]])</f>
        <v/>
      </c>
      <c r="E753" t="str">
        <f>IF(ISERROR(SEARCH("Node",Table4[[#This Row],[Type]])),IF(ISERROR(SEARCH("Iliac",Table4[[#This Row],[Type]])),"",Table4[[#This Row],[Type]]),Table4[[#This Row],[Type]])</f>
        <v/>
      </c>
      <c r="H753">
        <v>5</v>
      </c>
      <c r="I753">
        <v>30</v>
      </c>
      <c r="L753" t="s">
        <v>20</v>
      </c>
    </row>
    <row r="754" spans="1:14" x14ac:dyDescent="0.25">
      <c r="A754" t="s">
        <v>1579</v>
      </c>
      <c r="B754" t="s">
        <v>20</v>
      </c>
      <c r="C754" t="str">
        <f>IF(ISBLANK(Table4[[#This Row],[Region]]),Table4[[#This Row],[Node Type]],Table4[[#This Row],[Region]])</f>
        <v/>
      </c>
      <c r="E754" t="str">
        <f>IF(ISERROR(SEARCH("Node",Table4[[#This Row],[Type]])),IF(ISERROR(SEARCH("Iliac",Table4[[#This Row],[Type]])),"",Table4[[#This Row],[Type]]),Table4[[#This Row],[Type]])</f>
        <v/>
      </c>
      <c r="H754">
        <v>8</v>
      </c>
      <c r="I754">
        <v>25</v>
      </c>
      <c r="L754" t="s">
        <v>20</v>
      </c>
    </row>
    <row r="755" spans="1:14" x14ac:dyDescent="0.25">
      <c r="A755" t="s">
        <v>1580</v>
      </c>
      <c r="B755" t="s">
        <v>77</v>
      </c>
      <c r="C755" t="str">
        <f>IF(ISBLANK(Table4[[#This Row],[Region]]),Table4[[#This Row],[Node Type]],Table4[[#This Row],[Region]])</f>
        <v/>
      </c>
      <c r="E755" t="str">
        <f>IF(ISERROR(SEARCH("Node",Table4[[#This Row],[Type]])),IF(ISERROR(SEARCH("Iliac",Table4[[#This Row],[Type]])),"",Table4[[#This Row],[Type]]),Table4[[#This Row],[Type]])</f>
        <v/>
      </c>
      <c r="H755">
        <v>4</v>
      </c>
      <c r="I755">
        <v>30</v>
      </c>
      <c r="L755" t="s">
        <v>77</v>
      </c>
    </row>
    <row r="756" spans="1:14" x14ac:dyDescent="0.25">
      <c r="A756" t="s">
        <v>1581</v>
      </c>
      <c r="B756" t="s">
        <v>77</v>
      </c>
      <c r="C756" t="str">
        <f>IF(ISBLANK(Table4[[#This Row],[Region]]),Table4[[#This Row],[Node Type]],Table4[[#This Row],[Region]])</f>
        <v/>
      </c>
      <c r="E756" t="str">
        <f>IF(ISERROR(SEARCH("Node",Table4[[#This Row],[Type]])),IF(ISERROR(SEARCH("Iliac",Table4[[#This Row],[Type]])),"",Table4[[#This Row],[Type]]),Table4[[#This Row],[Type]])</f>
        <v/>
      </c>
      <c r="H756">
        <v>5</v>
      </c>
      <c r="I756">
        <v>30</v>
      </c>
      <c r="L756" t="s">
        <v>77</v>
      </c>
    </row>
    <row r="757" spans="1:14" x14ac:dyDescent="0.25">
      <c r="A757" t="s">
        <v>1582</v>
      </c>
      <c r="B757" t="s">
        <v>77</v>
      </c>
      <c r="C757" t="str">
        <f>IF(ISBLANK(Table4[[#This Row],[Region]]),Table4[[#This Row],[Node Type]],Table4[[#This Row],[Region]])</f>
        <v/>
      </c>
      <c r="E757" t="str">
        <f>IF(ISERROR(SEARCH("Node",Table4[[#This Row],[Type]])),IF(ISERROR(SEARCH("Iliac",Table4[[#This Row],[Type]])),"",Table4[[#This Row],[Type]]),Table4[[#This Row],[Type]])</f>
        <v/>
      </c>
      <c r="H757">
        <v>6</v>
      </c>
      <c r="I757">
        <v>30</v>
      </c>
      <c r="L757" t="s">
        <v>77</v>
      </c>
    </row>
    <row r="758" spans="1:14" x14ac:dyDescent="0.25">
      <c r="A758" t="s">
        <v>1583</v>
      </c>
      <c r="B758" t="s">
        <v>20</v>
      </c>
      <c r="C758" t="str">
        <f>IF(ISBLANK(Table4[[#This Row],[Region]]),Table4[[#This Row],[Node Type]],Table4[[#This Row],[Region]])</f>
        <v/>
      </c>
      <c r="E758" t="str">
        <f>IF(ISERROR(SEARCH("Node",Table4[[#This Row],[Type]])),IF(ISERROR(SEARCH("Iliac",Table4[[#This Row],[Type]])),"",Table4[[#This Row],[Type]]),Table4[[#This Row],[Type]])</f>
        <v/>
      </c>
      <c r="H758">
        <v>6</v>
      </c>
      <c r="I758">
        <v>30</v>
      </c>
      <c r="L758" t="s">
        <v>20</v>
      </c>
    </row>
    <row r="759" spans="1:14" x14ac:dyDescent="0.25">
      <c r="A759" t="s">
        <v>1584</v>
      </c>
      <c r="B759" t="s">
        <v>20</v>
      </c>
      <c r="C759" t="str">
        <f>IF(ISBLANK(Table4[[#This Row],[Region]]),Table4[[#This Row],[Node Type]],Table4[[#This Row],[Region]])</f>
        <v/>
      </c>
      <c r="E759" t="str">
        <f>IF(ISERROR(SEARCH("Node",Table4[[#This Row],[Type]])),IF(ISERROR(SEARCH("Iliac",Table4[[#This Row],[Type]])),"",Table4[[#This Row],[Type]]),Table4[[#This Row],[Type]])</f>
        <v/>
      </c>
      <c r="H759">
        <v>7</v>
      </c>
      <c r="I759">
        <v>30</v>
      </c>
      <c r="L759" t="s">
        <v>20</v>
      </c>
    </row>
    <row r="760" spans="1:14" x14ac:dyDescent="0.25">
      <c r="A760" t="s">
        <v>1585</v>
      </c>
      <c r="B760" t="s">
        <v>77</v>
      </c>
      <c r="C760" t="str">
        <f>IF(ISBLANK(Table4[[#This Row],[Region]]),Table4[[#This Row],[Node Type]],Table4[[#This Row],[Region]])</f>
        <v/>
      </c>
      <c r="E760" t="str">
        <f>IF(ISERROR(SEARCH("Node",Table4[[#This Row],[Type]])),IF(ISERROR(SEARCH("Iliac",Table4[[#This Row],[Type]])),"",Table4[[#This Row],[Type]]),Table4[[#This Row],[Type]])</f>
        <v/>
      </c>
      <c r="H760">
        <v>7</v>
      </c>
      <c r="I760">
        <v>30</v>
      </c>
      <c r="L760" t="s">
        <v>77</v>
      </c>
    </row>
    <row r="761" spans="1:14" x14ac:dyDescent="0.25">
      <c r="A761" t="s">
        <v>1586</v>
      </c>
      <c r="B761" t="s">
        <v>77</v>
      </c>
      <c r="C761" t="str">
        <f>IF(ISBLANK(Table4[[#This Row],[Region]]),Table4[[#This Row],[Node Type]],Table4[[#This Row],[Region]])</f>
        <v/>
      </c>
      <c r="E761" t="str">
        <f>IF(ISERROR(SEARCH("Node",Table4[[#This Row],[Type]])),IF(ISERROR(SEARCH("Iliac",Table4[[#This Row],[Type]])),"",Table4[[#This Row],[Type]]),Table4[[#This Row],[Type]])</f>
        <v/>
      </c>
      <c r="H761">
        <v>8</v>
      </c>
      <c r="I761">
        <v>25</v>
      </c>
      <c r="L761" t="s">
        <v>77</v>
      </c>
    </row>
    <row r="762" spans="1:14" x14ac:dyDescent="0.25">
      <c r="A762" t="s">
        <v>1587</v>
      </c>
      <c r="B762" t="s">
        <v>77</v>
      </c>
      <c r="C762" t="str">
        <f>IF(ISBLANK(Table4[[#This Row],[Region]]),Table4[[#This Row],[Node Type]],Table4[[#This Row],[Region]])</f>
        <v/>
      </c>
      <c r="E762" t="str">
        <f>IF(ISERROR(SEARCH("Node",Table4[[#This Row],[Type]])),IF(ISERROR(SEARCH("Iliac",Table4[[#This Row],[Type]])),"",Table4[[#This Row],[Type]]),Table4[[#This Row],[Type]])</f>
        <v/>
      </c>
      <c r="K762" t="s">
        <v>582</v>
      </c>
      <c r="L762" t="s">
        <v>77</v>
      </c>
    </row>
    <row r="763" spans="1:14" x14ac:dyDescent="0.25">
      <c r="A763" t="s">
        <v>1592</v>
      </c>
      <c r="B763" t="s">
        <v>77</v>
      </c>
      <c r="C763" t="str">
        <f>IF(ISBLANK(Table4[[#This Row],[Region]]),Table4[[#This Row],[Node Type]],Table4[[#This Row],[Region]])</f>
        <v/>
      </c>
      <c r="E763" t="str">
        <f>IF(ISERROR(SEARCH("Node",Table4[[#This Row],[Type]])),IF(ISERROR(SEARCH("Iliac",Table4[[#This Row],[Type]])),"",Table4[[#This Row],[Type]]),Table4[[#This Row],[Type]])</f>
        <v/>
      </c>
      <c r="I763">
        <v>21</v>
      </c>
      <c r="L763" t="s">
        <v>77</v>
      </c>
    </row>
    <row r="764" spans="1:14" x14ac:dyDescent="0.25">
      <c r="A764" t="s">
        <v>46</v>
      </c>
      <c r="B764" t="s">
        <v>77</v>
      </c>
      <c r="C764" t="str">
        <f>IF(ISBLANK(Table4[[#This Row],[Region]]),Table4[[#This Row],[Node Type]],Table4[[#This Row],[Region]])</f>
        <v/>
      </c>
      <c r="E764" t="str">
        <f>IF(ISERROR(SEARCH("Node",Table4[[#This Row],[Type]])),IF(ISERROR(SEARCH("Iliac",Table4[[#This Row],[Type]])),"",Table4[[#This Row],[Type]]),Table4[[#This Row],[Type]])</f>
        <v/>
      </c>
      <c r="L764" t="s">
        <v>46</v>
      </c>
    </row>
    <row r="765" spans="1:14" x14ac:dyDescent="0.25">
      <c r="A765" t="s">
        <v>226</v>
      </c>
      <c r="B765" t="s">
        <v>46</v>
      </c>
      <c r="C765" t="str">
        <f>IF(ISBLANK(Table4[[#This Row],[Region]]),Table4[[#This Row],[Node Type]],Table4[[#This Row],[Region]])</f>
        <v/>
      </c>
      <c r="E765" t="str">
        <f>IF(ISERROR(SEARCH("Node",Table4[[#This Row],[Type]])),IF(ISERROR(SEARCH("Iliac",Table4[[#This Row],[Type]])),"",Table4[[#This Row],[Type]]),Table4[[#This Row],[Type]])</f>
        <v/>
      </c>
      <c r="L765" t="s">
        <v>226</v>
      </c>
    </row>
    <row r="766" spans="1:14" x14ac:dyDescent="0.25">
      <c r="A766" t="s">
        <v>1594</v>
      </c>
      <c r="B766" t="s">
        <v>20</v>
      </c>
      <c r="C766" t="str">
        <f>IF(ISBLANK(Table4[[#This Row],[Region]]),Table4[[#This Row],[Node Type]],Table4[[#This Row],[Region]])</f>
        <v/>
      </c>
      <c r="E766" t="str">
        <f>IF(ISERROR(SEARCH("Node",Table4[[#This Row],[Type]])),IF(ISERROR(SEARCH("Iliac",Table4[[#This Row],[Type]])),"",Table4[[#This Row],[Type]]),Table4[[#This Row],[Type]])</f>
        <v/>
      </c>
      <c r="G766" t="s">
        <v>43</v>
      </c>
      <c r="L766" t="s">
        <v>20</v>
      </c>
      <c r="N766" t="s">
        <v>106</v>
      </c>
    </row>
    <row r="767" spans="1:14" x14ac:dyDescent="0.25">
      <c r="A767" t="s">
        <v>1596</v>
      </c>
      <c r="B767" t="s">
        <v>87</v>
      </c>
      <c r="C767" t="str">
        <f>IF(ISBLANK(Table4[[#This Row],[Region]]),Table4[[#This Row],[Node Type]],Table4[[#This Row],[Region]])</f>
        <v/>
      </c>
      <c r="E767" t="str">
        <f>IF(ISERROR(SEARCH("Node",Table4[[#This Row],[Type]])),IF(ISERROR(SEARCH("Iliac",Table4[[#This Row],[Type]])),"",Table4[[#This Row],[Type]]),Table4[[#This Row],[Type]])</f>
        <v/>
      </c>
      <c r="L767" t="s">
        <v>77</v>
      </c>
      <c r="N767" t="s">
        <v>878</v>
      </c>
    </row>
    <row r="768" spans="1:14" x14ac:dyDescent="0.25">
      <c r="A768" t="s">
        <v>1599</v>
      </c>
      <c r="B768" t="s">
        <v>77</v>
      </c>
      <c r="C768" t="str">
        <f>IF(ISBLANK(Table4[[#This Row],[Region]]),Table4[[#This Row],[Node Type]],Table4[[#This Row],[Region]])</f>
        <v/>
      </c>
      <c r="E768" t="str">
        <f>IF(ISERROR(SEARCH("Node",Table4[[#This Row],[Type]])),IF(ISERROR(SEARCH("Iliac",Table4[[#This Row],[Type]])),"",Table4[[#This Row],[Type]]),Table4[[#This Row],[Type]])</f>
        <v/>
      </c>
      <c r="L768" t="s">
        <v>77</v>
      </c>
      <c r="N768" t="s">
        <v>106</v>
      </c>
    </row>
    <row r="769" spans="1:16" x14ac:dyDescent="0.25">
      <c r="A769" t="s">
        <v>1600</v>
      </c>
      <c r="B769" t="s">
        <v>77</v>
      </c>
      <c r="C769" t="str">
        <f>IF(ISBLANK(Table4[[#This Row],[Region]]),Table4[[#This Row],[Node Type]],Table4[[#This Row],[Region]])</f>
        <v/>
      </c>
      <c r="E769" t="str">
        <f>IF(ISERROR(SEARCH("Node",Table4[[#This Row],[Type]])),IF(ISERROR(SEARCH("Iliac",Table4[[#This Row],[Type]])),"",Table4[[#This Row],[Type]]),Table4[[#This Row],[Type]])</f>
        <v/>
      </c>
      <c r="L769" t="s">
        <v>77</v>
      </c>
      <c r="N769" t="s">
        <v>108</v>
      </c>
    </row>
    <row r="770" spans="1:16" x14ac:dyDescent="0.25">
      <c r="A770" t="s">
        <v>1601</v>
      </c>
      <c r="B770" t="s">
        <v>20</v>
      </c>
      <c r="C770" t="str">
        <f>IF(ISBLANK(Table4[[#This Row],[Region]]),Table4[[#This Row],[Node Type]],Table4[[#This Row],[Region]])</f>
        <v/>
      </c>
      <c r="E770" t="str">
        <f>IF(ISERROR(SEARCH("Node",Table4[[#This Row],[Type]])),IF(ISERROR(SEARCH("Iliac",Table4[[#This Row],[Type]])),"",Table4[[#This Row],[Type]]),Table4[[#This Row],[Type]])</f>
        <v/>
      </c>
      <c r="G770" t="s">
        <v>43</v>
      </c>
      <c r="L770" t="s">
        <v>20</v>
      </c>
      <c r="N770" t="s">
        <v>108</v>
      </c>
    </row>
    <row r="771" spans="1:16" x14ac:dyDescent="0.25">
      <c r="A771" t="s">
        <v>1602</v>
      </c>
      <c r="B771" t="s">
        <v>20</v>
      </c>
      <c r="C771" t="str">
        <f>IF(ISBLANK(Table4[[#This Row],[Region]]),Table4[[#This Row],[Node Type]],Table4[[#This Row],[Region]])</f>
        <v/>
      </c>
      <c r="E771" t="str">
        <f>IF(ISERROR(SEARCH("Node",Table4[[#This Row],[Type]])),IF(ISERROR(SEARCH("Iliac",Table4[[#This Row],[Type]])),"",Table4[[#This Row],[Type]]),Table4[[#This Row],[Type]])</f>
        <v/>
      </c>
      <c r="F771" t="s">
        <v>204</v>
      </c>
      <c r="L771" t="s">
        <v>20</v>
      </c>
    </row>
    <row r="772" spans="1:16" x14ac:dyDescent="0.25">
      <c r="A772" t="s">
        <v>1605</v>
      </c>
      <c r="B772" t="s">
        <v>87</v>
      </c>
      <c r="C772" t="str">
        <f>IF(ISBLANK(Table4[[#This Row],[Region]]),Table4[[#This Row],[Node Type]],Table4[[#This Row],[Region]])</f>
        <v/>
      </c>
      <c r="E772" t="str">
        <f>IF(ISERROR(SEARCH("Node",Table4[[#This Row],[Type]])),IF(ISERROR(SEARCH("Iliac",Table4[[#This Row],[Type]])),"",Table4[[#This Row],[Type]]),Table4[[#This Row],[Type]])</f>
        <v/>
      </c>
      <c r="L772" t="s">
        <v>77</v>
      </c>
      <c r="N772" t="s">
        <v>873</v>
      </c>
    </row>
    <row r="773" spans="1:16" x14ac:dyDescent="0.25">
      <c r="A773" t="s">
        <v>1196</v>
      </c>
      <c r="B773" t="s">
        <v>173</v>
      </c>
      <c r="C773" t="str">
        <f>IF(ISBLANK(Table4[[#This Row],[Region]]),Table4[[#This Row],[Node Type]],Table4[[#This Row],[Region]])</f>
        <v/>
      </c>
      <c r="E773" t="str">
        <f>IF(ISERROR(SEARCH("Node",Table4[[#This Row],[Type]])),IF(ISERROR(SEARCH("Iliac",Table4[[#This Row],[Type]])),"",Table4[[#This Row],[Type]]),Table4[[#This Row],[Type]])</f>
        <v/>
      </c>
      <c r="I773">
        <v>50</v>
      </c>
      <c r="L773" t="s">
        <v>46</v>
      </c>
    </row>
    <row r="774" spans="1:16" x14ac:dyDescent="0.25">
      <c r="A774" t="s">
        <v>1616</v>
      </c>
      <c r="B774" t="s">
        <v>173</v>
      </c>
      <c r="C774" t="str">
        <f>IF(ISBLANK(Table4[[#This Row],[Region]]),Table4[[#This Row],[Node Type]],Table4[[#This Row],[Region]])</f>
        <v/>
      </c>
      <c r="E774" t="str">
        <f>IF(ISERROR(SEARCH("Node",Table4[[#This Row],[Type]])),IF(ISERROR(SEARCH("Iliac",Table4[[#This Row],[Type]])),"",Table4[[#This Row],[Type]]),Table4[[#This Row],[Type]])</f>
        <v/>
      </c>
      <c r="H774">
        <v>2</v>
      </c>
      <c r="L774" t="s">
        <v>77</v>
      </c>
    </row>
    <row r="775" spans="1:16" x14ac:dyDescent="0.25">
      <c r="A775" t="s">
        <v>1617</v>
      </c>
      <c r="B775" t="s">
        <v>173</v>
      </c>
      <c r="C775" t="str">
        <f>IF(ISBLANK(Table4[[#This Row],[Region]]),Table4[[#This Row],[Node Type]],Table4[[#This Row],[Region]])</f>
        <v/>
      </c>
      <c r="E775" t="str">
        <f>IF(ISERROR(SEARCH("Node",Table4[[#This Row],[Type]])),IF(ISERROR(SEARCH("Iliac",Table4[[#This Row],[Type]])),"",Table4[[#This Row],[Type]]),Table4[[#This Row],[Type]])</f>
        <v/>
      </c>
      <c r="H775">
        <v>2</v>
      </c>
      <c r="L775" t="s">
        <v>20</v>
      </c>
    </row>
    <row r="776" spans="1:16" x14ac:dyDescent="0.25">
      <c r="A776" t="s">
        <v>1334</v>
      </c>
      <c r="B776" t="s">
        <v>173</v>
      </c>
      <c r="C776" t="str">
        <f>IF(ISBLANK(Table4[[#This Row],[Region]]),Table4[[#This Row],[Node Type]],Table4[[#This Row],[Region]])</f>
        <v/>
      </c>
      <c r="E776" t="str">
        <f>IF(ISERROR(SEARCH("Node",Table4[[#This Row],[Type]])),IF(ISERROR(SEARCH("Iliac",Table4[[#This Row],[Type]])),"",Table4[[#This Row],[Type]]),Table4[[#This Row],[Type]])</f>
        <v/>
      </c>
      <c r="K776" t="s">
        <v>552</v>
      </c>
      <c r="L776" t="s">
        <v>20</v>
      </c>
    </row>
    <row r="777" spans="1:16" x14ac:dyDescent="0.25">
      <c r="A777" t="s">
        <v>1620</v>
      </c>
      <c r="B777" t="s">
        <v>77</v>
      </c>
      <c r="C777" t="str">
        <f>IF(ISBLANK(Table4[[#This Row],[Region]]),Table4[[#This Row],[Node Type]],Table4[[#This Row],[Region]])</f>
        <v/>
      </c>
      <c r="E777" t="str">
        <f>IF(ISERROR(SEARCH("Node",Table4[[#This Row],[Type]])),IF(ISERROR(SEARCH("Iliac",Table4[[#This Row],[Type]])),"",Table4[[#This Row],[Type]]),Table4[[#This Row],[Type]])</f>
        <v/>
      </c>
      <c r="I777">
        <v>25</v>
      </c>
      <c r="L777" t="s">
        <v>77</v>
      </c>
    </row>
    <row r="778" spans="1:16" x14ac:dyDescent="0.25">
      <c r="A778" t="s">
        <v>1625</v>
      </c>
      <c r="B778" t="s">
        <v>173</v>
      </c>
      <c r="C778" t="str">
        <f>IF(ISBLANK(Table4[[#This Row],[Region]]),Table4[[#This Row],[Node Type]],Table4[[#This Row],[Region]])</f>
        <v/>
      </c>
      <c r="E778" t="str">
        <f>IF(ISERROR(SEARCH("Node",Table4[[#This Row],[Type]])),IF(ISERROR(SEARCH("Iliac",Table4[[#This Row],[Type]])),"",Table4[[#This Row],[Type]]),Table4[[#This Row],[Type]])</f>
        <v/>
      </c>
      <c r="J778" t="s">
        <v>1626</v>
      </c>
      <c r="L778" t="s">
        <v>46</v>
      </c>
    </row>
    <row r="779" spans="1:16" x14ac:dyDescent="0.25">
      <c r="A779" t="s">
        <v>1627</v>
      </c>
      <c r="B779" t="s">
        <v>173</v>
      </c>
      <c r="C779" t="str">
        <f>IF(ISBLANK(Table4[[#This Row],[Region]]),Table4[[#This Row],[Node Type]],Table4[[#This Row],[Region]])</f>
        <v/>
      </c>
      <c r="E779" t="str">
        <f>IF(ISERROR(SEARCH("Node",Table4[[#This Row],[Type]])),IF(ISERROR(SEARCH("Iliac",Table4[[#This Row],[Type]])),"",Table4[[#This Row],[Type]]),Table4[[#This Row],[Type]])</f>
        <v/>
      </c>
      <c r="I779">
        <v>20</v>
      </c>
      <c r="L779" t="s">
        <v>46</v>
      </c>
    </row>
    <row r="780" spans="1:16" x14ac:dyDescent="0.25">
      <c r="A780" t="s">
        <v>1628</v>
      </c>
      <c r="B780" t="s">
        <v>173</v>
      </c>
      <c r="C780" t="str">
        <f>IF(ISBLANK(Table4[[#This Row],[Region]]),Table4[[#This Row],[Node Type]],Table4[[#This Row],[Region]])</f>
        <v/>
      </c>
      <c r="E780" t="str">
        <f>IF(ISERROR(SEARCH("Node",Table4[[#This Row],[Type]])),IF(ISERROR(SEARCH("Iliac",Table4[[#This Row],[Type]])),"",Table4[[#This Row],[Type]]),Table4[[#This Row],[Type]])</f>
        <v/>
      </c>
      <c r="J780" t="s">
        <v>1626</v>
      </c>
      <c r="L780" t="s">
        <v>20</v>
      </c>
    </row>
    <row r="781" spans="1:16" x14ac:dyDescent="0.25">
      <c r="A781" t="s">
        <v>1629</v>
      </c>
      <c r="B781" t="s">
        <v>20</v>
      </c>
      <c r="C781" t="str">
        <f>IF(ISBLANK(Table4[[#This Row],[Region]]),Table4[[#This Row],[Node Type]],Table4[[#This Row],[Region]])</f>
        <v/>
      </c>
      <c r="E781" t="str">
        <f>IF(ISERROR(SEARCH("Node",Table4[[#This Row],[Type]])),IF(ISERROR(SEARCH("Iliac",Table4[[#This Row],[Type]])),"",Table4[[#This Row],[Type]]),Table4[[#This Row],[Type]])</f>
        <v/>
      </c>
      <c r="J781" t="s">
        <v>1630</v>
      </c>
      <c r="L781" t="s">
        <v>20</v>
      </c>
    </row>
    <row r="782" spans="1:16" x14ac:dyDescent="0.25">
      <c r="A782" t="s">
        <v>1631</v>
      </c>
      <c r="B782" t="s">
        <v>46</v>
      </c>
      <c r="C782" t="str">
        <f>IF(ISBLANK(Table4[[#This Row],[Region]]),Table4[[#This Row],[Node Type]],Table4[[#This Row],[Region]])</f>
        <v/>
      </c>
      <c r="E782" t="str">
        <f>IF(ISERROR(SEARCH("Node",Table4[[#This Row],[Type]])),IF(ISERROR(SEARCH("Iliac",Table4[[#This Row],[Type]])),"",Table4[[#This Row],[Type]]),Table4[[#This Row],[Type]])</f>
        <v/>
      </c>
      <c r="J782" t="s">
        <v>1630</v>
      </c>
      <c r="L782" t="s">
        <v>46</v>
      </c>
    </row>
    <row r="783" spans="1:16" x14ac:dyDescent="0.25">
      <c r="A783" t="s">
        <v>1632</v>
      </c>
      <c r="B783" t="s">
        <v>77</v>
      </c>
      <c r="C783" t="str">
        <f>IF(ISBLANK(Table4[[#This Row],[Region]]),Table4[[#This Row],[Node Type]],Table4[[#This Row],[Region]])</f>
        <v/>
      </c>
      <c r="E783" t="str">
        <f>IF(ISERROR(SEARCH("Node",Table4[[#This Row],[Type]])),IF(ISERROR(SEARCH("Iliac",Table4[[#This Row],[Type]])),"",Table4[[#This Row],[Type]]),Table4[[#This Row],[Type]])</f>
        <v/>
      </c>
      <c r="L783" t="s">
        <v>77</v>
      </c>
      <c r="P783" t="s">
        <v>85</v>
      </c>
    </row>
    <row r="784" spans="1:16" x14ac:dyDescent="0.25">
      <c r="A784" t="s">
        <v>1635</v>
      </c>
      <c r="B784" t="s">
        <v>77</v>
      </c>
      <c r="C784" t="str">
        <f>IF(ISBLANK(Table4[[#This Row],[Region]]),Table4[[#This Row],[Node Type]],Table4[[#This Row],[Region]])</f>
        <v/>
      </c>
      <c r="E784" t="str">
        <f>IF(ISERROR(SEARCH("Node",Table4[[#This Row],[Type]])),IF(ISERROR(SEARCH("Iliac",Table4[[#This Row],[Type]])),"",Table4[[#This Row],[Type]]),Table4[[#This Row],[Type]])</f>
        <v/>
      </c>
      <c r="H784">
        <v>3</v>
      </c>
      <c r="I784">
        <v>27</v>
      </c>
      <c r="L784" t="s">
        <v>77</v>
      </c>
    </row>
    <row r="785" spans="1:16" x14ac:dyDescent="0.25">
      <c r="A785" t="s">
        <v>1636</v>
      </c>
      <c r="B785" t="s">
        <v>20</v>
      </c>
      <c r="C785" t="str">
        <f>IF(ISBLANK(Table4[[#This Row],[Region]]),Table4[[#This Row],[Node Type]],Table4[[#This Row],[Region]])</f>
        <v/>
      </c>
      <c r="E785" t="str">
        <f>IF(ISERROR(SEARCH("Node",Table4[[#This Row],[Type]])),IF(ISERROR(SEARCH("Iliac",Table4[[#This Row],[Type]])),"",Table4[[#This Row],[Type]]),Table4[[#This Row],[Type]])</f>
        <v/>
      </c>
      <c r="H785">
        <v>3</v>
      </c>
      <c r="I785">
        <v>27</v>
      </c>
      <c r="L785" t="s">
        <v>20</v>
      </c>
    </row>
    <row r="786" spans="1:16" x14ac:dyDescent="0.25">
      <c r="A786" t="s">
        <v>1637</v>
      </c>
      <c r="B786" t="s">
        <v>77</v>
      </c>
      <c r="C786" t="str">
        <f>IF(ISBLANK(Table4[[#This Row],[Region]]),Table4[[#This Row],[Node Type]],Table4[[#This Row],[Region]])</f>
        <v/>
      </c>
      <c r="E786" t="str">
        <f>IF(ISERROR(SEARCH("Node",Table4[[#This Row],[Type]])),IF(ISERROR(SEARCH("Iliac",Table4[[#This Row],[Type]])),"",Table4[[#This Row],[Type]]),Table4[[#This Row],[Type]])</f>
        <v/>
      </c>
      <c r="H786">
        <v>2</v>
      </c>
      <c r="L786" t="s">
        <v>77</v>
      </c>
      <c r="M786" t="s">
        <v>249</v>
      </c>
      <c r="P786" t="s">
        <v>85</v>
      </c>
    </row>
    <row r="787" spans="1:16" x14ac:dyDescent="0.25">
      <c r="A787" t="s">
        <v>1638</v>
      </c>
      <c r="B787" t="s">
        <v>77</v>
      </c>
      <c r="C787" t="str">
        <f>IF(ISBLANK(Table4[[#This Row],[Region]]),Table4[[#This Row],[Node Type]],Table4[[#This Row],[Region]])</f>
        <v/>
      </c>
      <c r="E787" t="str">
        <f>IF(ISERROR(SEARCH("Node",Table4[[#This Row],[Type]])),IF(ISERROR(SEARCH("Iliac",Table4[[#This Row],[Type]])),"",Table4[[#This Row],[Type]]),Table4[[#This Row],[Type]])</f>
        <v/>
      </c>
      <c r="I787">
        <v>18</v>
      </c>
      <c r="L787" t="s">
        <v>77</v>
      </c>
    </row>
    <row r="788" spans="1:16" x14ac:dyDescent="0.25">
      <c r="A788" t="s">
        <v>1640</v>
      </c>
      <c r="B788" t="s">
        <v>20</v>
      </c>
      <c r="C788" t="str">
        <f>IF(ISBLANK(Table4[[#This Row],[Region]]),Table4[[#This Row],[Node Type]],Table4[[#This Row],[Region]])</f>
        <v/>
      </c>
      <c r="E788" t="str">
        <f>IF(ISERROR(SEARCH("Node",Table4[[#This Row],[Type]])),IF(ISERROR(SEARCH("Iliac",Table4[[#This Row],[Type]])),"",Table4[[#This Row],[Type]]),Table4[[#This Row],[Type]])</f>
        <v/>
      </c>
      <c r="I788">
        <v>18</v>
      </c>
      <c r="L788" t="s">
        <v>20</v>
      </c>
    </row>
    <row r="789" spans="1:16" x14ac:dyDescent="0.25">
      <c r="A789" t="s">
        <v>1641</v>
      </c>
      <c r="B789" t="s">
        <v>77</v>
      </c>
      <c r="C789" t="str">
        <f>IF(ISBLANK(Table4[[#This Row],[Region]]),Table4[[#This Row],[Node Type]],Table4[[#This Row],[Region]])</f>
        <v/>
      </c>
      <c r="E789" t="str">
        <f>IF(ISERROR(SEARCH("Node",Table4[[#This Row],[Type]])),IF(ISERROR(SEARCH("Iliac",Table4[[#This Row],[Type]])),"",Table4[[#This Row],[Type]]),Table4[[#This Row],[Type]])</f>
        <v/>
      </c>
      <c r="L789" t="s">
        <v>77</v>
      </c>
      <c r="O789" t="s">
        <v>1642</v>
      </c>
      <c r="P789" t="s">
        <v>85</v>
      </c>
    </row>
    <row r="790" spans="1:16" x14ac:dyDescent="0.25">
      <c r="A790" t="s">
        <v>1643</v>
      </c>
      <c r="B790" t="s">
        <v>77</v>
      </c>
      <c r="C790" t="str">
        <f>IF(ISBLANK(Table4[[#This Row],[Region]]),Table4[[#This Row],[Node Type]],Table4[[#This Row],[Region]])</f>
        <v/>
      </c>
      <c r="E790" t="str">
        <f>IF(ISERROR(SEARCH("Node",Table4[[#This Row],[Type]])),IF(ISERROR(SEARCH("Iliac",Table4[[#This Row],[Type]])),"",Table4[[#This Row],[Type]]),Table4[[#This Row],[Type]])</f>
        <v/>
      </c>
      <c r="L790" t="s">
        <v>77</v>
      </c>
      <c r="O790" t="s">
        <v>1136</v>
      </c>
      <c r="P790" t="s">
        <v>85</v>
      </c>
    </row>
    <row r="791" spans="1:16" x14ac:dyDescent="0.25">
      <c r="A791" t="s">
        <v>1647</v>
      </c>
      <c r="B791" t="s">
        <v>46</v>
      </c>
      <c r="C791" t="str">
        <f>IF(ISBLANK(Table4[[#This Row],[Region]]),Table4[[#This Row],[Node Type]],Table4[[#This Row],[Region]])</f>
        <v/>
      </c>
      <c r="E791" t="str">
        <f>IF(ISERROR(SEARCH("Node",Table4[[#This Row],[Type]])),IF(ISERROR(SEARCH("Iliac",Table4[[#This Row],[Type]])),"",Table4[[#This Row],[Type]]),Table4[[#This Row],[Type]])</f>
        <v/>
      </c>
      <c r="I791">
        <v>20</v>
      </c>
      <c r="L791" t="s">
        <v>46</v>
      </c>
    </row>
    <row r="792" spans="1:16" x14ac:dyDescent="0.25">
      <c r="A792" t="s">
        <v>1648</v>
      </c>
      <c r="B792" t="s">
        <v>20</v>
      </c>
      <c r="C792" t="str">
        <f>IF(ISBLANK(Table4[[#This Row],[Region]]),Table4[[#This Row],[Node Type]],Table4[[#This Row],[Region]])</f>
        <v/>
      </c>
      <c r="E792" t="str">
        <f>IF(ISERROR(SEARCH("Node",Table4[[#This Row],[Type]])),IF(ISERROR(SEARCH("Iliac",Table4[[#This Row],[Type]])),"",Table4[[#This Row],[Type]]),Table4[[#This Row],[Type]])</f>
        <v/>
      </c>
      <c r="K792" t="s">
        <v>1261</v>
      </c>
      <c r="L792" t="s">
        <v>20</v>
      </c>
    </row>
    <row r="793" spans="1:16" x14ac:dyDescent="0.25">
      <c r="A793" t="s">
        <v>1650</v>
      </c>
      <c r="B793" t="s">
        <v>77</v>
      </c>
      <c r="C793" t="str">
        <f>IF(ISBLANK(Table4[[#This Row],[Region]]),Table4[[#This Row],[Node Type]],Table4[[#This Row],[Region]])</f>
        <v/>
      </c>
      <c r="E793" t="str">
        <f>IF(ISERROR(SEARCH("Node",Table4[[#This Row],[Type]])),IF(ISERROR(SEARCH("Iliac",Table4[[#This Row],[Type]])),"",Table4[[#This Row],[Type]]),Table4[[#This Row],[Type]])</f>
        <v/>
      </c>
      <c r="K793" t="s">
        <v>552</v>
      </c>
      <c r="L793" t="s">
        <v>77</v>
      </c>
    </row>
    <row r="794" spans="1:16" x14ac:dyDescent="0.25">
      <c r="A794" t="s">
        <v>1656</v>
      </c>
      <c r="B794" t="s">
        <v>77</v>
      </c>
      <c r="C794" t="str">
        <f>IF(ISBLANK(Table4[[#This Row],[Region]]),Table4[[#This Row],[Node Type]],Table4[[#This Row],[Region]])</f>
        <v/>
      </c>
      <c r="E794" t="str">
        <f>IF(ISERROR(SEARCH("Node",Table4[[#This Row],[Type]])),IF(ISERROR(SEARCH("Iliac",Table4[[#This Row],[Type]])),"",Table4[[#This Row],[Type]]),Table4[[#This Row],[Type]])</f>
        <v/>
      </c>
      <c r="H794">
        <v>2</v>
      </c>
      <c r="L794" t="s">
        <v>77</v>
      </c>
      <c r="M794" t="s">
        <v>249</v>
      </c>
      <c r="P794" t="s">
        <v>85</v>
      </c>
    </row>
    <row r="795" spans="1:16" x14ac:dyDescent="0.25">
      <c r="A795" t="s">
        <v>1657</v>
      </c>
      <c r="B795" t="s">
        <v>77</v>
      </c>
      <c r="C795" t="str">
        <f>IF(ISBLANK(Table4[[#This Row],[Region]]),Table4[[#This Row],[Node Type]],Table4[[#This Row],[Region]])</f>
        <v/>
      </c>
      <c r="E795" t="str">
        <f>IF(ISERROR(SEARCH("Node",Table4[[#This Row],[Type]])),IF(ISERROR(SEARCH("Iliac",Table4[[#This Row],[Type]])),"",Table4[[#This Row],[Type]]),Table4[[#This Row],[Type]])</f>
        <v/>
      </c>
      <c r="H795">
        <v>1</v>
      </c>
      <c r="L795" t="s">
        <v>77</v>
      </c>
      <c r="P795" t="s">
        <v>85</v>
      </c>
    </row>
    <row r="796" spans="1:16" x14ac:dyDescent="0.25">
      <c r="A796" t="s">
        <v>1658</v>
      </c>
      <c r="B796" t="s">
        <v>77</v>
      </c>
      <c r="C796" t="str">
        <f>IF(ISBLANK(Table4[[#This Row],[Region]]),Table4[[#This Row],[Node Type]],Table4[[#This Row],[Region]])</f>
        <v/>
      </c>
      <c r="E796" t="str">
        <f>IF(ISERROR(SEARCH("Node",Table4[[#This Row],[Type]])),IF(ISERROR(SEARCH("Iliac",Table4[[#This Row],[Type]])),"",Table4[[#This Row],[Type]]),Table4[[#This Row],[Type]])</f>
        <v/>
      </c>
      <c r="H796">
        <v>2</v>
      </c>
      <c r="L796" t="s">
        <v>77</v>
      </c>
      <c r="P796" t="s">
        <v>85</v>
      </c>
    </row>
    <row r="797" spans="1:16" x14ac:dyDescent="0.25">
      <c r="A797" t="s">
        <v>1667</v>
      </c>
      <c r="B797" t="s">
        <v>46</v>
      </c>
      <c r="C797" t="str">
        <f>IF(ISBLANK(Table4[[#This Row],[Region]]),Table4[[#This Row],[Node Type]],Table4[[#This Row],[Region]])</f>
        <v/>
      </c>
      <c r="E797" t="str">
        <f>IF(ISERROR(SEARCH("Node",Table4[[#This Row],[Type]])),IF(ISERROR(SEARCH("Iliac",Table4[[#This Row],[Type]])),"",Table4[[#This Row],[Type]]),Table4[[#This Row],[Type]])</f>
        <v/>
      </c>
      <c r="I797">
        <v>46</v>
      </c>
      <c r="L797" t="s">
        <v>46</v>
      </c>
    </row>
    <row r="798" spans="1:16" x14ac:dyDescent="0.25">
      <c r="A798" t="s">
        <v>1669</v>
      </c>
      <c r="B798" t="s">
        <v>77</v>
      </c>
      <c r="C798" t="str">
        <f>IF(ISBLANK(Table4[[#This Row],[Region]]),Table4[[#This Row],[Node Type]],Table4[[#This Row],[Region]])</f>
        <v/>
      </c>
      <c r="E798" t="str">
        <f>IF(ISERROR(SEARCH("Node",Table4[[#This Row],[Type]])),IF(ISERROR(SEARCH("Iliac",Table4[[#This Row],[Type]])),"",Table4[[#This Row],[Type]]),Table4[[#This Row],[Type]])</f>
        <v/>
      </c>
      <c r="I798">
        <v>46</v>
      </c>
      <c r="L798" t="s">
        <v>77</v>
      </c>
    </row>
    <row r="799" spans="1:16" x14ac:dyDescent="0.25">
      <c r="A799" t="s">
        <v>1673</v>
      </c>
      <c r="B799" t="s">
        <v>77</v>
      </c>
      <c r="C799" t="str">
        <f>IF(ISBLANK(Table4[[#This Row],[Region]]),Table4[[#This Row],[Node Type]],Table4[[#This Row],[Region]])</f>
        <v/>
      </c>
      <c r="E799" t="str">
        <f>IF(ISERROR(SEARCH("Node",Table4[[#This Row],[Type]])),IF(ISERROR(SEARCH("Iliac",Table4[[#This Row],[Type]])),"",Table4[[#This Row],[Type]]),Table4[[#This Row],[Type]])</f>
        <v/>
      </c>
      <c r="I799">
        <v>50</v>
      </c>
      <c r="L799" t="s">
        <v>77</v>
      </c>
    </row>
    <row r="800" spans="1:16" x14ac:dyDescent="0.25">
      <c r="A800" t="s">
        <v>1675</v>
      </c>
      <c r="B800" t="s">
        <v>77</v>
      </c>
      <c r="C800" t="str">
        <f>IF(ISBLANK(Table4[[#This Row],[Region]]),Table4[[#This Row],[Node Type]],Table4[[#This Row],[Region]])</f>
        <v/>
      </c>
      <c r="E800" t="str">
        <f>IF(ISERROR(SEARCH("Node",Table4[[#This Row],[Type]])),IF(ISERROR(SEARCH("Iliac",Table4[[#This Row],[Type]])),"",Table4[[#This Row],[Type]]),Table4[[#This Row],[Type]])</f>
        <v/>
      </c>
      <c r="I800">
        <v>50</v>
      </c>
      <c r="L800" t="s">
        <v>77</v>
      </c>
      <c r="P800" t="s">
        <v>85</v>
      </c>
    </row>
    <row r="801" spans="1:17" x14ac:dyDescent="0.25">
      <c r="A801" t="s">
        <v>1676</v>
      </c>
      <c r="B801" t="s">
        <v>77</v>
      </c>
      <c r="C801" t="str">
        <f>IF(ISBLANK(Table4[[#This Row],[Region]]),Table4[[#This Row],[Node Type]],Table4[[#This Row],[Region]])</f>
        <v/>
      </c>
      <c r="E801" t="str">
        <f>IF(ISERROR(SEARCH("Node",Table4[[#This Row],[Type]])),IF(ISERROR(SEARCH("Iliac",Table4[[#This Row],[Type]])),"",Table4[[#This Row],[Type]]),Table4[[#This Row],[Type]])</f>
        <v/>
      </c>
      <c r="I801">
        <v>45</v>
      </c>
      <c r="L801" t="s">
        <v>77</v>
      </c>
      <c r="N801" t="s">
        <v>108</v>
      </c>
      <c r="O801" t="s">
        <v>292</v>
      </c>
      <c r="P801" t="s">
        <v>85</v>
      </c>
    </row>
    <row r="802" spans="1:17" x14ac:dyDescent="0.25">
      <c r="A802" t="s">
        <v>1677</v>
      </c>
      <c r="B802" t="s">
        <v>77</v>
      </c>
      <c r="C802" t="str">
        <f>IF(ISBLANK(Table4[[#This Row],[Region]]),Table4[[#This Row],[Node Type]],Table4[[#This Row],[Region]])</f>
        <v/>
      </c>
      <c r="E802" t="str">
        <f>IF(ISERROR(SEARCH("Node",Table4[[#This Row],[Type]])),IF(ISERROR(SEARCH("Iliac",Table4[[#This Row],[Type]])),"",Table4[[#This Row],[Type]]),Table4[[#This Row],[Type]])</f>
        <v/>
      </c>
      <c r="I802">
        <v>45</v>
      </c>
      <c r="L802" t="s">
        <v>77</v>
      </c>
      <c r="N802" t="s">
        <v>108</v>
      </c>
      <c r="O802" t="s">
        <v>290</v>
      </c>
      <c r="P802" t="s">
        <v>85</v>
      </c>
    </row>
    <row r="803" spans="1:17" x14ac:dyDescent="0.25">
      <c r="A803" t="s">
        <v>1678</v>
      </c>
      <c r="B803" t="s">
        <v>77</v>
      </c>
      <c r="C803" t="str">
        <f>IF(ISBLANK(Table4[[#This Row],[Region]]),Table4[[#This Row],[Node Type]],Table4[[#This Row],[Region]])</f>
        <v/>
      </c>
      <c r="E803" t="str">
        <f>IF(ISERROR(SEARCH("Node",Table4[[#This Row],[Type]])),IF(ISERROR(SEARCH("Iliac",Table4[[#This Row],[Type]])),"",Table4[[#This Row],[Type]]),Table4[[#This Row],[Type]])</f>
        <v/>
      </c>
      <c r="I803">
        <v>45</v>
      </c>
      <c r="L803" t="s">
        <v>77</v>
      </c>
      <c r="N803" t="s">
        <v>106</v>
      </c>
      <c r="O803" t="s">
        <v>292</v>
      </c>
      <c r="P803" t="s">
        <v>85</v>
      </c>
    </row>
    <row r="804" spans="1:17" x14ac:dyDescent="0.25">
      <c r="A804" t="s">
        <v>1679</v>
      </c>
      <c r="B804" t="s">
        <v>77</v>
      </c>
      <c r="C804" t="str">
        <f>IF(ISBLANK(Table4[[#This Row],[Region]]),Table4[[#This Row],[Node Type]],Table4[[#This Row],[Region]])</f>
        <v/>
      </c>
      <c r="E804" t="str">
        <f>IF(ISERROR(SEARCH("Node",Table4[[#This Row],[Type]])),IF(ISERROR(SEARCH("Iliac",Table4[[#This Row],[Type]])),"",Table4[[#This Row],[Type]]),Table4[[#This Row],[Type]])</f>
        <v/>
      </c>
      <c r="I804">
        <v>45</v>
      </c>
      <c r="L804" t="s">
        <v>77</v>
      </c>
      <c r="N804" t="s">
        <v>108</v>
      </c>
    </row>
    <row r="805" spans="1:17" x14ac:dyDescent="0.25">
      <c r="A805" t="s">
        <v>1681</v>
      </c>
      <c r="B805" t="s">
        <v>77</v>
      </c>
      <c r="C805" t="str">
        <f>IF(ISBLANK(Table4[[#This Row],[Region]]),Table4[[#This Row],[Node Type]],Table4[[#This Row],[Region]])</f>
        <v/>
      </c>
      <c r="E805" t="str">
        <f>IF(ISERROR(SEARCH("Node",Table4[[#This Row],[Type]])),IF(ISERROR(SEARCH("Iliac",Table4[[#This Row],[Type]])),"",Table4[[#This Row],[Type]]),Table4[[#This Row],[Type]])</f>
        <v/>
      </c>
      <c r="I805">
        <v>45</v>
      </c>
      <c r="L805" t="s">
        <v>77</v>
      </c>
      <c r="N805" t="s">
        <v>106</v>
      </c>
      <c r="O805" t="s">
        <v>290</v>
      </c>
      <c r="P805" t="s">
        <v>85</v>
      </c>
    </row>
    <row r="806" spans="1:17" x14ac:dyDescent="0.25">
      <c r="A806" t="s">
        <v>1682</v>
      </c>
      <c r="B806" t="s">
        <v>77</v>
      </c>
      <c r="C806" t="str">
        <f>IF(ISBLANK(Table4[[#This Row],[Region]]),Table4[[#This Row],[Node Type]],Table4[[#This Row],[Region]])</f>
        <v/>
      </c>
      <c r="E806" t="str">
        <f>IF(ISERROR(SEARCH("Node",Table4[[#This Row],[Type]])),IF(ISERROR(SEARCH("Iliac",Table4[[#This Row],[Type]])),"",Table4[[#This Row],[Type]]),Table4[[#This Row],[Type]])</f>
        <v/>
      </c>
      <c r="I806">
        <v>45</v>
      </c>
      <c r="L806" t="s">
        <v>77</v>
      </c>
      <c r="P806" t="s">
        <v>83</v>
      </c>
    </row>
    <row r="807" spans="1:17" x14ac:dyDescent="0.25">
      <c r="A807" t="s">
        <v>1683</v>
      </c>
      <c r="B807" t="s">
        <v>46</v>
      </c>
      <c r="C807" t="str">
        <f>IF(ISBLANK(Table4[[#This Row],[Region]]),Table4[[#This Row],[Node Type]],Table4[[#This Row],[Region]])</f>
        <v/>
      </c>
      <c r="E807" t="str">
        <f>IF(ISERROR(SEARCH("Node",Table4[[#This Row],[Type]])),IF(ISERROR(SEARCH("Iliac",Table4[[#This Row],[Type]])),"",Table4[[#This Row],[Type]]),Table4[[#This Row],[Type]])</f>
        <v/>
      </c>
      <c r="I807">
        <v>50</v>
      </c>
      <c r="L807" t="s">
        <v>46</v>
      </c>
    </row>
    <row r="808" spans="1:17" x14ac:dyDescent="0.25">
      <c r="A808" t="s">
        <v>1684</v>
      </c>
      <c r="B808" t="s">
        <v>46</v>
      </c>
      <c r="C808" t="str">
        <f>IF(ISBLANK(Table4[[#This Row],[Region]]),Table4[[#This Row],[Node Type]],Table4[[#This Row],[Region]])</f>
        <v/>
      </c>
      <c r="E808" t="str">
        <f>IF(ISERROR(SEARCH("Node",Table4[[#This Row],[Type]])),IF(ISERROR(SEARCH("Iliac",Table4[[#This Row],[Type]])),"",Table4[[#This Row],[Type]]),Table4[[#This Row],[Type]])</f>
        <v/>
      </c>
      <c r="I808">
        <v>45</v>
      </c>
      <c r="L808" t="s">
        <v>46</v>
      </c>
      <c r="N808" t="s">
        <v>108</v>
      </c>
    </row>
    <row r="809" spans="1:17" x14ac:dyDescent="0.25">
      <c r="A809" t="s">
        <v>1685</v>
      </c>
      <c r="B809" t="s">
        <v>46</v>
      </c>
      <c r="C809" t="str">
        <f>IF(ISBLANK(Table4[[#This Row],[Region]]),Table4[[#This Row],[Node Type]],Table4[[#This Row],[Region]])</f>
        <v/>
      </c>
      <c r="E809" t="str">
        <f>IF(ISERROR(SEARCH("Node",Table4[[#This Row],[Type]])),IF(ISERROR(SEARCH("Iliac",Table4[[#This Row],[Type]])),"",Table4[[#This Row],[Type]]),Table4[[#This Row],[Type]])</f>
        <v/>
      </c>
      <c r="I809">
        <v>45</v>
      </c>
      <c r="L809" t="s">
        <v>46</v>
      </c>
      <c r="N809" t="s">
        <v>106</v>
      </c>
    </row>
    <row r="810" spans="1:17" x14ac:dyDescent="0.25">
      <c r="A810" t="s">
        <v>1686</v>
      </c>
      <c r="B810" t="s">
        <v>77</v>
      </c>
      <c r="C810" t="str">
        <f>IF(ISBLANK(Table4[[#This Row],[Region]]),Table4[[#This Row],[Node Type]],Table4[[#This Row],[Region]])</f>
        <v/>
      </c>
      <c r="E810" t="str">
        <f>IF(ISERROR(SEARCH("Node",Table4[[#This Row],[Type]])),IF(ISERROR(SEARCH("Iliac",Table4[[#This Row],[Type]])),"",Table4[[#This Row],[Type]]),Table4[[#This Row],[Type]])</f>
        <v/>
      </c>
      <c r="I810">
        <v>45</v>
      </c>
      <c r="L810" t="s">
        <v>77</v>
      </c>
      <c r="N810" t="s">
        <v>106</v>
      </c>
    </row>
    <row r="811" spans="1:17" x14ac:dyDescent="0.25">
      <c r="A811" t="s">
        <v>1689</v>
      </c>
      <c r="B811" t="s">
        <v>77</v>
      </c>
      <c r="C811" t="str">
        <f>IF(ISBLANK(Table4[[#This Row],[Region]]),Table4[[#This Row],[Node Type]],Table4[[#This Row],[Region]])</f>
        <v/>
      </c>
      <c r="E811" t="str">
        <f>IF(ISERROR(SEARCH("Node",Table4[[#This Row],[Type]])),IF(ISERROR(SEARCH("Iliac",Table4[[#This Row],[Type]])),"",Table4[[#This Row],[Type]]),Table4[[#This Row],[Type]])</f>
        <v/>
      </c>
      <c r="I811">
        <v>56</v>
      </c>
      <c r="L811" t="s">
        <v>77</v>
      </c>
      <c r="P811" t="s">
        <v>83</v>
      </c>
    </row>
    <row r="812" spans="1:17" x14ac:dyDescent="0.25">
      <c r="A812" t="s">
        <v>1690</v>
      </c>
      <c r="B812" t="s">
        <v>77</v>
      </c>
      <c r="C812" t="str">
        <f>IF(ISBLANK(Table4[[#This Row],[Region]]),Table4[[#This Row],[Node Type]],Table4[[#This Row],[Region]])</f>
        <v/>
      </c>
      <c r="E812" t="str">
        <f>IF(ISERROR(SEARCH("Node",Table4[[#This Row],[Type]])),IF(ISERROR(SEARCH("Iliac",Table4[[#This Row],[Type]])),"",Table4[[#This Row],[Type]]),Table4[[#This Row],[Type]])</f>
        <v/>
      </c>
      <c r="I812">
        <v>76</v>
      </c>
      <c r="L812" t="s">
        <v>77</v>
      </c>
    </row>
    <row r="813" spans="1:17" x14ac:dyDescent="0.25">
      <c r="A813" t="s">
        <v>1691</v>
      </c>
      <c r="B813" t="s">
        <v>46</v>
      </c>
      <c r="C813" t="str">
        <f>IF(ISBLANK(Table4[[#This Row],[Region]]),Table4[[#This Row],[Node Type]],Table4[[#This Row],[Region]])</f>
        <v/>
      </c>
      <c r="E813" t="str">
        <f>IF(ISERROR(SEARCH("Node",Table4[[#This Row],[Type]])),IF(ISERROR(SEARCH("Iliac",Table4[[#This Row],[Type]])),"",Table4[[#This Row],[Type]]),Table4[[#This Row],[Type]])</f>
        <v/>
      </c>
      <c r="I813">
        <v>76</v>
      </c>
      <c r="L813" t="s">
        <v>46</v>
      </c>
    </row>
    <row r="814" spans="1:17" x14ac:dyDescent="0.25">
      <c r="A814" t="s">
        <v>1693</v>
      </c>
      <c r="B814" t="s">
        <v>46</v>
      </c>
      <c r="C814" t="str">
        <f>IF(ISBLANK(Table4[[#This Row],[Region]]),Table4[[#This Row],[Node Type]],Table4[[#This Row],[Region]])</f>
        <v/>
      </c>
      <c r="E814" t="str">
        <f>IF(ISERROR(SEARCH("Node",Table4[[#This Row],[Type]])),IF(ISERROR(SEARCH("Iliac",Table4[[#This Row],[Type]])),"",Table4[[#This Row],[Type]]),Table4[[#This Row],[Type]])</f>
        <v/>
      </c>
      <c r="J814" t="s">
        <v>1694</v>
      </c>
      <c r="L814" t="s">
        <v>46</v>
      </c>
    </row>
    <row r="815" spans="1:17" x14ac:dyDescent="0.25">
      <c r="A815" t="s">
        <v>1204</v>
      </c>
      <c r="B815" t="s">
        <v>173</v>
      </c>
      <c r="C815" t="str">
        <f>IF(ISBLANK(Table4[[#This Row],[Region]]),Table4[[#This Row],[Node Type]],Table4[[#This Row],[Region]])</f>
        <v/>
      </c>
      <c r="E815" t="str">
        <f>IF(ISERROR(SEARCH("Node",Table4[[#This Row],[Type]])),IF(ISERROR(SEARCH("Iliac",Table4[[#This Row],[Type]])),"",Table4[[#This Row],[Type]]),Table4[[#This Row],[Type]])</f>
        <v/>
      </c>
      <c r="L815" t="s">
        <v>77</v>
      </c>
      <c r="Q815" t="s">
        <v>605</v>
      </c>
    </row>
    <row r="816" spans="1:17" x14ac:dyDescent="0.25">
      <c r="A816" t="s">
        <v>48</v>
      </c>
      <c r="B816" t="s">
        <v>20</v>
      </c>
      <c r="C816" t="str">
        <f>IF(ISBLANK(Table4[[#This Row],[Region]]),Table4[[#This Row],[Node Type]],Table4[[#This Row],[Region]])</f>
        <v>Nodes</v>
      </c>
      <c r="E816" t="str">
        <f>IF(ISERROR(SEARCH("Node",Table4[[#This Row],[Type]])),IF(ISERROR(SEARCH("Iliac",Table4[[#This Row],[Type]])),"",Table4[[#This Row],[Type]]),Table4[[#This Row],[Type]])</f>
        <v>Nodes</v>
      </c>
      <c r="L816" t="s">
        <v>48</v>
      </c>
    </row>
    <row r="817" spans="1:16" x14ac:dyDescent="0.25">
      <c r="A817" t="s">
        <v>1706</v>
      </c>
      <c r="B817" t="s">
        <v>46</v>
      </c>
      <c r="C817" t="str">
        <f>IF(ISBLANK(Table4[[#This Row],[Region]]),Table4[[#This Row],[Node Type]],Table4[[#This Row],[Region]])</f>
        <v/>
      </c>
      <c r="E817" t="str">
        <f>IF(ISERROR(SEARCH("Node",Table4[[#This Row],[Type]])),IF(ISERROR(SEARCH("Iliac",Table4[[#This Row],[Type]])),"",Table4[[#This Row],[Type]]),Table4[[#This Row],[Type]])</f>
        <v/>
      </c>
      <c r="I817">
        <v>64</v>
      </c>
      <c r="L817" t="s">
        <v>46</v>
      </c>
    </row>
    <row r="818" spans="1:16" x14ac:dyDescent="0.25">
      <c r="A818" t="s">
        <v>1707</v>
      </c>
      <c r="B818" t="s">
        <v>77</v>
      </c>
      <c r="C818" t="str">
        <f>IF(ISBLANK(Table4[[#This Row],[Region]]),Table4[[#This Row],[Node Type]],Table4[[#This Row],[Region]])</f>
        <v/>
      </c>
      <c r="E818" t="str">
        <f>IF(ISERROR(SEARCH("Node",Table4[[#This Row],[Type]])),IF(ISERROR(SEARCH("Iliac",Table4[[#This Row],[Type]])),"",Table4[[#This Row],[Type]]),Table4[[#This Row],[Type]])</f>
        <v/>
      </c>
      <c r="I818">
        <v>64</v>
      </c>
      <c r="J818" t="s">
        <v>1380</v>
      </c>
      <c r="L818" t="s">
        <v>77</v>
      </c>
    </row>
    <row r="819" spans="1:16" x14ac:dyDescent="0.25">
      <c r="A819" t="s">
        <v>1708</v>
      </c>
      <c r="B819" t="s">
        <v>46</v>
      </c>
      <c r="C819" t="str">
        <f>IF(ISBLANK(Table4[[#This Row],[Region]]),Table4[[#This Row],[Node Type]],Table4[[#This Row],[Region]])</f>
        <v/>
      </c>
      <c r="E819" t="str">
        <f>IF(ISERROR(SEARCH("Node",Table4[[#This Row],[Type]])),IF(ISERROR(SEARCH("Iliac",Table4[[#This Row],[Type]])),"",Table4[[#This Row],[Type]]),Table4[[#This Row],[Type]])</f>
        <v/>
      </c>
      <c r="I819">
        <v>64</v>
      </c>
      <c r="J819" t="s">
        <v>1380</v>
      </c>
      <c r="L819" t="s">
        <v>46</v>
      </c>
    </row>
    <row r="820" spans="1:16" x14ac:dyDescent="0.25">
      <c r="A820" t="s">
        <v>1709</v>
      </c>
      <c r="B820" t="s">
        <v>46</v>
      </c>
      <c r="C820" t="str">
        <f>IF(ISBLANK(Table4[[#This Row],[Region]]),Table4[[#This Row],[Node Type]],Table4[[#This Row],[Region]])</f>
        <v/>
      </c>
      <c r="E820" t="str">
        <f>IF(ISERROR(SEARCH("Node",Table4[[#This Row],[Type]])),IF(ISERROR(SEARCH("Iliac",Table4[[#This Row],[Type]])),"",Table4[[#This Row],[Type]]),Table4[[#This Row],[Type]])</f>
        <v/>
      </c>
      <c r="I820">
        <v>70</v>
      </c>
      <c r="L820" t="s">
        <v>46</v>
      </c>
      <c r="M820" t="s">
        <v>235</v>
      </c>
    </row>
    <row r="821" spans="1:16" x14ac:dyDescent="0.25">
      <c r="A821" t="s">
        <v>1710</v>
      </c>
      <c r="B821" t="s">
        <v>77</v>
      </c>
      <c r="C821" t="str">
        <f>IF(ISBLANK(Table4[[#This Row],[Region]]),Table4[[#This Row],[Node Type]],Table4[[#This Row],[Region]])</f>
        <v/>
      </c>
      <c r="E821" t="str">
        <f>IF(ISERROR(SEARCH("Node",Table4[[#This Row],[Type]])),IF(ISERROR(SEARCH("Iliac",Table4[[#This Row],[Type]])),"",Table4[[#This Row],[Type]]),Table4[[#This Row],[Type]])</f>
        <v/>
      </c>
      <c r="I821">
        <v>56</v>
      </c>
      <c r="L821" t="s">
        <v>77</v>
      </c>
      <c r="P821" t="s">
        <v>85</v>
      </c>
    </row>
    <row r="822" spans="1:16" x14ac:dyDescent="0.25">
      <c r="A822" t="s">
        <v>1711</v>
      </c>
      <c r="B822" t="s">
        <v>77</v>
      </c>
      <c r="C822" t="str">
        <f>IF(ISBLANK(Table4[[#This Row],[Region]]),Table4[[#This Row],[Node Type]],Table4[[#This Row],[Region]])</f>
        <v/>
      </c>
      <c r="E822" t="str">
        <f>IF(ISERROR(SEARCH("Node",Table4[[#This Row],[Type]])),IF(ISERROR(SEARCH("Iliac",Table4[[#This Row],[Type]])),"",Table4[[#This Row],[Type]]),Table4[[#This Row],[Type]])</f>
        <v/>
      </c>
      <c r="I822">
        <v>70</v>
      </c>
      <c r="L822" t="s">
        <v>77</v>
      </c>
      <c r="M822" t="s">
        <v>235</v>
      </c>
    </row>
    <row r="823" spans="1:16" x14ac:dyDescent="0.25">
      <c r="A823" t="s">
        <v>1712</v>
      </c>
      <c r="B823" t="s">
        <v>20</v>
      </c>
      <c r="C823" t="str">
        <f>IF(ISBLANK(Table4[[#This Row],[Region]]),Table4[[#This Row],[Node Type]],Table4[[#This Row],[Region]])</f>
        <v/>
      </c>
      <c r="E823" t="str">
        <f>IF(ISERROR(SEARCH("Node",Table4[[#This Row],[Type]])),IF(ISERROR(SEARCH("Iliac",Table4[[#This Row],[Type]])),"",Table4[[#This Row],[Type]]),Table4[[#This Row],[Type]])</f>
        <v/>
      </c>
      <c r="I823">
        <v>70</v>
      </c>
      <c r="L823" t="s">
        <v>20</v>
      </c>
      <c r="M823" t="s">
        <v>235</v>
      </c>
    </row>
    <row r="824" spans="1:16" x14ac:dyDescent="0.25">
      <c r="A824" t="s">
        <v>1713</v>
      </c>
      <c r="B824" t="s">
        <v>20</v>
      </c>
      <c r="C824" t="str">
        <f>IF(ISBLANK(Table4[[#This Row],[Region]]),Table4[[#This Row],[Node Type]],Table4[[#This Row],[Region]])</f>
        <v/>
      </c>
      <c r="E824" t="str">
        <f>IF(ISERROR(SEARCH("Node",Table4[[#This Row],[Type]])),IF(ISERROR(SEARCH("Iliac",Table4[[#This Row],[Type]])),"",Table4[[#This Row],[Type]]),Table4[[#This Row],[Type]])</f>
        <v/>
      </c>
      <c r="I824">
        <v>66</v>
      </c>
      <c r="L824" t="s">
        <v>20</v>
      </c>
      <c r="M824" t="s">
        <v>235</v>
      </c>
    </row>
    <row r="825" spans="1:16" x14ac:dyDescent="0.25">
      <c r="A825" t="s">
        <v>1714</v>
      </c>
      <c r="B825" t="s">
        <v>20</v>
      </c>
      <c r="C825" t="str">
        <f>IF(ISBLANK(Table4[[#This Row],[Region]]),Table4[[#This Row],[Node Type]],Table4[[#This Row],[Region]])</f>
        <v/>
      </c>
      <c r="E825" t="str">
        <f>IF(ISERROR(SEARCH("Node",Table4[[#This Row],[Type]])),IF(ISERROR(SEARCH("Iliac",Table4[[#This Row],[Type]])),"",Table4[[#This Row],[Type]]),Table4[[#This Row],[Type]])</f>
        <v/>
      </c>
      <c r="I825">
        <v>56</v>
      </c>
      <c r="L825" t="s">
        <v>20</v>
      </c>
      <c r="M825" t="s">
        <v>235</v>
      </c>
    </row>
    <row r="826" spans="1:16" x14ac:dyDescent="0.25">
      <c r="A826" t="s">
        <v>1715</v>
      </c>
      <c r="B826" t="s">
        <v>46</v>
      </c>
      <c r="C826" t="str">
        <f>IF(ISBLANK(Table4[[#This Row],[Region]]),Table4[[#This Row],[Node Type]],Table4[[#This Row],[Region]])</f>
        <v/>
      </c>
      <c r="E826" t="str">
        <f>IF(ISERROR(SEARCH("Node",Table4[[#This Row],[Type]])),IF(ISERROR(SEARCH("Iliac",Table4[[#This Row],[Type]])),"",Table4[[#This Row],[Type]]),Table4[[#This Row],[Type]])</f>
        <v/>
      </c>
      <c r="I826">
        <v>66</v>
      </c>
      <c r="L826" t="s">
        <v>46</v>
      </c>
      <c r="M826" t="s">
        <v>235</v>
      </c>
    </row>
    <row r="827" spans="1:16" x14ac:dyDescent="0.25">
      <c r="A827" t="s">
        <v>1716</v>
      </c>
      <c r="B827" t="s">
        <v>46</v>
      </c>
      <c r="C827" t="str">
        <f>IF(ISBLANK(Table4[[#This Row],[Region]]),Table4[[#This Row],[Node Type]],Table4[[#This Row],[Region]])</f>
        <v/>
      </c>
      <c r="E827" t="str">
        <f>IF(ISERROR(SEARCH("Node",Table4[[#This Row],[Type]])),IF(ISERROR(SEARCH("Iliac",Table4[[#This Row],[Type]])),"",Table4[[#This Row],[Type]]),Table4[[#This Row],[Type]])</f>
        <v/>
      </c>
      <c r="I827">
        <v>56</v>
      </c>
      <c r="L827" t="s">
        <v>46</v>
      </c>
      <c r="M827" t="s">
        <v>235</v>
      </c>
    </row>
    <row r="828" spans="1:16" x14ac:dyDescent="0.25">
      <c r="A828" t="s">
        <v>1717</v>
      </c>
      <c r="B828" t="s">
        <v>77</v>
      </c>
      <c r="C828" t="str">
        <f>IF(ISBLANK(Table4[[#This Row],[Region]]),Table4[[#This Row],[Node Type]],Table4[[#This Row],[Region]])</f>
        <v/>
      </c>
      <c r="E828" t="str">
        <f>IF(ISERROR(SEARCH("Node",Table4[[#This Row],[Type]])),IF(ISERROR(SEARCH("Iliac",Table4[[#This Row],[Type]])),"",Table4[[#This Row],[Type]]),Table4[[#This Row],[Type]])</f>
        <v/>
      </c>
      <c r="I828">
        <v>66</v>
      </c>
      <c r="L828" t="s">
        <v>77</v>
      </c>
      <c r="M828" t="s">
        <v>235</v>
      </c>
    </row>
    <row r="829" spans="1:16" x14ac:dyDescent="0.25">
      <c r="A829" t="s">
        <v>1718</v>
      </c>
      <c r="B829" t="s">
        <v>77</v>
      </c>
      <c r="C829" t="str">
        <f>IF(ISBLANK(Table4[[#This Row],[Region]]),Table4[[#This Row],[Node Type]],Table4[[#This Row],[Region]])</f>
        <v/>
      </c>
      <c r="E829" t="str">
        <f>IF(ISERROR(SEARCH("Node",Table4[[#This Row],[Type]])),IF(ISERROR(SEARCH("Iliac",Table4[[#This Row],[Type]])),"",Table4[[#This Row],[Type]]),Table4[[#This Row],[Type]])</f>
        <v/>
      </c>
      <c r="I829">
        <v>56</v>
      </c>
      <c r="L829" t="s">
        <v>77</v>
      </c>
      <c r="M829" t="s">
        <v>235</v>
      </c>
    </row>
    <row r="830" spans="1:16" x14ac:dyDescent="0.25">
      <c r="A830" t="s">
        <v>1062</v>
      </c>
      <c r="B830" t="s">
        <v>46</v>
      </c>
      <c r="C830" t="str">
        <f>IF(ISBLANK(Table4[[#This Row],[Region]]),Table4[[#This Row],[Node Type]],Table4[[#This Row],[Region]])</f>
        <v/>
      </c>
      <c r="E830" t="str">
        <f>IF(ISERROR(SEARCH("Node",Table4[[#This Row],[Type]])),IF(ISERROR(SEARCH("Iliac",Table4[[#This Row],[Type]])),"",Table4[[#This Row],[Type]]),Table4[[#This Row],[Type]])</f>
        <v/>
      </c>
      <c r="I830">
        <v>70</v>
      </c>
      <c r="L830" t="s">
        <v>46</v>
      </c>
    </row>
    <row r="831" spans="1:16" x14ac:dyDescent="0.25">
      <c r="A831" t="s">
        <v>1022</v>
      </c>
      <c r="B831" t="s">
        <v>46</v>
      </c>
      <c r="C831" t="str">
        <f>IF(ISBLANK(Table4[[#This Row],[Region]]),Table4[[#This Row],[Node Type]],Table4[[#This Row],[Region]])</f>
        <v/>
      </c>
      <c r="E831" t="str">
        <f>IF(ISERROR(SEARCH("Node",Table4[[#This Row],[Type]])),IF(ISERROR(SEARCH("Iliac",Table4[[#This Row],[Type]])),"",Table4[[#This Row],[Type]]),Table4[[#This Row],[Type]])</f>
        <v/>
      </c>
      <c r="I831">
        <v>66</v>
      </c>
      <c r="L831" t="s">
        <v>77</v>
      </c>
      <c r="M831" t="s">
        <v>79</v>
      </c>
    </row>
    <row r="832" spans="1:16" x14ac:dyDescent="0.25">
      <c r="A832" t="s">
        <v>1721</v>
      </c>
      <c r="B832" t="s">
        <v>95</v>
      </c>
      <c r="C832" t="str">
        <f>IF(ISBLANK(Table4[[#This Row],[Region]]),Table4[[#This Row],[Node Type]],Table4[[#This Row],[Region]])</f>
        <v/>
      </c>
      <c r="E832" t="str">
        <f>IF(ISERROR(SEARCH("Node",Table4[[#This Row],[Type]])),IF(ISERROR(SEARCH("Iliac",Table4[[#This Row],[Type]])),"",Table4[[#This Row],[Type]]),Table4[[#This Row],[Type]])</f>
        <v/>
      </c>
      <c r="I832">
        <v>54</v>
      </c>
      <c r="L832" t="s">
        <v>77</v>
      </c>
      <c r="P832" t="s">
        <v>85</v>
      </c>
    </row>
    <row r="833" spans="1:16" x14ac:dyDescent="0.25">
      <c r="A833" t="s">
        <v>1722</v>
      </c>
      <c r="B833" t="s">
        <v>77</v>
      </c>
      <c r="C833" t="str">
        <f>IF(ISBLANK(Table4[[#This Row],[Region]]),Table4[[#This Row],[Node Type]],Table4[[#This Row],[Region]])</f>
        <v/>
      </c>
      <c r="E833" t="str">
        <f>IF(ISERROR(SEARCH("Node",Table4[[#This Row],[Type]])),IF(ISERROR(SEARCH("Iliac",Table4[[#This Row],[Type]])),"",Table4[[#This Row],[Type]]),Table4[[#This Row],[Type]])</f>
        <v/>
      </c>
      <c r="I833">
        <v>54</v>
      </c>
      <c r="L833" t="s">
        <v>77</v>
      </c>
      <c r="P833" t="s">
        <v>85</v>
      </c>
    </row>
    <row r="834" spans="1:16" x14ac:dyDescent="0.25">
      <c r="A834" t="s">
        <v>1723</v>
      </c>
      <c r="B834" t="s">
        <v>77</v>
      </c>
      <c r="C834" t="str">
        <f>IF(ISBLANK(Table4[[#This Row],[Region]]),Table4[[#This Row],[Node Type]],Table4[[#This Row],[Region]])</f>
        <v/>
      </c>
      <c r="E834" t="str">
        <f>IF(ISERROR(SEARCH("Node",Table4[[#This Row],[Type]])),IF(ISERROR(SEARCH("Iliac",Table4[[#This Row],[Type]])),"",Table4[[#This Row],[Type]]),Table4[[#This Row],[Type]])</f>
        <v/>
      </c>
      <c r="I834">
        <v>54</v>
      </c>
      <c r="L834" t="s">
        <v>77</v>
      </c>
      <c r="P834" t="s">
        <v>85</v>
      </c>
    </row>
    <row r="835" spans="1:16" x14ac:dyDescent="0.25">
      <c r="A835" t="s">
        <v>1724</v>
      </c>
      <c r="B835" t="s">
        <v>77</v>
      </c>
      <c r="C835" t="str">
        <f>IF(ISBLANK(Table4[[#This Row],[Region]]),Table4[[#This Row],[Node Type]],Table4[[#This Row],[Region]])</f>
        <v/>
      </c>
      <c r="E835" t="str">
        <f>IF(ISERROR(SEARCH("Node",Table4[[#This Row],[Type]])),IF(ISERROR(SEARCH("Iliac",Table4[[#This Row],[Type]])),"",Table4[[#This Row],[Type]]),Table4[[#This Row],[Type]])</f>
        <v/>
      </c>
      <c r="I835">
        <v>54</v>
      </c>
      <c r="L835" t="s">
        <v>77</v>
      </c>
      <c r="P835" t="s">
        <v>83</v>
      </c>
    </row>
    <row r="836" spans="1:16" x14ac:dyDescent="0.25">
      <c r="A836" t="s">
        <v>1726</v>
      </c>
      <c r="B836" t="s">
        <v>20</v>
      </c>
      <c r="C836" t="str">
        <f>IF(ISBLANK(Table4[[#This Row],[Region]]),Table4[[#This Row],[Node Type]],Table4[[#This Row],[Region]])</f>
        <v/>
      </c>
      <c r="E836" t="str">
        <f>IF(ISERROR(SEARCH("Node",Table4[[#This Row],[Type]])),IF(ISERROR(SEARCH("Iliac",Table4[[#This Row],[Type]])),"",Table4[[#This Row],[Type]]),Table4[[#This Row],[Type]])</f>
        <v/>
      </c>
      <c r="H836">
        <v>2</v>
      </c>
      <c r="I836">
        <v>60</v>
      </c>
      <c r="L836" t="s">
        <v>44</v>
      </c>
    </row>
    <row r="837" spans="1:16" x14ac:dyDescent="0.25">
      <c r="A837" t="s">
        <v>1728</v>
      </c>
      <c r="B837" t="s">
        <v>20</v>
      </c>
      <c r="C837" t="str">
        <f>IF(ISBLANK(Table4[[#This Row],[Region]]),Table4[[#This Row],[Node Type]],Table4[[#This Row],[Region]])</f>
        <v/>
      </c>
      <c r="E837" t="str">
        <f>IF(ISERROR(SEARCH("Node",Table4[[#This Row],[Type]])),IF(ISERROR(SEARCH("Iliac",Table4[[#This Row],[Type]])),"",Table4[[#This Row],[Type]]),Table4[[#This Row],[Type]])</f>
        <v/>
      </c>
      <c r="H837">
        <v>2</v>
      </c>
      <c r="I837">
        <v>60</v>
      </c>
      <c r="L837" t="s">
        <v>45</v>
      </c>
    </row>
    <row r="838" spans="1:16" x14ac:dyDescent="0.25">
      <c r="A838" t="s">
        <v>1729</v>
      </c>
      <c r="B838" t="s">
        <v>20</v>
      </c>
      <c r="C838" t="str">
        <f>IF(ISBLANK(Table4[[#This Row],[Region]]),Table4[[#This Row],[Node Type]],Table4[[#This Row],[Region]])</f>
        <v/>
      </c>
      <c r="E838" t="str">
        <f>IF(ISERROR(SEARCH("Node",Table4[[#This Row],[Type]])),IF(ISERROR(SEARCH("Iliac",Table4[[#This Row],[Type]])),"",Table4[[#This Row],[Type]]),Table4[[#This Row],[Type]])</f>
        <v/>
      </c>
      <c r="H838">
        <v>2</v>
      </c>
      <c r="I838">
        <v>60</v>
      </c>
      <c r="L838" t="s">
        <v>77</v>
      </c>
    </row>
    <row r="839" spans="1:16" x14ac:dyDescent="0.25">
      <c r="A839" t="s">
        <v>1730</v>
      </c>
      <c r="B839" t="s">
        <v>20</v>
      </c>
      <c r="C839" t="str">
        <f>IF(ISBLANK(Table4[[#This Row],[Region]]),Table4[[#This Row],[Node Type]],Table4[[#This Row],[Region]])</f>
        <v/>
      </c>
      <c r="E839" t="str">
        <f>IF(ISERROR(SEARCH("Node",Table4[[#This Row],[Type]])),IF(ISERROR(SEARCH("Iliac",Table4[[#This Row],[Type]])),"",Table4[[#This Row],[Type]]),Table4[[#This Row],[Type]])</f>
        <v/>
      </c>
      <c r="H839">
        <v>1</v>
      </c>
      <c r="I839">
        <v>60</v>
      </c>
      <c r="L839" t="s">
        <v>44</v>
      </c>
    </row>
    <row r="840" spans="1:16" x14ac:dyDescent="0.25">
      <c r="A840" t="s">
        <v>1731</v>
      </c>
      <c r="B840" t="s">
        <v>46</v>
      </c>
      <c r="C840" t="str">
        <f>IF(ISBLANK(Table4[[#This Row],[Region]]),Table4[[#This Row],[Node Type]],Table4[[#This Row],[Region]])</f>
        <v/>
      </c>
      <c r="E840" t="str">
        <f>IF(ISERROR(SEARCH("Node",Table4[[#This Row],[Type]])),IF(ISERROR(SEARCH("Iliac",Table4[[#This Row],[Type]])),"",Table4[[#This Row],[Type]]),Table4[[#This Row],[Type]])</f>
        <v/>
      </c>
      <c r="H840">
        <v>1</v>
      </c>
      <c r="I840">
        <v>60</v>
      </c>
      <c r="L840" t="s">
        <v>45</v>
      </c>
    </row>
    <row r="841" spans="1:16" x14ac:dyDescent="0.25">
      <c r="A841" t="s">
        <v>1732</v>
      </c>
      <c r="B841" t="s">
        <v>77</v>
      </c>
      <c r="C841" t="str">
        <f>IF(ISBLANK(Table4[[#This Row],[Region]]),Table4[[#This Row],[Node Type]],Table4[[#This Row],[Region]])</f>
        <v/>
      </c>
      <c r="E841" t="str">
        <f>IF(ISERROR(SEARCH("Node",Table4[[#This Row],[Type]])),IF(ISERROR(SEARCH("Iliac",Table4[[#This Row],[Type]])),"",Table4[[#This Row],[Type]]),Table4[[#This Row],[Type]])</f>
        <v/>
      </c>
      <c r="H841">
        <v>1</v>
      </c>
      <c r="I841">
        <v>60</v>
      </c>
      <c r="L841" t="s">
        <v>77</v>
      </c>
    </row>
    <row r="842" spans="1:16" x14ac:dyDescent="0.25">
      <c r="A842" t="s">
        <v>554</v>
      </c>
      <c r="B842" t="s">
        <v>87</v>
      </c>
      <c r="C842" t="str">
        <f>IF(ISBLANK(Table4[[#This Row],[Region]]),Table4[[#This Row],[Node Type]],Table4[[#This Row],[Region]])</f>
        <v/>
      </c>
      <c r="E842" t="str">
        <f>IF(ISERROR(SEARCH("Node",Table4[[#This Row],[Type]])),IF(ISERROR(SEARCH("Iliac",Table4[[#This Row],[Type]])),"",Table4[[#This Row],[Type]]),Table4[[#This Row],[Type]])</f>
        <v/>
      </c>
      <c r="H842">
        <v>1</v>
      </c>
      <c r="L842" t="s">
        <v>77</v>
      </c>
      <c r="P842" t="s">
        <v>85</v>
      </c>
    </row>
    <row r="843" spans="1:16" x14ac:dyDescent="0.25">
      <c r="A843" t="s">
        <v>1735</v>
      </c>
      <c r="B843" t="s">
        <v>46</v>
      </c>
      <c r="C843" t="str">
        <f>IF(ISBLANK(Table4[[#This Row],[Region]]),Table4[[#This Row],[Node Type]],Table4[[#This Row],[Region]])</f>
        <v/>
      </c>
      <c r="E843" t="str">
        <f>IF(ISERROR(SEARCH("Node",Table4[[#This Row],[Type]])),IF(ISERROR(SEARCH("Iliac",Table4[[#This Row],[Type]])),"",Table4[[#This Row],[Type]]),Table4[[#This Row],[Type]])</f>
        <v/>
      </c>
      <c r="I843">
        <v>44</v>
      </c>
      <c r="L843" t="s">
        <v>46</v>
      </c>
      <c r="N843" t="s">
        <v>108</v>
      </c>
    </row>
    <row r="844" spans="1:16" x14ac:dyDescent="0.25">
      <c r="A844" t="s">
        <v>1737</v>
      </c>
      <c r="B844" t="s">
        <v>46</v>
      </c>
      <c r="C844" t="str">
        <f>IF(ISBLANK(Table4[[#This Row],[Region]]),Table4[[#This Row],[Node Type]],Table4[[#This Row],[Region]])</f>
        <v/>
      </c>
      <c r="E844" t="str">
        <f>IF(ISERROR(SEARCH("Node",Table4[[#This Row],[Type]])),IF(ISERROR(SEARCH("Iliac",Table4[[#This Row],[Type]])),"",Table4[[#This Row],[Type]]),Table4[[#This Row],[Type]])</f>
        <v/>
      </c>
      <c r="I844">
        <v>55</v>
      </c>
      <c r="L844" t="s">
        <v>46</v>
      </c>
    </row>
    <row r="845" spans="1:16" x14ac:dyDescent="0.25">
      <c r="A845" t="s">
        <v>1739</v>
      </c>
      <c r="B845" t="s">
        <v>77</v>
      </c>
      <c r="C845" t="str">
        <f>IF(ISBLANK(Table4[[#This Row],[Region]]),Table4[[#This Row],[Node Type]],Table4[[#This Row],[Region]])</f>
        <v/>
      </c>
      <c r="E845" t="str">
        <f>IF(ISERROR(SEARCH("Node",Table4[[#This Row],[Type]])),IF(ISERROR(SEARCH("Iliac",Table4[[#This Row],[Type]])),"",Table4[[#This Row],[Type]]),Table4[[#This Row],[Type]])</f>
        <v/>
      </c>
      <c r="I845">
        <v>44</v>
      </c>
      <c r="L845" t="s">
        <v>77</v>
      </c>
      <c r="N845" t="s">
        <v>108</v>
      </c>
    </row>
    <row r="846" spans="1:16" x14ac:dyDescent="0.25">
      <c r="A846" t="s">
        <v>1740</v>
      </c>
      <c r="B846" t="s">
        <v>77</v>
      </c>
      <c r="C846" t="str">
        <f>IF(ISBLANK(Table4[[#This Row],[Region]]),Table4[[#This Row],[Node Type]],Table4[[#This Row],[Region]])</f>
        <v/>
      </c>
      <c r="E846" t="str">
        <f>IF(ISERROR(SEARCH("Node",Table4[[#This Row],[Type]])),IF(ISERROR(SEARCH("Iliac",Table4[[#This Row],[Type]])),"",Table4[[#This Row],[Type]]),Table4[[#This Row],[Type]])</f>
        <v/>
      </c>
      <c r="I846">
        <v>44</v>
      </c>
      <c r="L846" t="s">
        <v>77</v>
      </c>
      <c r="N846" t="s">
        <v>108</v>
      </c>
      <c r="O846" t="s">
        <v>290</v>
      </c>
      <c r="P846" t="s">
        <v>85</v>
      </c>
    </row>
    <row r="847" spans="1:16" x14ac:dyDescent="0.25">
      <c r="A847" t="s">
        <v>1741</v>
      </c>
      <c r="B847" t="s">
        <v>77</v>
      </c>
      <c r="C847" t="str">
        <f>IF(ISBLANK(Table4[[#This Row],[Region]]),Table4[[#This Row],[Node Type]],Table4[[#This Row],[Region]])</f>
        <v/>
      </c>
      <c r="E847" t="str">
        <f>IF(ISERROR(SEARCH("Node",Table4[[#This Row],[Type]])),IF(ISERROR(SEARCH("Iliac",Table4[[#This Row],[Type]])),"",Table4[[#This Row],[Type]]),Table4[[#This Row],[Type]])</f>
        <v/>
      </c>
      <c r="I847">
        <v>44</v>
      </c>
      <c r="L847" t="s">
        <v>77</v>
      </c>
      <c r="N847" t="s">
        <v>108</v>
      </c>
      <c r="O847" t="s">
        <v>292</v>
      </c>
      <c r="P847" t="s">
        <v>85</v>
      </c>
    </row>
    <row r="848" spans="1:16" x14ac:dyDescent="0.25">
      <c r="A848" t="s">
        <v>1742</v>
      </c>
      <c r="B848" t="s">
        <v>77</v>
      </c>
      <c r="C848" t="str">
        <f>IF(ISBLANK(Table4[[#This Row],[Region]]),Table4[[#This Row],[Node Type]],Table4[[#This Row],[Region]])</f>
        <v/>
      </c>
      <c r="E848" t="str">
        <f>IF(ISERROR(SEARCH("Node",Table4[[#This Row],[Type]])),IF(ISERROR(SEARCH("Iliac",Table4[[#This Row],[Type]])),"",Table4[[#This Row],[Type]]),Table4[[#This Row],[Type]])</f>
        <v/>
      </c>
      <c r="I848">
        <v>55</v>
      </c>
      <c r="L848" t="s">
        <v>77</v>
      </c>
    </row>
    <row r="849" spans="1:16" x14ac:dyDescent="0.25">
      <c r="A849" t="s">
        <v>1743</v>
      </c>
      <c r="B849" t="s">
        <v>77</v>
      </c>
      <c r="C849" t="str">
        <f>IF(ISBLANK(Table4[[#This Row],[Region]]),Table4[[#This Row],[Node Type]],Table4[[#This Row],[Region]])</f>
        <v/>
      </c>
      <c r="E849" t="str">
        <f>IF(ISERROR(SEARCH("Node",Table4[[#This Row],[Type]])),IF(ISERROR(SEARCH("Iliac",Table4[[#This Row],[Type]])),"",Table4[[#This Row],[Type]]),Table4[[#This Row],[Type]])</f>
        <v/>
      </c>
      <c r="I849">
        <v>55</v>
      </c>
      <c r="L849" t="s">
        <v>77</v>
      </c>
      <c r="P849" t="s">
        <v>85</v>
      </c>
    </row>
    <row r="850" spans="1:16" x14ac:dyDescent="0.25">
      <c r="A850" t="s">
        <v>1744</v>
      </c>
      <c r="B850" t="s">
        <v>173</v>
      </c>
      <c r="C850" t="str">
        <f>IF(ISBLANK(Table4[[#This Row],[Region]]),Table4[[#This Row],[Node Type]],Table4[[#This Row],[Region]])</f>
        <v/>
      </c>
      <c r="E850" t="str">
        <f>IF(ISERROR(SEARCH("Node",Table4[[#This Row],[Type]])),IF(ISERROR(SEARCH("Iliac",Table4[[#This Row],[Type]])),"",Table4[[#This Row],[Type]]),Table4[[#This Row],[Type]])</f>
        <v/>
      </c>
      <c r="L850" t="s">
        <v>20</v>
      </c>
      <c r="M850" t="s">
        <v>79</v>
      </c>
    </row>
    <row r="851" spans="1:16" x14ac:dyDescent="0.25">
      <c r="A851" t="s">
        <v>1745</v>
      </c>
      <c r="B851" t="s">
        <v>173</v>
      </c>
      <c r="C851" t="str">
        <f>IF(ISBLANK(Table4[[#This Row],[Region]]),Table4[[#This Row],[Node Type]],Table4[[#This Row],[Region]])</f>
        <v/>
      </c>
      <c r="E851" t="str">
        <f>IF(ISERROR(SEARCH("Node",Table4[[#This Row],[Type]])),IF(ISERROR(SEARCH("Iliac",Table4[[#This Row],[Type]])),"",Table4[[#This Row],[Type]]),Table4[[#This Row],[Type]])</f>
        <v/>
      </c>
      <c r="L851" t="s">
        <v>20</v>
      </c>
    </row>
    <row r="852" spans="1:16" x14ac:dyDescent="0.25">
      <c r="A852" t="s">
        <v>921</v>
      </c>
      <c r="B852" t="s">
        <v>77</v>
      </c>
      <c r="C852" t="str">
        <f>IF(ISBLANK(Table4[[#This Row],[Region]]),Table4[[#This Row],[Node Type]],Table4[[#This Row],[Region]])</f>
        <v/>
      </c>
      <c r="E852" t="str">
        <f>IF(ISERROR(SEARCH("Node",Table4[[#This Row],[Type]])),IF(ISERROR(SEARCH("Iliac",Table4[[#This Row],[Type]])),"",Table4[[#This Row],[Type]]),Table4[[#This Row],[Type]])</f>
        <v/>
      </c>
      <c r="I852">
        <v>59.4</v>
      </c>
      <c r="L852" t="s">
        <v>77</v>
      </c>
    </row>
    <row r="853" spans="1:16" x14ac:dyDescent="0.25">
      <c r="A853" t="s">
        <v>919</v>
      </c>
      <c r="B853" t="s">
        <v>48</v>
      </c>
      <c r="C853" t="str">
        <f>IF(ISBLANK(Table4[[#This Row],[Region]]),Table4[[#This Row],[Node Type]],Table4[[#This Row],[Region]])</f>
        <v/>
      </c>
      <c r="E853" t="str">
        <f>IF(ISERROR(SEARCH("Node",Table4[[#This Row],[Type]])),IF(ISERROR(SEARCH("Iliac",Table4[[#This Row],[Type]])),"",Table4[[#This Row],[Type]]),Table4[[#This Row],[Type]])</f>
        <v/>
      </c>
      <c r="I853">
        <v>59.4</v>
      </c>
      <c r="L853" t="s">
        <v>46</v>
      </c>
    </row>
    <row r="854" spans="1:16" x14ac:dyDescent="0.25">
      <c r="A854" t="s">
        <v>1749</v>
      </c>
      <c r="B854" t="s">
        <v>77</v>
      </c>
      <c r="C854" t="str">
        <f>IF(ISBLANK(Table4[[#This Row],[Region]]),Table4[[#This Row],[Node Type]],Table4[[#This Row],[Region]])</f>
        <v/>
      </c>
      <c r="E854" t="str">
        <f>IF(ISERROR(SEARCH("Node",Table4[[#This Row],[Type]])),IF(ISERROR(SEARCH("Iliac",Table4[[#This Row],[Type]])),"",Table4[[#This Row],[Type]]),Table4[[#This Row],[Type]])</f>
        <v/>
      </c>
      <c r="I854">
        <v>20</v>
      </c>
      <c r="L854" t="s">
        <v>77</v>
      </c>
    </row>
    <row r="855" spans="1:16" x14ac:dyDescent="0.25">
      <c r="A855" t="s">
        <v>1092</v>
      </c>
      <c r="B855" t="s">
        <v>48</v>
      </c>
      <c r="C855" t="str">
        <f>IF(ISBLANK(Table4[[#This Row],[Region]]),Table4[[#This Row],[Node Type]],Table4[[#This Row],[Region]])</f>
        <v/>
      </c>
      <c r="E855" t="str">
        <f>IF(ISERROR(SEARCH("Node",Table4[[#This Row],[Type]])),IF(ISERROR(SEARCH("Iliac",Table4[[#This Row],[Type]])),"",Table4[[#This Row],[Type]]),Table4[[#This Row],[Type]])</f>
        <v/>
      </c>
      <c r="I855">
        <v>30</v>
      </c>
      <c r="L855" t="s">
        <v>46</v>
      </c>
    </row>
    <row r="856" spans="1:16" x14ac:dyDescent="0.25">
      <c r="A856" t="s">
        <v>1750</v>
      </c>
      <c r="B856" t="s">
        <v>46</v>
      </c>
      <c r="C856" t="str">
        <f>IF(ISBLANK(Table4[[#This Row],[Region]]),Table4[[#This Row],[Node Type]],Table4[[#This Row],[Region]])</f>
        <v/>
      </c>
      <c r="E856" t="str">
        <f>IF(ISERROR(SEARCH("Node",Table4[[#This Row],[Type]])),IF(ISERROR(SEARCH("Iliac",Table4[[#This Row],[Type]])),"",Table4[[#This Row],[Type]]),Table4[[#This Row],[Type]])</f>
        <v/>
      </c>
      <c r="I856">
        <v>20</v>
      </c>
      <c r="L856" t="s">
        <v>46</v>
      </c>
    </row>
    <row r="857" spans="1:16" x14ac:dyDescent="0.25">
      <c r="A857" t="s">
        <v>1754</v>
      </c>
      <c r="B857" t="s">
        <v>46</v>
      </c>
      <c r="C857" t="str">
        <f>IF(ISBLANK(Table4[[#This Row],[Region]]),Table4[[#This Row],[Node Type]],Table4[[#This Row],[Region]])</f>
        <v/>
      </c>
      <c r="E857" t="str">
        <f>IF(ISERROR(SEARCH("Node",Table4[[#This Row],[Type]])),IF(ISERROR(SEARCH("Iliac",Table4[[#This Row],[Type]])),"",Table4[[#This Row],[Type]]),Table4[[#This Row],[Type]])</f>
        <v/>
      </c>
      <c r="I857">
        <v>60</v>
      </c>
      <c r="L857" t="s">
        <v>46</v>
      </c>
      <c r="P857" t="s">
        <v>83</v>
      </c>
    </row>
    <row r="858" spans="1:16" x14ac:dyDescent="0.25">
      <c r="A858" t="s">
        <v>1755</v>
      </c>
      <c r="B858" t="s">
        <v>46</v>
      </c>
      <c r="C858" t="str">
        <f>IF(ISBLANK(Table4[[#This Row],[Region]]),Table4[[#This Row],[Node Type]],Table4[[#This Row],[Region]])</f>
        <v/>
      </c>
      <c r="E858" t="str">
        <f>IF(ISERROR(SEARCH("Node",Table4[[#This Row],[Type]])),IF(ISERROR(SEARCH("Iliac",Table4[[#This Row],[Type]])),"",Table4[[#This Row],[Type]]),Table4[[#This Row],[Type]])</f>
        <v/>
      </c>
      <c r="I858">
        <v>54</v>
      </c>
      <c r="L858" t="s">
        <v>46</v>
      </c>
      <c r="P858" t="s">
        <v>83</v>
      </c>
    </row>
    <row r="859" spans="1:16" x14ac:dyDescent="0.25">
      <c r="A859" t="s">
        <v>377</v>
      </c>
      <c r="B859" t="s">
        <v>46</v>
      </c>
      <c r="C859" t="str">
        <f>IF(ISBLANK(Table4[[#This Row],[Region]]),Table4[[#This Row],[Node Type]],Table4[[#This Row],[Region]])</f>
        <v>Iliac Vessels</v>
      </c>
      <c r="E859" t="str">
        <f>IF(ISERROR(SEARCH("Node",Table4[[#This Row],[Type]])),IF(ISERROR(SEARCH("Iliac",Table4[[#This Row],[Type]])),"",Table4[[#This Row],[Type]]),Table4[[#This Row],[Type]])</f>
        <v>Iliac Vessels</v>
      </c>
      <c r="L859" t="s">
        <v>377</v>
      </c>
    </row>
    <row r="860" spans="1:16" x14ac:dyDescent="0.25">
      <c r="A860" t="s">
        <v>1764</v>
      </c>
      <c r="B860" t="s">
        <v>77</v>
      </c>
      <c r="C860" t="str">
        <f>IF(ISBLANK(Table4[[#This Row],[Region]]),Table4[[#This Row],[Node Type]],Table4[[#This Row],[Region]])</f>
        <v/>
      </c>
      <c r="E860" t="str">
        <f>IF(ISERROR(SEARCH("Node",Table4[[#This Row],[Type]])),IF(ISERROR(SEARCH("Iliac",Table4[[#This Row],[Type]])),"",Table4[[#This Row],[Type]]),Table4[[#This Row],[Type]])</f>
        <v/>
      </c>
      <c r="H860">
        <v>1</v>
      </c>
      <c r="I860">
        <v>27.5</v>
      </c>
      <c r="L860" t="s">
        <v>77</v>
      </c>
    </row>
    <row r="861" spans="1:16" x14ac:dyDescent="0.25">
      <c r="A861" t="s">
        <v>1769</v>
      </c>
      <c r="B861" t="s">
        <v>20</v>
      </c>
      <c r="C861" t="str">
        <f>IF(ISBLANK(Table4[[#This Row],[Region]]),Table4[[#This Row],[Node Type]],Table4[[#This Row],[Region]])</f>
        <v/>
      </c>
      <c r="E861" t="str">
        <f>IF(ISERROR(SEARCH("Node",Table4[[#This Row],[Type]])),IF(ISERROR(SEARCH("Iliac",Table4[[#This Row],[Type]])),"",Table4[[#This Row],[Type]]),Table4[[#This Row],[Type]])</f>
        <v/>
      </c>
      <c r="H861">
        <v>1</v>
      </c>
      <c r="I861">
        <v>30</v>
      </c>
      <c r="L861" t="s">
        <v>226</v>
      </c>
    </row>
    <row r="862" spans="1:16" x14ac:dyDescent="0.25">
      <c r="A862" t="s">
        <v>1771</v>
      </c>
      <c r="B862" t="s">
        <v>46</v>
      </c>
      <c r="C862" t="str">
        <f>IF(ISBLANK(Table4[[#This Row],[Region]]),Table4[[#This Row],[Node Type]],Table4[[#This Row],[Region]])</f>
        <v/>
      </c>
      <c r="E862" t="str">
        <f>IF(ISERROR(SEARCH("Node",Table4[[#This Row],[Type]])),IF(ISERROR(SEARCH("Iliac",Table4[[#This Row],[Type]])),"",Table4[[#This Row],[Type]]),Table4[[#This Row],[Type]])</f>
        <v/>
      </c>
      <c r="I862">
        <v>45</v>
      </c>
      <c r="L862" t="s">
        <v>46</v>
      </c>
    </row>
    <row r="863" spans="1:16" x14ac:dyDescent="0.25">
      <c r="A863" t="s">
        <v>1776</v>
      </c>
      <c r="B863" t="s">
        <v>46</v>
      </c>
      <c r="C863" t="str">
        <f>IF(ISBLANK(Table4[[#This Row],[Region]]),Table4[[#This Row],[Node Type]],Table4[[#This Row],[Region]])</f>
        <v/>
      </c>
      <c r="E863" t="str">
        <f>IF(ISERROR(SEARCH("Node",Table4[[#This Row],[Type]])),IF(ISERROR(SEARCH("Iliac",Table4[[#This Row],[Type]])),"",Table4[[#This Row],[Type]]),Table4[[#This Row],[Type]])</f>
        <v/>
      </c>
      <c r="I863">
        <v>50.4</v>
      </c>
      <c r="L863" t="s">
        <v>46</v>
      </c>
    </row>
    <row r="864" spans="1:16" x14ac:dyDescent="0.25">
      <c r="A864" t="s">
        <v>1784</v>
      </c>
      <c r="B864" t="s">
        <v>20</v>
      </c>
      <c r="C864" t="str">
        <f>IF(ISBLANK(Table4[[#This Row],[Region]]),Table4[[#This Row],[Node Type]],Table4[[#This Row],[Region]])</f>
        <v/>
      </c>
      <c r="E864" t="str">
        <f>IF(ISERROR(SEARCH("Node",Table4[[#This Row],[Type]])),IF(ISERROR(SEARCH("Iliac",Table4[[#This Row],[Type]])),"",Table4[[#This Row],[Type]]),Table4[[#This Row],[Type]])</f>
        <v/>
      </c>
      <c r="I864">
        <v>54</v>
      </c>
      <c r="L864" t="s">
        <v>77</v>
      </c>
      <c r="P864" t="s">
        <v>85</v>
      </c>
    </row>
    <row r="865" spans="1:16" x14ac:dyDescent="0.25">
      <c r="A865" t="s">
        <v>1785</v>
      </c>
      <c r="B865" t="s">
        <v>46</v>
      </c>
      <c r="C865" t="str">
        <f>IF(ISBLANK(Table4[[#This Row],[Region]]),Table4[[#This Row],[Node Type]],Table4[[#This Row],[Region]])</f>
        <v/>
      </c>
      <c r="E865" t="str">
        <f>IF(ISERROR(SEARCH("Node",Table4[[#This Row],[Type]])),IF(ISERROR(SEARCH("Iliac",Table4[[#This Row],[Type]])),"",Table4[[#This Row],[Type]]),Table4[[#This Row],[Type]])</f>
        <v/>
      </c>
      <c r="K865" t="s">
        <v>582</v>
      </c>
      <c r="L865" t="s">
        <v>46</v>
      </c>
    </row>
    <row r="866" spans="1:16" x14ac:dyDescent="0.25">
      <c r="A866" t="s">
        <v>1784</v>
      </c>
      <c r="B866" t="s">
        <v>77</v>
      </c>
      <c r="C866" t="str">
        <f>IF(ISBLANK(Table4[[#This Row],[Region]]),Table4[[#This Row],[Node Type]],Table4[[#This Row],[Region]])</f>
        <v/>
      </c>
      <c r="E866" t="str">
        <f>IF(ISERROR(SEARCH("Node",Table4[[#This Row],[Type]])),IF(ISERROR(SEARCH("Iliac",Table4[[#This Row],[Type]])),"",Table4[[#This Row],[Type]]),Table4[[#This Row],[Type]])</f>
        <v/>
      </c>
      <c r="I866">
        <v>54</v>
      </c>
      <c r="L866" t="s">
        <v>77</v>
      </c>
      <c r="P866" t="s">
        <v>85</v>
      </c>
    </row>
    <row r="867" spans="1:16" x14ac:dyDescent="0.25">
      <c r="A867" t="s">
        <v>1787</v>
      </c>
      <c r="B867" t="s">
        <v>77</v>
      </c>
      <c r="C867" t="str">
        <f>IF(ISBLANK(Table4[[#This Row],[Region]]),Table4[[#This Row],[Node Type]],Table4[[#This Row],[Region]])</f>
        <v/>
      </c>
      <c r="E867" t="str">
        <f>IF(ISERROR(SEARCH("Node",Table4[[#This Row],[Type]])),IF(ISERROR(SEARCH("Iliac",Table4[[#This Row],[Type]])),"",Table4[[#This Row],[Type]]),Table4[[#This Row],[Type]])</f>
        <v/>
      </c>
      <c r="I867">
        <v>60</v>
      </c>
      <c r="L867" t="s">
        <v>77</v>
      </c>
      <c r="P867" t="s">
        <v>85</v>
      </c>
    </row>
    <row r="868" spans="1:16" x14ac:dyDescent="0.25">
      <c r="A868" t="s">
        <v>1793</v>
      </c>
      <c r="B868" t="s">
        <v>20</v>
      </c>
      <c r="C868" t="str">
        <f>IF(ISBLANK(Table4[[#This Row],[Region]]),Table4[[#This Row],[Node Type]],Table4[[#This Row],[Region]])</f>
        <v/>
      </c>
      <c r="E868" t="str">
        <f>IF(ISERROR(SEARCH("Node",Table4[[#This Row],[Type]])),IF(ISERROR(SEARCH("Iliac",Table4[[#This Row],[Type]])),"",Table4[[#This Row],[Type]]),Table4[[#This Row],[Type]])</f>
        <v/>
      </c>
      <c r="H868">
        <v>1</v>
      </c>
      <c r="I868">
        <v>32.5</v>
      </c>
      <c r="L868" t="s">
        <v>20</v>
      </c>
    </row>
    <row r="869" spans="1:16" x14ac:dyDescent="0.25">
      <c r="A869" t="s">
        <v>1795</v>
      </c>
      <c r="B869" t="s">
        <v>77</v>
      </c>
      <c r="C869" t="str">
        <f>IF(ISBLANK(Table4[[#This Row],[Region]]),Table4[[#This Row],[Node Type]],Table4[[#This Row],[Region]])</f>
        <v/>
      </c>
      <c r="E869" t="str">
        <f>IF(ISERROR(SEARCH("Node",Table4[[#This Row],[Type]])),IF(ISERROR(SEARCH("Iliac",Table4[[#This Row],[Type]])),"",Table4[[#This Row],[Type]]),Table4[[#This Row],[Type]])</f>
        <v/>
      </c>
      <c r="H869">
        <v>1</v>
      </c>
      <c r="I869">
        <v>32.5</v>
      </c>
      <c r="L869" t="s">
        <v>77</v>
      </c>
    </row>
    <row r="870" spans="1:16" x14ac:dyDescent="0.25">
      <c r="A870" t="s">
        <v>1796</v>
      </c>
      <c r="B870" t="s">
        <v>77</v>
      </c>
      <c r="C870" t="str">
        <f>IF(ISBLANK(Table4[[#This Row],[Region]]),Table4[[#This Row],[Node Type]],Table4[[#This Row],[Region]])</f>
        <v/>
      </c>
      <c r="E870" t="str">
        <f>IF(ISERROR(SEARCH("Node",Table4[[#This Row],[Type]])),IF(ISERROR(SEARCH("Iliac",Table4[[#This Row],[Type]])),"",Table4[[#This Row],[Type]]),Table4[[#This Row],[Type]])</f>
        <v/>
      </c>
      <c r="L870" t="s">
        <v>77</v>
      </c>
      <c r="M870" t="s">
        <v>79</v>
      </c>
    </row>
    <row r="871" spans="1:16" x14ac:dyDescent="0.25">
      <c r="A871" t="s">
        <v>1797</v>
      </c>
      <c r="B871" t="s">
        <v>77</v>
      </c>
      <c r="C871" t="str">
        <f>IF(ISBLANK(Table4[[#This Row],[Region]]),Table4[[#This Row],[Node Type]],Table4[[#This Row],[Region]])</f>
        <v/>
      </c>
      <c r="E871" t="str">
        <f>IF(ISERROR(SEARCH("Node",Table4[[#This Row],[Type]])),IF(ISERROR(SEARCH("Iliac",Table4[[#This Row],[Type]])),"",Table4[[#This Row],[Type]]),Table4[[#This Row],[Type]])</f>
        <v/>
      </c>
      <c r="K871" t="s">
        <v>552</v>
      </c>
      <c r="L871" t="s">
        <v>77</v>
      </c>
      <c r="M871" t="s">
        <v>79</v>
      </c>
    </row>
    <row r="872" spans="1:16" x14ac:dyDescent="0.25">
      <c r="A872" t="s">
        <v>1799</v>
      </c>
      <c r="B872" t="s">
        <v>20</v>
      </c>
      <c r="C872" t="str">
        <f>IF(ISBLANK(Table4[[#This Row],[Region]]),Table4[[#This Row],[Node Type]],Table4[[#This Row],[Region]])</f>
        <v/>
      </c>
      <c r="E872" t="str">
        <f>IF(ISERROR(SEARCH("Node",Table4[[#This Row],[Type]])),IF(ISERROR(SEARCH("Iliac",Table4[[#This Row],[Type]])),"",Table4[[#This Row],[Type]]),Table4[[#This Row],[Type]])</f>
        <v/>
      </c>
      <c r="L872" t="s">
        <v>20</v>
      </c>
      <c r="M872" t="s">
        <v>79</v>
      </c>
    </row>
    <row r="873" spans="1:16" x14ac:dyDescent="0.25">
      <c r="A873" t="s">
        <v>1802</v>
      </c>
      <c r="B873" t="s">
        <v>20</v>
      </c>
      <c r="C873" t="str">
        <f>IF(ISBLANK(Table4[[#This Row],[Region]]),Table4[[#This Row],[Node Type]],Table4[[#This Row],[Region]])</f>
        <v/>
      </c>
      <c r="E873" t="str">
        <f>IF(ISERROR(SEARCH("Node",Table4[[#This Row],[Type]])),IF(ISERROR(SEARCH("Iliac",Table4[[#This Row],[Type]])),"",Table4[[#This Row],[Type]]),Table4[[#This Row],[Type]])</f>
        <v/>
      </c>
      <c r="L873" t="s">
        <v>226</v>
      </c>
      <c r="M873" t="s">
        <v>235</v>
      </c>
    </row>
    <row r="874" spans="1:16" x14ac:dyDescent="0.25">
      <c r="A874" t="s">
        <v>1803</v>
      </c>
      <c r="B874" t="s">
        <v>48</v>
      </c>
      <c r="C874" t="str">
        <f>IF(ISBLANK(Table4[[#This Row],[Region]]),Table4[[#This Row],[Node Type]],Table4[[#This Row],[Region]])</f>
        <v/>
      </c>
      <c r="E874" t="str">
        <f>IF(ISERROR(SEARCH("Node",Table4[[#This Row],[Type]])),IF(ISERROR(SEARCH("Iliac",Table4[[#This Row],[Type]])),"",Table4[[#This Row],[Type]]),Table4[[#This Row],[Type]])</f>
        <v/>
      </c>
      <c r="L874" t="s">
        <v>226</v>
      </c>
      <c r="M874" t="s">
        <v>79</v>
      </c>
    </row>
    <row r="875" spans="1:16" x14ac:dyDescent="0.25">
      <c r="A875" t="s">
        <v>1804</v>
      </c>
      <c r="B875" t="s">
        <v>77</v>
      </c>
      <c r="C875" t="str">
        <f>IF(ISBLANK(Table4[[#This Row],[Region]]),Table4[[#This Row],[Node Type]],Table4[[#This Row],[Region]])</f>
        <v/>
      </c>
      <c r="E875" t="str">
        <f>IF(ISERROR(SEARCH("Node",Table4[[#This Row],[Type]])),IF(ISERROR(SEARCH("Iliac",Table4[[#This Row],[Type]])),"",Table4[[#This Row],[Type]]),Table4[[#This Row],[Type]])</f>
        <v/>
      </c>
      <c r="I875">
        <v>66</v>
      </c>
      <c r="L875" t="s">
        <v>77</v>
      </c>
      <c r="P875" t="s">
        <v>85</v>
      </c>
    </row>
    <row r="876" spans="1:16" x14ac:dyDescent="0.25">
      <c r="A876" t="s">
        <v>1062</v>
      </c>
      <c r="B876" t="s">
        <v>48</v>
      </c>
      <c r="C876" t="str">
        <f>IF(ISBLANK(Table4[[#This Row],[Region]]),Table4[[#This Row],[Node Type]],Table4[[#This Row],[Region]])</f>
        <v/>
      </c>
      <c r="E876" t="str">
        <f>IF(ISERROR(SEARCH("Node",Table4[[#This Row],[Type]])),IF(ISERROR(SEARCH("Iliac",Table4[[#This Row],[Type]])),"",Table4[[#This Row],[Type]]),Table4[[#This Row],[Type]])</f>
        <v/>
      </c>
      <c r="I876">
        <v>70</v>
      </c>
      <c r="L876" t="s">
        <v>46</v>
      </c>
    </row>
    <row r="877" spans="1:16" x14ac:dyDescent="0.25">
      <c r="A877" t="s">
        <v>1807</v>
      </c>
      <c r="B877" t="s">
        <v>77</v>
      </c>
      <c r="C877" t="str">
        <f>IF(ISBLANK(Table4[[#This Row],[Region]]),Table4[[#This Row],[Node Type]],Table4[[#This Row],[Region]])</f>
        <v/>
      </c>
      <c r="E877" t="str">
        <f>IF(ISERROR(SEARCH("Node",Table4[[#This Row],[Type]])),IF(ISERROR(SEARCH("Iliac",Table4[[#This Row],[Type]])),"",Table4[[#This Row],[Type]]),Table4[[#This Row],[Type]])</f>
        <v/>
      </c>
      <c r="I877">
        <v>54</v>
      </c>
      <c r="L877" t="s">
        <v>77</v>
      </c>
    </row>
    <row r="878" spans="1:16" x14ac:dyDescent="0.25">
      <c r="A878" t="s">
        <v>1809</v>
      </c>
      <c r="B878" t="s">
        <v>46</v>
      </c>
      <c r="C878" t="str">
        <f>IF(ISBLANK(Table4[[#This Row],[Region]]),Table4[[#This Row],[Node Type]],Table4[[#This Row],[Region]])</f>
        <v/>
      </c>
      <c r="E878" t="str">
        <f>IF(ISERROR(SEARCH("Node",Table4[[#This Row],[Type]])),IF(ISERROR(SEARCH("Iliac",Table4[[#This Row],[Type]])),"",Table4[[#This Row],[Type]]),Table4[[#This Row],[Type]])</f>
        <v/>
      </c>
      <c r="I878">
        <v>54</v>
      </c>
      <c r="L878" t="s">
        <v>46</v>
      </c>
    </row>
    <row r="879" spans="1:16" x14ac:dyDescent="0.25">
      <c r="A879" t="s">
        <v>1810</v>
      </c>
      <c r="B879" t="s">
        <v>77</v>
      </c>
      <c r="C879" t="str">
        <f>IF(ISBLANK(Table4[[#This Row],[Region]]),Table4[[#This Row],[Node Type]],Table4[[#This Row],[Region]])</f>
        <v/>
      </c>
      <c r="E879" t="str">
        <f>IF(ISERROR(SEARCH("Node",Table4[[#This Row],[Type]])),IF(ISERROR(SEARCH("Iliac",Table4[[#This Row],[Type]])),"",Table4[[#This Row],[Type]]),Table4[[#This Row],[Type]])</f>
        <v/>
      </c>
      <c r="I879">
        <v>66</v>
      </c>
      <c r="L879" t="s">
        <v>77</v>
      </c>
      <c r="O879" t="s">
        <v>292</v>
      </c>
      <c r="P879" t="s">
        <v>85</v>
      </c>
    </row>
    <row r="880" spans="1:16" x14ac:dyDescent="0.25">
      <c r="A880" t="s">
        <v>1811</v>
      </c>
      <c r="B880" t="s">
        <v>77</v>
      </c>
      <c r="C880" t="str">
        <f>IF(ISBLANK(Table4[[#This Row],[Region]]),Table4[[#This Row],[Node Type]],Table4[[#This Row],[Region]])</f>
        <v/>
      </c>
      <c r="E880" t="str">
        <f>IF(ISERROR(SEARCH("Node",Table4[[#This Row],[Type]])),IF(ISERROR(SEARCH("Iliac",Table4[[#This Row],[Type]])),"",Table4[[#This Row],[Type]]),Table4[[#This Row],[Type]])</f>
        <v/>
      </c>
      <c r="I880">
        <v>66</v>
      </c>
      <c r="L880" t="s">
        <v>77</v>
      </c>
      <c r="O880" t="s">
        <v>290</v>
      </c>
      <c r="P880" t="s">
        <v>85</v>
      </c>
    </row>
    <row r="881" spans="1:16" x14ac:dyDescent="0.25">
      <c r="A881" t="s">
        <v>1812</v>
      </c>
      <c r="B881" t="s">
        <v>77</v>
      </c>
      <c r="C881" t="str">
        <f>IF(ISBLANK(Table4[[#This Row],[Region]]),Table4[[#This Row],[Node Type]],Table4[[#This Row],[Region]])</f>
        <v/>
      </c>
      <c r="E881" t="str">
        <f>IF(ISERROR(SEARCH("Node",Table4[[#This Row],[Type]])),IF(ISERROR(SEARCH("Iliac",Table4[[#This Row],[Type]])),"",Table4[[#This Row],[Type]]),Table4[[#This Row],[Type]])</f>
        <v/>
      </c>
      <c r="I881">
        <v>66</v>
      </c>
      <c r="L881" t="s">
        <v>77</v>
      </c>
      <c r="O881" t="s">
        <v>290</v>
      </c>
      <c r="P881" t="s">
        <v>85</v>
      </c>
    </row>
    <row r="882" spans="1:16" x14ac:dyDescent="0.25">
      <c r="A882" t="s">
        <v>1813</v>
      </c>
      <c r="B882" t="s">
        <v>77</v>
      </c>
      <c r="C882" t="str">
        <f>IF(ISBLANK(Table4[[#This Row],[Region]]),Table4[[#This Row],[Node Type]],Table4[[#This Row],[Region]])</f>
        <v/>
      </c>
      <c r="E882" t="str">
        <f>IF(ISERROR(SEARCH("Node",Table4[[#This Row],[Type]])),IF(ISERROR(SEARCH("Iliac",Table4[[#This Row],[Type]])),"",Table4[[#This Row],[Type]]),Table4[[#This Row],[Type]])</f>
        <v/>
      </c>
      <c r="I882">
        <v>70</v>
      </c>
      <c r="J882" t="s">
        <v>1219</v>
      </c>
      <c r="L882" t="s">
        <v>77</v>
      </c>
      <c r="P882" t="s">
        <v>85</v>
      </c>
    </row>
    <row r="883" spans="1:16" x14ac:dyDescent="0.25">
      <c r="A883" t="s">
        <v>1815</v>
      </c>
      <c r="B883" t="s">
        <v>77</v>
      </c>
      <c r="C883" t="str">
        <f>IF(ISBLANK(Table4[[#This Row],[Region]]),Table4[[#This Row],[Node Type]],Table4[[#This Row],[Region]])</f>
        <v/>
      </c>
      <c r="E883" t="str">
        <f>IF(ISERROR(SEARCH("Node",Table4[[#This Row],[Type]])),IF(ISERROR(SEARCH("Iliac",Table4[[#This Row],[Type]])),"",Table4[[#This Row],[Type]]),Table4[[#This Row],[Type]])</f>
        <v/>
      </c>
      <c r="I883">
        <v>70</v>
      </c>
      <c r="L883" t="s">
        <v>77</v>
      </c>
      <c r="O883" t="s">
        <v>292</v>
      </c>
      <c r="P883" t="s">
        <v>85</v>
      </c>
    </row>
    <row r="884" spans="1:16" x14ac:dyDescent="0.25">
      <c r="A884" t="s">
        <v>1816</v>
      </c>
      <c r="B884" t="s">
        <v>77</v>
      </c>
      <c r="C884" t="str">
        <f>IF(ISBLANK(Table4[[#This Row],[Region]]),Table4[[#This Row],[Node Type]],Table4[[#This Row],[Region]])</f>
        <v/>
      </c>
      <c r="E884" t="str">
        <f>IF(ISERROR(SEARCH("Node",Table4[[#This Row],[Type]])),IF(ISERROR(SEARCH("Iliac",Table4[[#This Row],[Type]])),"",Table4[[#This Row],[Type]]),Table4[[#This Row],[Type]])</f>
        <v/>
      </c>
      <c r="I884">
        <v>66</v>
      </c>
      <c r="L884" t="s">
        <v>77</v>
      </c>
      <c r="O884" t="s">
        <v>292</v>
      </c>
      <c r="P884" t="s">
        <v>85</v>
      </c>
    </row>
    <row r="885" spans="1:16" x14ac:dyDescent="0.25">
      <c r="A885" t="s">
        <v>1817</v>
      </c>
      <c r="B885" t="s">
        <v>77</v>
      </c>
      <c r="C885" t="str">
        <f>IF(ISBLANK(Table4[[#This Row],[Region]]),Table4[[#This Row],[Node Type]],Table4[[#This Row],[Region]])</f>
        <v/>
      </c>
      <c r="E885" t="str">
        <f>IF(ISERROR(SEARCH("Node",Table4[[#This Row],[Type]])),IF(ISERROR(SEARCH("Iliac",Table4[[#This Row],[Type]])),"",Table4[[#This Row],[Type]]),Table4[[#This Row],[Type]])</f>
        <v/>
      </c>
      <c r="I885">
        <v>66</v>
      </c>
      <c r="L885" t="s">
        <v>77</v>
      </c>
      <c r="O885" t="s">
        <v>292</v>
      </c>
      <c r="P885" t="s">
        <v>85</v>
      </c>
    </row>
    <row r="886" spans="1:16" x14ac:dyDescent="0.25">
      <c r="A886" t="s">
        <v>1825</v>
      </c>
      <c r="B886" t="s">
        <v>77</v>
      </c>
      <c r="C886" t="str">
        <f>IF(ISBLANK(Table4[[#This Row],[Region]]),Table4[[#This Row],[Node Type]],Table4[[#This Row],[Region]])</f>
        <v/>
      </c>
      <c r="E886" t="str">
        <f>IF(ISERROR(SEARCH("Node",Table4[[#This Row],[Type]])),IF(ISERROR(SEARCH("Iliac",Table4[[#This Row],[Type]])),"",Table4[[#This Row],[Type]]),Table4[[#This Row],[Type]])</f>
        <v/>
      </c>
      <c r="L886" t="s">
        <v>77</v>
      </c>
      <c r="O886" t="s">
        <v>294</v>
      </c>
      <c r="P886" t="s">
        <v>85</v>
      </c>
    </row>
    <row r="887" spans="1:16" x14ac:dyDescent="0.25">
      <c r="A887" t="s">
        <v>1838</v>
      </c>
      <c r="B887" t="s">
        <v>20</v>
      </c>
      <c r="C887" t="str">
        <f>IF(ISBLANK(Table4[[#This Row],[Region]]),Table4[[#This Row],[Node Type]],Table4[[#This Row],[Region]])</f>
        <v/>
      </c>
      <c r="E887" t="str">
        <f>IF(ISERROR(SEARCH("Node",Table4[[#This Row],[Type]])),IF(ISERROR(SEARCH("Iliac",Table4[[#This Row],[Type]])),"",Table4[[#This Row],[Type]]),Table4[[#This Row],[Type]])</f>
        <v/>
      </c>
      <c r="H887">
        <v>4</v>
      </c>
      <c r="I887">
        <v>27</v>
      </c>
      <c r="L887" t="s">
        <v>20</v>
      </c>
    </row>
    <row r="888" spans="1:16" x14ac:dyDescent="0.25">
      <c r="A888" t="s">
        <v>1839</v>
      </c>
      <c r="B888" t="s">
        <v>20</v>
      </c>
      <c r="C888" t="str">
        <f>IF(ISBLANK(Table4[[#This Row],[Region]]),Table4[[#This Row],[Node Type]],Table4[[#This Row],[Region]])</f>
        <v/>
      </c>
      <c r="E888" t="str">
        <f>IF(ISERROR(SEARCH("Node",Table4[[#This Row],[Type]])),IF(ISERROR(SEARCH("Iliac",Table4[[#This Row],[Type]])),"",Table4[[#This Row],[Type]]),Table4[[#This Row],[Type]])</f>
        <v/>
      </c>
      <c r="H888">
        <v>5</v>
      </c>
      <c r="I888">
        <v>27</v>
      </c>
      <c r="L888" t="s">
        <v>20</v>
      </c>
    </row>
    <row r="889" spans="1:16" x14ac:dyDescent="0.25">
      <c r="A889" t="s">
        <v>1840</v>
      </c>
      <c r="B889" t="s">
        <v>20</v>
      </c>
      <c r="C889" t="str">
        <f>IF(ISBLANK(Table4[[#This Row],[Region]]),Table4[[#This Row],[Node Type]],Table4[[#This Row],[Region]])</f>
        <v/>
      </c>
      <c r="E889" t="str">
        <f>IF(ISERROR(SEARCH("Node",Table4[[#This Row],[Type]])),IF(ISERROR(SEARCH("Iliac",Table4[[#This Row],[Type]])),"",Table4[[#This Row],[Type]]),Table4[[#This Row],[Type]])</f>
        <v/>
      </c>
      <c r="H889">
        <v>6</v>
      </c>
      <c r="I889">
        <v>27</v>
      </c>
      <c r="L889" t="s">
        <v>20</v>
      </c>
    </row>
    <row r="890" spans="1:16" x14ac:dyDescent="0.25">
      <c r="A890" t="s">
        <v>1841</v>
      </c>
      <c r="B890" t="s">
        <v>77</v>
      </c>
      <c r="C890" t="str">
        <f>IF(ISBLANK(Table4[[#This Row],[Region]]),Table4[[#This Row],[Node Type]],Table4[[#This Row],[Region]])</f>
        <v/>
      </c>
      <c r="E890" t="str">
        <f>IF(ISERROR(SEARCH("Node",Table4[[#This Row],[Type]])),IF(ISERROR(SEARCH("Iliac",Table4[[#This Row],[Type]])),"",Table4[[#This Row],[Type]]),Table4[[#This Row],[Type]])</f>
        <v/>
      </c>
      <c r="H890">
        <v>4</v>
      </c>
      <c r="I890">
        <v>27</v>
      </c>
      <c r="L890" t="s">
        <v>77</v>
      </c>
    </row>
    <row r="891" spans="1:16" x14ac:dyDescent="0.25">
      <c r="A891" t="s">
        <v>1842</v>
      </c>
      <c r="B891" t="s">
        <v>77</v>
      </c>
      <c r="C891" t="str">
        <f>IF(ISBLANK(Table4[[#This Row],[Region]]),Table4[[#This Row],[Node Type]],Table4[[#This Row],[Region]])</f>
        <v/>
      </c>
      <c r="E891" t="str">
        <f>IF(ISERROR(SEARCH("Node",Table4[[#This Row],[Type]])),IF(ISERROR(SEARCH("Iliac",Table4[[#This Row],[Type]])),"",Table4[[#This Row],[Type]]),Table4[[#This Row],[Type]])</f>
        <v/>
      </c>
      <c r="H891">
        <v>5</v>
      </c>
      <c r="I891">
        <v>27</v>
      </c>
      <c r="L891" t="s">
        <v>77</v>
      </c>
    </row>
    <row r="892" spans="1:16" x14ac:dyDescent="0.25">
      <c r="A892" t="s">
        <v>1843</v>
      </c>
      <c r="B892" t="s">
        <v>77</v>
      </c>
      <c r="C892" t="str">
        <f>IF(ISBLANK(Table4[[#This Row],[Region]]),Table4[[#This Row],[Node Type]],Table4[[#This Row],[Region]])</f>
        <v/>
      </c>
      <c r="E892" t="str">
        <f>IF(ISERROR(SEARCH("Node",Table4[[#This Row],[Type]])),IF(ISERROR(SEARCH("Iliac",Table4[[#This Row],[Type]])),"",Table4[[#This Row],[Type]]),Table4[[#This Row],[Type]])</f>
        <v/>
      </c>
      <c r="H892">
        <v>6</v>
      </c>
      <c r="I892">
        <v>27</v>
      </c>
      <c r="L892" t="s">
        <v>77</v>
      </c>
    </row>
    <row r="893" spans="1:16" x14ac:dyDescent="0.25">
      <c r="A893" t="s">
        <v>1844</v>
      </c>
      <c r="B893" t="s">
        <v>77</v>
      </c>
      <c r="C893" t="str">
        <f>IF(ISBLANK(Table4[[#This Row],[Region]]),Table4[[#This Row],[Node Type]],Table4[[#This Row],[Region]])</f>
        <v/>
      </c>
      <c r="E893" t="str">
        <f>IF(ISERROR(SEARCH("Node",Table4[[#This Row],[Type]])),IF(ISERROR(SEARCH("Iliac",Table4[[#This Row],[Type]])),"",Table4[[#This Row],[Type]]),Table4[[#This Row],[Type]])</f>
        <v/>
      </c>
      <c r="H893">
        <v>7</v>
      </c>
      <c r="I893">
        <v>24</v>
      </c>
      <c r="L893" t="s">
        <v>77</v>
      </c>
    </row>
    <row r="894" spans="1:16" x14ac:dyDescent="0.25">
      <c r="A894" t="s">
        <v>1845</v>
      </c>
      <c r="B894" t="s">
        <v>20</v>
      </c>
      <c r="C894" t="str">
        <f>IF(ISBLANK(Table4[[#This Row],[Region]]),Table4[[#This Row],[Node Type]],Table4[[#This Row],[Region]])</f>
        <v/>
      </c>
      <c r="E894" t="str">
        <f>IF(ISERROR(SEARCH("Node",Table4[[#This Row],[Type]])),IF(ISERROR(SEARCH("Iliac",Table4[[#This Row],[Type]])),"",Table4[[#This Row],[Type]]),Table4[[#This Row],[Type]])</f>
        <v/>
      </c>
      <c r="H894">
        <v>7</v>
      </c>
      <c r="I894">
        <v>24</v>
      </c>
      <c r="L894" t="s">
        <v>20</v>
      </c>
    </row>
    <row r="895" spans="1:16" x14ac:dyDescent="0.25">
      <c r="A895" t="s">
        <v>1848</v>
      </c>
      <c r="B895" t="s">
        <v>77</v>
      </c>
      <c r="C895" t="str">
        <f>IF(ISBLANK(Table4[[#This Row],[Region]]),Table4[[#This Row],[Node Type]],Table4[[#This Row],[Region]])</f>
        <v/>
      </c>
      <c r="E895" t="str">
        <f>IF(ISERROR(SEARCH("Node",Table4[[#This Row],[Type]])),IF(ISERROR(SEARCH("Iliac",Table4[[#This Row],[Type]])),"",Table4[[#This Row],[Type]]),Table4[[#This Row],[Type]])</f>
        <v/>
      </c>
      <c r="I895">
        <v>40</v>
      </c>
      <c r="L895" t="s">
        <v>77</v>
      </c>
      <c r="P895" t="s">
        <v>85</v>
      </c>
    </row>
    <row r="896" spans="1:16" x14ac:dyDescent="0.25">
      <c r="A896" t="s">
        <v>226</v>
      </c>
      <c r="B896" t="s">
        <v>173</v>
      </c>
      <c r="C896" t="str">
        <f>IF(ISBLANK(Table4[[#This Row],[Region]]),Table4[[#This Row],[Node Type]],Table4[[#This Row],[Region]])</f>
        <v/>
      </c>
      <c r="E896" t="str">
        <f>IF(ISERROR(SEARCH("Node",Table4[[#This Row],[Type]])),IF(ISERROR(SEARCH("Iliac",Table4[[#This Row],[Type]])),"",Table4[[#This Row],[Type]]),Table4[[#This Row],[Type]])</f>
        <v/>
      </c>
      <c r="L896" t="s">
        <v>226</v>
      </c>
    </row>
    <row r="897" spans="1:19" x14ac:dyDescent="0.25">
      <c r="A897" t="s">
        <v>1851</v>
      </c>
      <c r="B897" t="s">
        <v>173</v>
      </c>
      <c r="C897" t="str">
        <f>IF(ISBLANK(Table4[[#This Row],[Region]]),Table4[[#This Row],[Node Type]],Table4[[#This Row],[Region]])</f>
        <v/>
      </c>
      <c r="E897" t="str">
        <f>IF(ISERROR(SEARCH("Node",Table4[[#This Row],[Type]])),IF(ISERROR(SEARCH("Iliac",Table4[[#This Row],[Type]])),"",Table4[[#This Row],[Type]]),Table4[[#This Row],[Type]])</f>
        <v/>
      </c>
      <c r="L897" t="s">
        <v>226</v>
      </c>
      <c r="O897" t="s">
        <v>294</v>
      </c>
      <c r="R897" t="s">
        <v>215</v>
      </c>
      <c r="S897">
        <v>3</v>
      </c>
    </row>
    <row r="898" spans="1:19" x14ac:dyDescent="0.25">
      <c r="A898" t="s">
        <v>1856</v>
      </c>
      <c r="B898" t="s">
        <v>77</v>
      </c>
      <c r="C898" t="str">
        <f>IF(ISBLANK(Table4[[#This Row],[Region]]),Table4[[#This Row],[Node Type]],Table4[[#This Row],[Region]])</f>
        <v/>
      </c>
      <c r="E898" t="str">
        <f>IF(ISERROR(SEARCH("Node",Table4[[#This Row],[Type]])),IF(ISERROR(SEARCH("Iliac",Table4[[#This Row],[Type]])),"",Table4[[#This Row],[Type]]),Table4[[#This Row],[Type]])</f>
        <v/>
      </c>
      <c r="I898">
        <v>24</v>
      </c>
      <c r="L898" t="s">
        <v>77</v>
      </c>
    </row>
    <row r="899" spans="1:19" x14ac:dyDescent="0.25">
      <c r="A899" t="s">
        <v>1857</v>
      </c>
      <c r="B899" t="s">
        <v>46</v>
      </c>
      <c r="C899" t="str">
        <f>IF(ISBLANK(Table4[[#This Row],[Region]]),Table4[[#This Row],[Node Type]],Table4[[#This Row],[Region]])</f>
        <v/>
      </c>
      <c r="E899" t="str">
        <f>IF(ISERROR(SEARCH("Node",Table4[[#This Row],[Type]])),IF(ISERROR(SEARCH("Iliac",Table4[[#This Row],[Type]])),"",Table4[[#This Row],[Type]]),Table4[[#This Row],[Type]])</f>
        <v/>
      </c>
      <c r="I899">
        <v>24</v>
      </c>
      <c r="L899" t="s">
        <v>46</v>
      </c>
    </row>
    <row r="900" spans="1:19" x14ac:dyDescent="0.25">
      <c r="A900" t="s">
        <v>1858</v>
      </c>
      <c r="B900" t="s">
        <v>77</v>
      </c>
      <c r="C900" t="str">
        <f>IF(ISBLANK(Table4[[#This Row],[Region]]),Table4[[#This Row],[Node Type]],Table4[[#This Row],[Region]])</f>
        <v/>
      </c>
      <c r="E900" t="str">
        <f>IF(ISERROR(SEARCH("Node",Table4[[#This Row],[Type]])),IF(ISERROR(SEARCH("Iliac",Table4[[#This Row],[Type]])),"",Table4[[#This Row],[Type]]),Table4[[#This Row],[Type]])</f>
        <v/>
      </c>
      <c r="L900" t="s">
        <v>77</v>
      </c>
      <c r="N900" t="s">
        <v>106</v>
      </c>
      <c r="P900" t="s">
        <v>85</v>
      </c>
    </row>
    <row r="901" spans="1:19" x14ac:dyDescent="0.25">
      <c r="A901" t="s">
        <v>1859</v>
      </c>
      <c r="B901" t="s">
        <v>77</v>
      </c>
      <c r="C901" t="str">
        <f>IF(ISBLANK(Table4[[#This Row],[Region]]),Table4[[#This Row],[Node Type]],Table4[[#This Row],[Region]])</f>
        <v/>
      </c>
      <c r="E901" t="str">
        <f>IF(ISERROR(SEARCH("Node",Table4[[#This Row],[Type]])),IF(ISERROR(SEARCH("Iliac",Table4[[#This Row],[Type]])),"",Table4[[#This Row],[Type]]),Table4[[#This Row],[Type]])</f>
        <v/>
      </c>
      <c r="K901" t="s">
        <v>605</v>
      </c>
      <c r="L901" t="s">
        <v>77</v>
      </c>
      <c r="P901" t="s">
        <v>83</v>
      </c>
    </row>
    <row r="902" spans="1:19" x14ac:dyDescent="0.25">
      <c r="A902" t="s">
        <v>1860</v>
      </c>
      <c r="B902" t="s">
        <v>46</v>
      </c>
      <c r="C902" t="str">
        <f>IF(ISBLANK(Table4[[#This Row],[Region]]),Table4[[#This Row],[Node Type]],Table4[[#This Row],[Region]])</f>
        <v/>
      </c>
      <c r="E902" t="str">
        <f>IF(ISERROR(SEARCH("Node",Table4[[#This Row],[Type]])),IF(ISERROR(SEARCH("Iliac",Table4[[#This Row],[Type]])),"",Table4[[#This Row],[Type]]),Table4[[#This Row],[Type]])</f>
        <v/>
      </c>
      <c r="L902" t="s">
        <v>46</v>
      </c>
      <c r="P902" t="s">
        <v>83</v>
      </c>
    </row>
    <row r="903" spans="1:19" x14ac:dyDescent="0.25">
      <c r="A903" t="s">
        <v>1861</v>
      </c>
      <c r="B903" t="s">
        <v>48</v>
      </c>
      <c r="C903" t="str">
        <f>IF(ISBLANK(Table4[[#This Row],[Region]]),Table4[[#This Row],[Node Type]],Table4[[#This Row],[Region]])</f>
        <v/>
      </c>
      <c r="E903" t="str">
        <f>IF(ISERROR(SEARCH("Node",Table4[[#This Row],[Type]])),IF(ISERROR(SEARCH("Iliac",Table4[[#This Row],[Type]])),"",Table4[[#This Row],[Type]]),Table4[[#This Row],[Type]])</f>
        <v/>
      </c>
      <c r="L903" t="s">
        <v>20</v>
      </c>
      <c r="M903" t="s">
        <v>79</v>
      </c>
      <c r="N903" t="s">
        <v>106</v>
      </c>
    </row>
    <row r="904" spans="1:19" x14ac:dyDescent="0.25">
      <c r="A904" t="s">
        <v>1862</v>
      </c>
      <c r="B904" t="s">
        <v>46</v>
      </c>
      <c r="C904" t="str">
        <f>IF(ISBLANK(Table4[[#This Row],[Region]]),Table4[[#This Row],[Node Type]],Table4[[#This Row],[Region]])</f>
        <v/>
      </c>
      <c r="E904" t="str">
        <f>IF(ISERROR(SEARCH("Node",Table4[[#This Row],[Type]])),IF(ISERROR(SEARCH("Iliac",Table4[[#This Row],[Type]])),"",Table4[[#This Row],[Type]]),Table4[[#This Row],[Type]])</f>
        <v/>
      </c>
      <c r="L904" t="s">
        <v>46</v>
      </c>
      <c r="N904" t="s">
        <v>106</v>
      </c>
    </row>
    <row r="905" spans="1:19" x14ac:dyDescent="0.25">
      <c r="A905" t="s">
        <v>1863</v>
      </c>
      <c r="B905" t="s">
        <v>46</v>
      </c>
      <c r="C905" t="str">
        <f>IF(ISBLANK(Table4[[#This Row],[Region]]),Table4[[#This Row],[Node Type]],Table4[[#This Row],[Region]])</f>
        <v/>
      </c>
      <c r="E905" t="str">
        <f>IF(ISERROR(SEARCH("Node",Table4[[#This Row],[Type]])),IF(ISERROR(SEARCH("Iliac",Table4[[#This Row],[Type]])),"",Table4[[#This Row],[Type]]),Table4[[#This Row],[Type]])</f>
        <v/>
      </c>
      <c r="L905" t="s">
        <v>46</v>
      </c>
      <c r="N905" t="s">
        <v>108</v>
      </c>
    </row>
    <row r="906" spans="1:19" x14ac:dyDescent="0.25">
      <c r="A906" t="s">
        <v>1499</v>
      </c>
      <c r="B906" t="s">
        <v>48</v>
      </c>
      <c r="C906" t="str">
        <f>IF(ISBLANK(Table4[[#This Row],[Region]]),Table4[[#This Row],[Node Type]],Table4[[#This Row],[Region]])</f>
        <v/>
      </c>
      <c r="E906" t="str">
        <f>IF(ISERROR(SEARCH("Node",Table4[[#This Row],[Type]])),IF(ISERROR(SEARCH("Iliac",Table4[[#This Row],[Type]])),"",Table4[[#This Row],[Type]]),Table4[[#This Row],[Type]])</f>
        <v/>
      </c>
      <c r="L906" t="s">
        <v>20</v>
      </c>
      <c r="M906" t="s">
        <v>79</v>
      </c>
      <c r="N906" t="s">
        <v>108</v>
      </c>
    </row>
    <row r="907" spans="1:19" x14ac:dyDescent="0.25">
      <c r="A907" t="s">
        <v>1864</v>
      </c>
      <c r="B907" t="s">
        <v>77</v>
      </c>
      <c r="C907" t="str">
        <f>IF(ISBLANK(Table4[[#This Row],[Region]]),Table4[[#This Row],[Node Type]],Table4[[#This Row],[Region]])</f>
        <v/>
      </c>
      <c r="E907" t="str">
        <f>IF(ISERROR(SEARCH("Node",Table4[[#This Row],[Type]])),IF(ISERROR(SEARCH("Iliac",Table4[[#This Row],[Type]])),"",Table4[[#This Row],[Type]]),Table4[[#This Row],[Type]])</f>
        <v/>
      </c>
      <c r="L907" t="s">
        <v>77</v>
      </c>
      <c r="N907" t="s">
        <v>108</v>
      </c>
      <c r="P907" t="s">
        <v>85</v>
      </c>
    </row>
    <row r="908" spans="1:19" x14ac:dyDescent="0.25">
      <c r="A908" t="s">
        <v>1866</v>
      </c>
      <c r="B908" t="s">
        <v>77</v>
      </c>
      <c r="C908" t="str">
        <f>IF(ISBLANK(Table4[[#This Row],[Region]]),Table4[[#This Row],[Node Type]],Table4[[#This Row],[Region]])</f>
        <v/>
      </c>
      <c r="E908" t="str">
        <f>IF(ISERROR(SEARCH("Node",Table4[[#This Row],[Type]])),IF(ISERROR(SEARCH("Iliac",Table4[[#This Row],[Type]])),"",Table4[[#This Row],[Type]]),Table4[[#This Row],[Type]])</f>
        <v/>
      </c>
      <c r="I908">
        <v>30</v>
      </c>
      <c r="L908" t="s">
        <v>77</v>
      </c>
      <c r="P908" t="s">
        <v>85</v>
      </c>
    </row>
    <row r="909" spans="1:19" x14ac:dyDescent="0.25">
      <c r="A909" t="s">
        <v>1877</v>
      </c>
      <c r="B909" t="s">
        <v>20</v>
      </c>
      <c r="C909" t="str">
        <f>IF(ISBLANK(Table4[[#This Row],[Region]]),Table4[[#This Row],[Node Type]],Table4[[#This Row],[Region]])</f>
        <v/>
      </c>
      <c r="E909" t="str">
        <f>IF(ISERROR(SEARCH("Node",Table4[[#This Row],[Type]])),IF(ISERROR(SEARCH("Iliac",Table4[[#This Row],[Type]])),"",Table4[[#This Row],[Type]]),Table4[[#This Row],[Type]])</f>
        <v/>
      </c>
      <c r="H909">
        <v>5</v>
      </c>
      <c r="I909">
        <v>21</v>
      </c>
      <c r="L909" t="s">
        <v>20</v>
      </c>
    </row>
    <row r="910" spans="1:19" x14ac:dyDescent="0.25">
      <c r="A910" t="s">
        <v>1878</v>
      </c>
      <c r="B910" t="s">
        <v>77</v>
      </c>
      <c r="C910" t="str">
        <f>IF(ISBLANK(Table4[[#This Row],[Region]]),Table4[[#This Row],[Node Type]],Table4[[#This Row],[Region]])</f>
        <v/>
      </c>
      <c r="E910" t="str">
        <f>IF(ISERROR(SEARCH("Node",Table4[[#This Row],[Type]])),IF(ISERROR(SEARCH("Iliac",Table4[[#This Row],[Type]])),"",Table4[[#This Row],[Type]]),Table4[[#This Row],[Type]])</f>
        <v/>
      </c>
      <c r="H910">
        <v>5</v>
      </c>
      <c r="I910">
        <v>21</v>
      </c>
      <c r="L910" t="s">
        <v>77</v>
      </c>
    </row>
    <row r="911" spans="1:19" x14ac:dyDescent="0.25">
      <c r="A911" t="s">
        <v>1879</v>
      </c>
      <c r="B911" t="s">
        <v>20</v>
      </c>
      <c r="C911" t="str">
        <f>IF(ISBLANK(Table4[[#This Row],[Region]]),Table4[[#This Row],[Node Type]],Table4[[#This Row],[Region]])</f>
        <v/>
      </c>
      <c r="E911" t="str">
        <f>IF(ISERROR(SEARCH("Node",Table4[[#This Row],[Type]])),IF(ISERROR(SEARCH("Iliac",Table4[[#This Row],[Type]])),"",Table4[[#This Row],[Type]]),Table4[[#This Row],[Type]])</f>
        <v/>
      </c>
      <c r="H911">
        <v>4</v>
      </c>
      <c r="I911">
        <v>15</v>
      </c>
      <c r="L911" t="s">
        <v>20</v>
      </c>
    </row>
    <row r="912" spans="1:19" x14ac:dyDescent="0.25">
      <c r="A912" t="s">
        <v>1880</v>
      </c>
      <c r="B912" t="s">
        <v>20</v>
      </c>
      <c r="C912" t="str">
        <f>IF(ISBLANK(Table4[[#This Row],[Region]]),Table4[[#This Row],[Node Type]],Table4[[#This Row],[Region]])</f>
        <v/>
      </c>
      <c r="E912" t="str">
        <f>IF(ISERROR(SEARCH("Node",Table4[[#This Row],[Type]])),IF(ISERROR(SEARCH("Iliac",Table4[[#This Row],[Type]])),"",Table4[[#This Row],[Type]]),Table4[[#This Row],[Type]])</f>
        <v/>
      </c>
      <c r="H912">
        <v>3</v>
      </c>
      <c r="I912">
        <v>21</v>
      </c>
      <c r="L912" t="s">
        <v>20</v>
      </c>
    </row>
    <row r="913" spans="1:16" x14ac:dyDescent="0.25">
      <c r="A913" t="s">
        <v>1881</v>
      </c>
      <c r="B913" t="s">
        <v>20</v>
      </c>
      <c r="C913" t="str">
        <f>IF(ISBLANK(Table4[[#This Row],[Region]]),Table4[[#This Row],[Node Type]],Table4[[#This Row],[Region]])</f>
        <v/>
      </c>
      <c r="E913" t="str">
        <f>IF(ISERROR(SEARCH("Node",Table4[[#This Row],[Type]])),IF(ISERROR(SEARCH("Iliac",Table4[[#This Row],[Type]])),"",Table4[[#This Row],[Type]]),Table4[[#This Row],[Type]])</f>
        <v/>
      </c>
      <c r="H913">
        <v>1</v>
      </c>
      <c r="I913">
        <v>15</v>
      </c>
      <c r="L913" t="s">
        <v>20</v>
      </c>
    </row>
    <row r="914" spans="1:16" x14ac:dyDescent="0.25">
      <c r="A914" t="s">
        <v>1882</v>
      </c>
      <c r="B914" t="s">
        <v>77</v>
      </c>
      <c r="C914" t="str">
        <f>IF(ISBLANK(Table4[[#This Row],[Region]]),Table4[[#This Row],[Node Type]],Table4[[#This Row],[Region]])</f>
        <v/>
      </c>
      <c r="E914" t="str">
        <f>IF(ISERROR(SEARCH("Node",Table4[[#This Row],[Type]])),IF(ISERROR(SEARCH("Iliac",Table4[[#This Row],[Type]])),"",Table4[[#This Row],[Type]]),Table4[[#This Row],[Type]])</f>
        <v/>
      </c>
      <c r="H914">
        <v>4</v>
      </c>
      <c r="I914">
        <v>15</v>
      </c>
      <c r="L914" t="s">
        <v>77</v>
      </c>
    </row>
    <row r="915" spans="1:16" x14ac:dyDescent="0.25">
      <c r="A915" t="s">
        <v>1883</v>
      </c>
      <c r="B915" t="s">
        <v>77</v>
      </c>
      <c r="C915" t="str">
        <f>IF(ISBLANK(Table4[[#This Row],[Region]]),Table4[[#This Row],[Node Type]],Table4[[#This Row],[Region]])</f>
        <v/>
      </c>
      <c r="E915" t="str">
        <f>IF(ISERROR(SEARCH("Node",Table4[[#This Row],[Type]])),IF(ISERROR(SEARCH("Iliac",Table4[[#This Row],[Type]])),"",Table4[[#This Row],[Type]]),Table4[[#This Row],[Type]])</f>
        <v/>
      </c>
      <c r="H915">
        <v>3</v>
      </c>
      <c r="I915">
        <v>21</v>
      </c>
      <c r="L915" t="s">
        <v>77</v>
      </c>
    </row>
    <row r="916" spans="1:16" x14ac:dyDescent="0.25">
      <c r="A916" t="s">
        <v>1884</v>
      </c>
      <c r="B916" t="s">
        <v>77</v>
      </c>
      <c r="C916" t="str">
        <f>IF(ISBLANK(Table4[[#This Row],[Region]]),Table4[[#This Row],[Node Type]],Table4[[#This Row],[Region]])</f>
        <v/>
      </c>
      <c r="E916" t="str">
        <f>IF(ISERROR(SEARCH("Node",Table4[[#This Row],[Type]])),IF(ISERROR(SEARCH("Iliac",Table4[[#This Row],[Type]])),"",Table4[[#This Row],[Type]]),Table4[[#This Row],[Type]])</f>
        <v/>
      </c>
      <c r="H916">
        <v>1</v>
      </c>
      <c r="I916">
        <v>15</v>
      </c>
      <c r="L916" t="s">
        <v>77</v>
      </c>
    </row>
    <row r="917" spans="1:16" x14ac:dyDescent="0.25">
      <c r="A917" t="s">
        <v>1885</v>
      </c>
      <c r="B917" t="s">
        <v>77</v>
      </c>
      <c r="C917" t="str">
        <f>IF(ISBLANK(Table4[[#This Row],[Region]]),Table4[[#This Row],[Node Type]],Table4[[#This Row],[Region]])</f>
        <v/>
      </c>
      <c r="E917" t="str">
        <f>IF(ISERROR(SEARCH("Node",Table4[[#This Row],[Type]])),IF(ISERROR(SEARCH("Iliac",Table4[[#This Row],[Type]])),"",Table4[[#This Row],[Type]]),Table4[[#This Row],[Type]])</f>
        <v/>
      </c>
      <c r="H917">
        <v>6</v>
      </c>
      <c r="I917">
        <v>21</v>
      </c>
      <c r="L917" t="s">
        <v>77</v>
      </c>
    </row>
    <row r="918" spans="1:16" x14ac:dyDescent="0.25">
      <c r="A918" t="s">
        <v>1886</v>
      </c>
      <c r="B918" t="s">
        <v>77</v>
      </c>
      <c r="C918" t="str">
        <f>IF(ISBLANK(Table4[[#This Row],[Region]]),Table4[[#This Row],[Node Type]],Table4[[#This Row],[Region]])</f>
        <v/>
      </c>
      <c r="E918" t="str">
        <f>IF(ISERROR(SEARCH("Node",Table4[[#This Row],[Type]])),IF(ISERROR(SEARCH("Iliac",Table4[[#This Row],[Type]])),"",Table4[[#This Row],[Type]]),Table4[[#This Row],[Type]])</f>
        <v/>
      </c>
      <c r="H918">
        <v>9</v>
      </c>
      <c r="I918">
        <v>21</v>
      </c>
      <c r="L918" t="s">
        <v>77</v>
      </c>
    </row>
    <row r="919" spans="1:16" x14ac:dyDescent="0.25">
      <c r="A919" t="s">
        <v>1887</v>
      </c>
      <c r="B919" t="s">
        <v>77</v>
      </c>
      <c r="C919" t="str">
        <f>IF(ISBLANK(Table4[[#This Row],[Region]]),Table4[[#This Row],[Node Type]],Table4[[#This Row],[Region]])</f>
        <v/>
      </c>
      <c r="E919" t="str">
        <f>IF(ISERROR(SEARCH("Node",Table4[[#This Row],[Type]])),IF(ISERROR(SEARCH("Iliac",Table4[[#This Row],[Type]])),"",Table4[[#This Row],[Type]]),Table4[[#This Row],[Type]])</f>
        <v/>
      </c>
      <c r="H919">
        <v>8</v>
      </c>
      <c r="I919">
        <v>21</v>
      </c>
      <c r="L919" t="s">
        <v>77</v>
      </c>
    </row>
    <row r="920" spans="1:16" x14ac:dyDescent="0.25">
      <c r="A920" t="s">
        <v>1888</v>
      </c>
      <c r="B920" t="s">
        <v>77</v>
      </c>
      <c r="C920" t="str">
        <f>IF(ISBLANK(Table4[[#This Row],[Region]]),Table4[[#This Row],[Node Type]],Table4[[#This Row],[Region]])</f>
        <v/>
      </c>
      <c r="E920" t="str">
        <f>IF(ISERROR(SEARCH("Node",Table4[[#This Row],[Type]])),IF(ISERROR(SEARCH("Iliac",Table4[[#This Row],[Type]])),"",Table4[[#This Row],[Type]]),Table4[[#This Row],[Type]])</f>
        <v/>
      </c>
      <c r="H920">
        <v>7</v>
      </c>
      <c r="I920">
        <v>21</v>
      </c>
      <c r="L920" t="s">
        <v>77</v>
      </c>
    </row>
    <row r="921" spans="1:16" x14ac:dyDescent="0.25">
      <c r="A921" t="s">
        <v>1889</v>
      </c>
      <c r="B921" t="s">
        <v>20</v>
      </c>
      <c r="C921" t="str">
        <f>IF(ISBLANK(Table4[[#This Row],[Region]]),Table4[[#This Row],[Node Type]],Table4[[#This Row],[Region]])</f>
        <v/>
      </c>
      <c r="E921" t="str">
        <f>IF(ISERROR(SEARCH("Node",Table4[[#This Row],[Type]])),IF(ISERROR(SEARCH("Iliac",Table4[[#This Row],[Type]])),"",Table4[[#This Row],[Type]]),Table4[[#This Row],[Type]])</f>
        <v/>
      </c>
      <c r="H921">
        <v>9</v>
      </c>
      <c r="I921">
        <v>21</v>
      </c>
      <c r="L921" t="s">
        <v>20</v>
      </c>
    </row>
    <row r="922" spans="1:16" x14ac:dyDescent="0.25">
      <c r="A922" t="s">
        <v>1890</v>
      </c>
      <c r="B922" t="s">
        <v>20</v>
      </c>
      <c r="C922" t="str">
        <f>IF(ISBLANK(Table4[[#This Row],[Region]]),Table4[[#This Row],[Node Type]],Table4[[#This Row],[Region]])</f>
        <v/>
      </c>
      <c r="E922" t="str">
        <f>IF(ISERROR(SEARCH("Node",Table4[[#This Row],[Type]])),IF(ISERROR(SEARCH("Iliac",Table4[[#This Row],[Type]])),"",Table4[[#This Row],[Type]]),Table4[[#This Row],[Type]])</f>
        <v/>
      </c>
      <c r="H922">
        <v>8</v>
      </c>
      <c r="I922">
        <v>21</v>
      </c>
      <c r="L922" t="s">
        <v>20</v>
      </c>
    </row>
    <row r="923" spans="1:16" x14ac:dyDescent="0.25">
      <c r="A923" t="s">
        <v>1891</v>
      </c>
      <c r="B923" t="s">
        <v>20</v>
      </c>
      <c r="C923" t="str">
        <f>IF(ISBLANK(Table4[[#This Row],[Region]]),Table4[[#This Row],[Node Type]],Table4[[#This Row],[Region]])</f>
        <v/>
      </c>
      <c r="E923" t="str">
        <f>IF(ISERROR(SEARCH("Node",Table4[[#This Row],[Type]])),IF(ISERROR(SEARCH("Iliac",Table4[[#This Row],[Type]])),"",Table4[[#This Row],[Type]]),Table4[[#This Row],[Type]])</f>
        <v/>
      </c>
      <c r="H923">
        <v>7</v>
      </c>
      <c r="I923">
        <v>21</v>
      </c>
      <c r="L923" t="s">
        <v>20</v>
      </c>
    </row>
    <row r="924" spans="1:16" x14ac:dyDescent="0.25">
      <c r="A924" t="s">
        <v>1892</v>
      </c>
      <c r="B924" t="s">
        <v>20</v>
      </c>
      <c r="C924" t="str">
        <f>IF(ISBLANK(Table4[[#This Row],[Region]]),Table4[[#This Row],[Node Type]],Table4[[#This Row],[Region]])</f>
        <v/>
      </c>
      <c r="E924" t="str">
        <f>IF(ISERROR(SEARCH("Node",Table4[[#This Row],[Type]])),IF(ISERROR(SEARCH("Iliac",Table4[[#This Row],[Type]])),"",Table4[[#This Row],[Type]]),Table4[[#This Row],[Type]])</f>
        <v/>
      </c>
      <c r="H924">
        <v>6</v>
      </c>
      <c r="I924">
        <v>21</v>
      </c>
      <c r="L924" t="s">
        <v>20</v>
      </c>
    </row>
    <row r="925" spans="1:16" x14ac:dyDescent="0.25">
      <c r="A925" t="s">
        <v>139</v>
      </c>
      <c r="B925" t="s">
        <v>173</v>
      </c>
      <c r="C925" t="str">
        <f>IF(ISBLANK(Table4[[#This Row],[Region]]),Table4[[#This Row],[Node Type]],Table4[[#This Row],[Region]])</f>
        <v/>
      </c>
      <c r="E925" t="str">
        <f>IF(ISERROR(SEARCH("Node",Table4[[#This Row],[Type]])),IF(ISERROR(SEARCH("Iliac",Table4[[#This Row],[Type]])),"",Table4[[#This Row],[Type]]),Table4[[#This Row],[Type]])</f>
        <v/>
      </c>
      <c r="L925" t="s">
        <v>46</v>
      </c>
      <c r="M925" t="s">
        <v>79</v>
      </c>
    </row>
    <row r="926" spans="1:16" x14ac:dyDescent="0.25">
      <c r="A926" t="s">
        <v>1900</v>
      </c>
      <c r="B926" t="s">
        <v>77</v>
      </c>
      <c r="C926" t="str">
        <f>IF(ISBLANK(Table4[[#This Row],[Region]]),Table4[[#This Row],[Node Type]],Table4[[#This Row],[Region]])</f>
        <v/>
      </c>
      <c r="E926" t="str">
        <f>IF(ISERROR(SEARCH("Node",Table4[[#This Row],[Type]])),IF(ISERROR(SEARCH("Iliac",Table4[[#This Row],[Type]])),"",Table4[[#This Row],[Type]]),Table4[[#This Row],[Type]])</f>
        <v/>
      </c>
      <c r="I926">
        <v>54</v>
      </c>
      <c r="L926" t="s">
        <v>77</v>
      </c>
      <c r="O926" t="s">
        <v>290</v>
      </c>
      <c r="P926" t="s">
        <v>83</v>
      </c>
    </row>
    <row r="927" spans="1:16" x14ac:dyDescent="0.25">
      <c r="A927" t="s">
        <v>1901</v>
      </c>
      <c r="B927" t="s">
        <v>77</v>
      </c>
      <c r="C927" t="str">
        <f>IF(ISBLANK(Table4[[#This Row],[Region]]),Table4[[#This Row],[Node Type]],Table4[[#This Row],[Region]])</f>
        <v/>
      </c>
      <c r="E927" t="str">
        <f>IF(ISERROR(SEARCH("Node",Table4[[#This Row],[Type]])),IF(ISERROR(SEARCH("Iliac",Table4[[#This Row],[Type]])),"",Table4[[#This Row],[Type]]),Table4[[#This Row],[Type]])</f>
        <v/>
      </c>
      <c r="J927" t="s">
        <v>1902</v>
      </c>
      <c r="L927" t="s">
        <v>77</v>
      </c>
      <c r="O927" t="s">
        <v>290</v>
      </c>
      <c r="P927" t="s">
        <v>85</v>
      </c>
    </row>
    <row r="928" spans="1:16" x14ac:dyDescent="0.25">
      <c r="A928" t="s">
        <v>1903</v>
      </c>
      <c r="B928" t="s">
        <v>77</v>
      </c>
      <c r="C928" t="str">
        <f>IF(ISBLANK(Table4[[#This Row],[Region]]),Table4[[#This Row],[Node Type]],Table4[[#This Row],[Region]])</f>
        <v/>
      </c>
      <c r="E928" t="str">
        <f>IF(ISERROR(SEARCH("Node",Table4[[#This Row],[Type]])),IF(ISERROR(SEARCH("Iliac",Table4[[#This Row],[Type]])),"",Table4[[#This Row],[Type]]),Table4[[#This Row],[Type]])</f>
        <v/>
      </c>
      <c r="J928" t="s">
        <v>1902</v>
      </c>
      <c r="L928" t="s">
        <v>77</v>
      </c>
      <c r="P928" t="s">
        <v>85</v>
      </c>
    </row>
    <row r="929" spans="1:19" x14ac:dyDescent="0.25">
      <c r="A929" t="s">
        <v>1909</v>
      </c>
      <c r="B929" t="s">
        <v>20</v>
      </c>
      <c r="C929" t="str">
        <f>IF(ISBLANK(Table4[[#This Row],[Region]]),Table4[[#This Row],[Node Type]],Table4[[#This Row],[Region]])</f>
        <v/>
      </c>
      <c r="E929" t="str">
        <f>IF(ISERROR(SEARCH("Node",Table4[[#This Row],[Type]])),IF(ISERROR(SEARCH("Iliac",Table4[[#This Row],[Type]])),"",Table4[[#This Row],[Type]]),Table4[[#This Row],[Type]])</f>
        <v/>
      </c>
      <c r="L929" t="s">
        <v>20</v>
      </c>
      <c r="P929" t="s">
        <v>85</v>
      </c>
    </row>
    <row r="930" spans="1:19" x14ac:dyDescent="0.25">
      <c r="A930" t="s">
        <v>1910</v>
      </c>
      <c r="B930" t="s">
        <v>77</v>
      </c>
      <c r="C930" t="str">
        <f>IF(ISBLANK(Table4[[#This Row],[Region]]),Table4[[#This Row],[Node Type]],Table4[[#This Row],[Region]])</f>
        <v/>
      </c>
      <c r="E930" t="str">
        <f>IF(ISERROR(SEARCH("Node",Table4[[#This Row],[Type]])),IF(ISERROR(SEARCH("Iliac",Table4[[#This Row],[Type]])),"",Table4[[#This Row],[Type]]),Table4[[#This Row],[Type]])</f>
        <v/>
      </c>
      <c r="I930">
        <v>40</v>
      </c>
      <c r="L930" t="s">
        <v>77</v>
      </c>
      <c r="O930" t="s">
        <v>292</v>
      </c>
      <c r="P930" t="s">
        <v>85</v>
      </c>
    </row>
    <row r="931" spans="1:19" x14ac:dyDescent="0.25">
      <c r="A931" t="s">
        <v>1912</v>
      </c>
      <c r="B931" t="s">
        <v>77</v>
      </c>
      <c r="C931" t="str">
        <f>IF(ISBLANK(Table4[[#This Row],[Region]]),Table4[[#This Row],[Node Type]],Table4[[#This Row],[Region]])</f>
        <v/>
      </c>
      <c r="E931" t="str">
        <f>IF(ISERROR(SEARCH("Node",Table4[[#This Row],[Type]])),IF(ISERROR(SEARCH("Iliac",Table4[[#This Row],[Type]])),"",Table4[[#This Row],[Type]]),Table4[[#This Row],[Type]])</f>
        <v/>
      </c>
      <c r="H931">
        <v>9</v>
      </c>
      <c r="I931">
        <v>27</v>
      </c>
      <c r="L931" t="s">
        <v>77</v>
      </c>
    </row>
    <row r="932" spans="1:19" x14ac:dyDescent="0.25">
      <c r="A932" t="s">
        <v>1913</v>
      </c>
      <c r="B932" t="s">
        <v>20</v>
      </c>
      <c r="C932" t="str">
        <f>IF(ISBLANK(Table4[[#This Row],[Region]]),Table4[[#This Row],[Node Type]],Table4[[#This Row],[Region]])</f>
        <v/>
      </c>
      <c r="E932" t="str">
        <f>IF(ISERROR(SEARCH("Node",Table4[[#This Row],[Type]])),IF(ISERROR(SEARCH("Iliac",Table4[[#This Row],[Type]])),"",Table4[[#This Row],[Type]]),Table4[[#This Row],[Type]])</f>
        <v/>
      </c>
      <c r="H932">
        <v>6</v>
      </c>
      <c r="I932">
        <v>24</v>
      </c>
      <c r="L932" t="s">
        <v>20</v>
      </c>
    </row>
    <row r="933" spans="1:19" x14ac:dyDescent="0.25">
      <c r="A933" t="s">
        <v>1914</v>
      </c>
      <c r="B933" t="s">
        <v>77</v>
      </c>
      <c r="C933" t="str">
        <f>IF(ISBLANK(Table4[[#This Row],[Region]]),Table4[[#This Row],[Node Type]],Table4[[#This Row],[Region]])</f>
        <v/>
      </c>
      <c r="E933" t="str">
        <f>IF(ISERROR(SEARCH("Node",Table4[[#This Row],[Type]])),IF(ISERROR(SEARCH("Iliac",Table4[[#This Row],[Type]])),"",Table4[[#This Row],[Type]]),Table4[[#This Row],[Type]])</f>
        <v/>
      </c>
      <c r="H933">
        <v>6</v>
      </c>
      <c r="I933">
        <v>24</v>
      </c>
      <c r="L933" t="s">
        <v>77</v>
      </c>
    </row>
    <row r="934" spans="1:19" x14ac:dyDescent="0.25">
      <c r="A934" t="s">
        <v>78</v>
      </c>
      <c r="B934" t="s">
        <v>173</v>
      </c>
      <c r="C934" t="str">
        <f>IF(ISBLANK(Table4[[#This Row],[Region]]),Table4[[#This Row],[Node Type]],Table4[[#This Row],[Region]])</f>
        <v/>
      </c>
      <c r="E934" t="str">
        <f>IF(ISERROR(SEARCH("Node",Table4[[#This Row],[Type]])),IF(ISERROR(SEARCH("Iliac",Table4[[#This Row],[Type]])),"",Table4[[#This Row],[Type]]),Table4[[#This Row],[Type]])</f>
        <v/>
      </c>
      <c r="L934" t="s">
        <v>20</v>
      </c>
      <c r="M934" t="s">
        <v>79</v>
      </c>
    </row>
    <row r="935" spans="1:19" x14ac:dyDescent="0.25">
      <c r="A935" t="s">
        <v>1919</v>
      </c>
      <c r="B935" t="s">
        <v>173</v>
      </c>
      <c r="C935" t="str">
        <f>IF(ISBLANK(Table4[[#This Row],[Region]]),Table4[[#This Row],[Node Type]],Table4[[#This Row],[Region]])</f>
        <v/>
      </c>
      <c r="E935" t="str">
        <f>IF(ISERROR(SEARCH("Node",Table4[[#This Row],[Type]])),IF(ISERROR(SEARCH("Iliac",Table4[[#This Row],[Type]])),"",Table4[[#This Row],[Type]]),Table4[[#This Row],[Type]])</f>
        <v/>
      </c>
      <c r="J935" t="s">
        <v>1038</v>
      </c>
      <c r="L935" t="s">
        <v>77</v>
      </c>
      <c r="M935" t="s">
        <v>79</v>
      </c>
    </row>
    <row r="936" spans="1:19" x14ac:dyDescent="0.25">
      <c r="A936" t="s">
        <v>1927</v>
      </c>
      <c r="B936" t="s">
        <v>46</v>
      </c>
      <c r="C936" t="str">
        <f>IF(ISBLANK(Table4[[#This Row],[Region]]),Table4[[#This Row],[Node Type]],Table4[[#This Row],[Region]])</f>
        <v/>
      </c>
      <c r="E936" t="str">
        <f>IF(ISERROR(SEARCH("Node",Table4[[#This Row],[Type]])),IF(ISERROR(SEARCH("Iliac",Table4[[#This Row],[Type]])),"",Table4[[#This Row],[Type]]),Table4[[#This Row],[Type]])</f>
        <v/>
      </c>
      <c r="I936">
        <v>60</v>
      </c>
      <c r="L936" t="s">
        <v>45</v>
      </c>
      <c r="P936" t="s">
        <v>83</v>
      </c>
    </row>
    <row r="937" spans="1:19" x14ac:dyDescent="0.25">
      <c r="A937" t="s">
        <v>1928</v>
      </c>
      <c r="B937" t="s">
        <v>46</v>
      </c>
      <c r="C937" t="str">
        <f>IF(ISBLANK(Table4[[#This Row],[Region]]),Table4[[#This Row],[Node Type]],Table4[[#This Row],[Region]])</f>
        <v/>
      </c>
      <c r="E937" t="str">
        <f>IF(ISERROR(SEARCH("Node",Table4[[#This Row],[Type]])),IF(ISERROR(SEARCH("Iliac",Table4[[#This Row],[Type]])),"",Table4[[#This Row],[Type]]),Table4[[#This Row],[Type]])</f>
        <v/>
      </c>
      <c r="I937">
        <v>50</v>
      </c>
      <c r="L937" t="s">
        <v>45</v>
      </c>
      <c r="P937" t="s">
        <v>85</v>
      </c>
    </row>
    <row r="938" spans="1:19" x14ac:dyDescent="0.25">
      <c r="A938" t="s">
        <v>1929</v>
      </c>
      <c r="B938" t="s">
        <v>77</v>
      </c>
      <c r="C938" t="str">
        <f>IF(ISBLANK(Table4[[#This Row],[Region]]),Table4[[#This Row],[Node Type]],Table4[[#This Row],[Region]])</f>
        <v/>
      </c>
      <c r="E938" t="str">
        <f>IF(ISERROR(SEARCH("Node",Table4[[#This Row],[Type]])),IF(ISERROR(SEARCH("Iliac",Table4[[#This Row],[Type]])),"",Table4[[#This Row],[Type]]),Table4[[#This Row],[Type]])</f>
        <v/>
      </c>
      <c r="I938">
        <v>60</v>
      </c>
      <c r="L938" t="s">
        <v>77</v>
      </c>
      <c r="P938" t="s">
        <v>85</v>
      </c>
      <c r="S938" t="s">
        <v>1930</v>
      </c>
    </row>
    <row r="939" spans="1:19" x14ac:dyDescent="0.25">
      <c r="A939" t="s">
        <v>1932</v>
      </c>
      <c r="B939" t="s">
        <v>20</v>
      </c>
      <c r="C939" t="str">
        <f>IF(ISBLANK(Table4[[#This Row],[Region]]),Table4[[#This Row],[Node Type]],Table4[[#This Row],[Region]])</f>
        <v/>
      </c>
      <c r="E939" t="str">
        <f>IF(ISERROR(SEARCH("Node",Table4[[#This Row],[Type]])),IF(ISERROR(SEARCH("Iliac",Table4[[#This Row],[Type]])),"",Table4[[#This Row],[Type]]),Table4[[#This Row],[Type]])</f>
        <v/>
      </c>
      <c r="L939" t="s">
        <v>20</v>
      </c>
      <c r="M939" t="s">
        <v>235</v>
      </c>
      <c r="N939" t="s">
        <v>1933</v>
      </c>
    </row>
    <row r="940" spans="1:19" x14ac:dyDescent="0.25">
      <c r="A940" t="s">
        <v>1934</v>
      </c>
      <c r="B940" t="s">
        <v>77</v>
      </c>
      <c r="C940" t="str">
        <f>IF(ISBLANK(Table4[[#This Row],[Region]]),Table4[[#This Row],[Node Type]],Table4[[#This Row],[Region]])</f>
        <v/>
      </c>
      <c r="E940" t="str">
        <f>IF(ISERROR(SEARCH("Node",Table4[[#This Row],[Type]])),IF(ISERROR(SEARCH("Iliac",Table4[[#This Row],[Type]])),"",Table4[[#This Row],[Type]]),Table4[[#This Row],[Type]])</f>
        <v/>
      </c>
      <c r="I940">
        <v>27</v>
      </c>
      <c r="L940" t="s">
        <v>77</v>
      </c>
    </row>
    <row r="941" spans="1:19" x14ac:dyDescent="0.25">
      <c r="A941" t="s">
        <v>1935</v>
      </c>
      <c r="B941" t="s">
        <v>46</v>
      </c>
      <c r="C941" t="str">
        <f>IF(ISBLANK(Table4[[#This Row],[Region]]),Table4[[#This Row],[Node Type]],Table4[[#This Row],[Region]])</f>
        <v/>
      </c>
      <c r="E941" t="str">
        <f>IF(ISERROR(SEARCH("Node",Table4[[#This Row],[Type]])),IF(ISERROR(SEARCH("Iliac",Table4[[#This Row],[Type]])),"",Table4[[#This Row],[Type]]),Table4[[#This Row],[Type]])</f>
        <v/>
      </c>
      <c r="J941" t="s">
        <v>1936</v>
      </c>
      <c r="L941" t="s">
        <v>46</v>
      </c>
    </row>
    <row r="942" spans="1:19" x14ac:dyDescent="0.25">
      <c r="A942" t="s">
        <v>1937</v>
      </c>
      <c r="B942" t="s">
        <v>20</v>
      </c>
      <c r="C942" t="str">
        <f>IF(ISBLANK(Table4[[#This Row],[Region]]),Table4[[#This Row],[Node Type]],Table4[[#This Row],[Region]])</f>
        <v/>
      </c>
      <c r="E942" t="str">
        <f>IF(ISERROR(SEARCH("Node",Table4[[#This Row],[Type]])),IF(ISERROR(SEARCH("Iliac",Table4[[#This Row],[Type]])),"",Table4[[#This Row],[Type]]),Table4[[#This Row],[Type]])</f>
        <v/>
      </c>
      <c r="J942" t="s">
        <v>1936</v>
      </c>
      <c r="L942" t="s">
        <v>20</v>
      </c>
    </row>
    <row r="943" spans="1:19" x14ac:dyDescent="0.25">
      <c r="A943" t="s">
        <v>1938</v>
      </c>
      <c r="B943" t="s">
        <v>77</v>
      </c>
      <c r="C943" t="str">
        <f>IF(ISBLANK(Table4[[#This Row],[Region]]),Table4[[#This Row],[Node Type]],Table4[[#This Row],[Region]])</f>
        <v/>
      </c>
      <c r="E943" t="str">
        <f>IF(ISERROR(SEARCH("Node",Table4[[#This Row],[Type]])),IF(ISERROR(SEARCH("Iliac",Table4[[#This Row],[Type]])),"",Table4[[#This Row],[Type]]),Table4[[#This Row],[Type]])</f>
        <v/>
      </c>
      <c r="J943" t="s">
        <v>1936</v>
      </c>
      <c r="L943" t="s">
        <v>77</v>
      </c>
    </row>
    <row r="944" spans="1:19" x14ac:dyDescent="0.25">
      <c r="A944" t="s">
        <v>1944</v>
      </c>
      <c r="B944" t="s">
        <v>173</v>
      </c>
      <c r="C944" t="str">
        <f>IF(ISBLANK(Table4[[#This Row],[Region]]),Table4[[#This Row],[Node Type]],Table4[[#This Row],[Region]])</f>
        <v/>
      </c>
      <c r="E944" t="str">
        <f>IF(ISERROR(SEARCH("Node",Table4[[#This Row],[Type]])),IF(ISERROR(SEARCH("Iliac",Table4[[#This Row],[Type]])),"",Table4[[#This Row],[Type]]),Table4[[#This Row],[Type]])</f>
        <v/>
      </c>
      <c r="J944" t="s">
        <v>1946</v>
      </c>
      <c r="L944" t="s">
        <v>77</v>
      </c>
      <c r="P944" t="s">
        <v>1945</v>
      </c>
    </row>
    <row r="945" spans="1:16" x14ac:dyDescent="0.25">
      <c r="A945" t="s">
        <v>1948</v>
      </c>
      <c r="B945" t="s">
        <v>77</v>
      </c>
      <c r="C945" t="str">
        <f>IF(ISBLANK(Table4[[#This Row],[Region]]),Table4[[#This Row],[Node Type]],Table4[[#This Row],[Region]])</f>
        <v/>
      </c>
      <c r="E945" t="str">
        <f>IF(ISERROR(SEARCH("Node",Table4[[#This Row],[Type]])),IF(ISERROR(SEARCH("Iliac",Table4[[#This Row],[Type]])),"",Table4[[#This Row],[Type]]),Table4[[#This Row],[Type]])</f>
        <v/>
      </c>
      <c r="J945" t="s">
        <v>1946</v>
      </c>
      <c r="L945" t="s">
        <v>77</v>
      </c>
    </row>
    <row r="946" spans="1:16" x14ac:dyDescent="0.25">
      <c r="A946" t="s">
        <v>1949</v>
      </c>
      <c r="B946" t="s">
        <v>77</v>
      </c>
      <c r="C946" t="str">
        <f>IF(ISBLANK(Table4[[#This Row],[Region]]),Table4[[#This Row],[Node Type]],Table4[[#This Row],[Region]])</f>
        <v>Sc</v>
      </c>
      <c r="D946" t="s">
        <v>1950</v>
      </c>
      <c r="E946" t="str">
        <f>IF(ISERROR(SEARCH("Node",Table4[[#This Row],[Type]])),IF(ISERROR(SEARCH("Iliac",Table4[[#This Row],[Type]])),"",Table4[[#This Row],[Type]]),Table4[[#This Row],[Type]])</f>
        <v/>
      </c>
      <c r="J946" t="s">
        <v>1951</v>
      </c>
      <c r="L946" t="s">
        <v>77</v>
      </c>
    </row>
    <row r="947" spans="1:16" x14ac:dyDescent="0.25">
      <c r="A947" t="s">
        <v>1952</v>
      </c>
      <c r="B947" t="s">
        <v>77</v>
      </c>
      <c r="C947" t="str">
        <f>IF(ISBLANK(Table4[[#This Row],[Region]]),Table4[[#This Row],[Node Type]],Table4[[#This Row],[Region]])</f>
        <v>Sc</v>
      </c>
      <c r="D947" t="s">
        <v>1950</v>
      </c>
      <c r="E947" t="str">
        <f>IF(ISERROR(SEARCH("Node",Table4[[#This Row],[Type]])),IF(ISERROR(SEARCH("Iliac",Table4[[#This Row],[Type]])),"",Table4[[#This Row],[Type]]),Table4[[#This Row],[Type]])</f>
        <v/>
      </c>
      <c r="J947" t="s">
        <v>1951</v>
      </c>
      <c r="L947" t="s">
        <v>77</v>
      </c>
      <c r="P947" t="s">
        <v>1945</v>
      </c>
    </row>
    <row r="948" spans="1:16" x14ac:dyDescent="0.25">
      <c r="A948" t="s">
        <v>1953</v>
      </c>
      <c r="B948" t="s">
        <v>46</v>
      </c>
      <c r="C948" t="str">
        <f>IF(ISBLANK(Table4[[#This Row],[Region]]),Table4[[#This Row],[Node Type]],Table4[[#This Row],[Region]])</f>
        <v>Sc</v>
      </c>
      <c r="D948" t="s">
        <v>1950</v>
      </c>
      <c r="E948" t="str">
        <f>IF(ISERROR(SEARCH("Node",Table4[[#This Row],[Type]])),IF(ISERROR(SEARCH("Iliac",Table4[[#This Row],[Type]])),"",Table4[[#This Row],[Type]]),Table4[[#This Row],[Type]])</f>
        <v/>
      </c>
      <c r="J948" t="s">
        <v>1951</v>
      </c>
      <c r="L948" t="s">
        <v>46</v>
      </c>
    </row>
    <row r="949" spans="1:16" x14ac:dyDescent="0.25">
      <c r="A949" t="s">
        <v>1954</v>
      </c>
      <c r="B949" t="s">
        <v>48</v>
      </c>
      <c r="C949" t="str">
        <f>IF(ISBLANK(Table4[[#This Row],[Region]]),Table4[[#This Row],[Node Type]],Table4[[#This Row],[Region]])</f>
        <v/>
      </c>
      <c r="E949" t="str">
        <f>IF(ISERROR(SEARCH("Node",Table4[[#This Row],[Type]])),IF(ISERROR(SEARCH("Iliac",Table4[[#This Row],[Type]])),"",Table4[[#This Row],[Type]]),Table4[[#This Row],[Type]])</f>
        <v/>
      </c>
      <c r="J949" t="s">
        <v>1946</v>
      </c>
      <c r="L949" t="s">
        <v>46</v>
      </c>
    </row>
    <row r="950" spans="1:16" x14ac:dyDescent="0.25">
      <c r="A950" t="s">
        <v>1961</v>
      </c>
      <c r="B950" t="s">
        <v>77</v>
      </c>
      <c r="C950" t="str">
        <f>IF(ISBLANK(Table4[[#This Row],[Region]]),Table4[[#This Row],[Node Type]],Table4[[#This Row],[Region]])</f>
        <v/>
      </c>
      <c r="E950" t="str">
        <f>IF(ISERROR(SEARCH("Node",Table4[[#This Row],[Type]])),IF(ISERROR(SEARCH("Iliac",Table4[[#This Row],[Type]])),"",Table4[[#This Row],[Type]]),Table4[[#This Row],[Type]])</f>
        <v/>
      </c>
      <c r="J950" t="s">
        <v>1946</v>
      </c>
      <c r="L950" t="s">
        <v>77</v>
      </c>
      <c r="P950" t="s">
        <v>85</v>
      </c>
    </row>
    <row r="951" spans="1:16" x14ac:dyDescent="0.25">
      <c r="A951" t="s">
        <v>1962</v>
      </c>
      <c r="B951" t="s">
        <v>77</v>
      </c>
      <c r="C951" t="str">
        <f>IF(ISBLANK(Table4[[#This Row],[Region]]),Table4[[#This Row],[Node Type]],Table4[[#This Row],[Region]])</f>
        <v/>
      </c>
      <c r="E951" t="str">
        <f>IF(ISERROR(SEARCH("Node",Table4[[#This Row],[Type]])),IF(ISERROR(SEARCH("Iliac",Table4[[#This Row],[Type]])),"",Table4[[#This Row],[Type]]),Table4[[#This Row],[Type]])</f>
        <v/>
      </c>
      <c r="I951">
        <v>56</v>
      </c>
      <c r="L951" t="s">
        <v>77</v>
      </c>
      <c r="N951" t="s">
        <v>106</v>
      </c>
      <c r="P951" t="s">
        <v>85</v>
      </c>
    </row>
    <row r="952" spans="1:16" x14ac:dyDescent="0.25">
      <c r="A952" t="s">
        <v>1963</v>
      </c>
      <c r="B952" t="s">
        <v>77</v>
      </c>
      <c r="C952" t="str">
        <f>IF(ISBLANK(Table4[[#This Row],[Region]]),Table4[[#This Row],[Node Type]],Table4[[#This Row],[Region]])</f>
        <v/>
      </c>
      <c r="E952" t="str">
        <f>IF(ISERROR(SEARCH("Node",Table4[[#This Row],[Type]])),IF(ISERROR(SEARCH("Iliac",Table4[[#This Row],[Type]])),"",Table4[[#This Row],[Type]]),Table4[[#This Row],[Type]])</f>
        <v/>
      </c>
      <c r="I952">
        <v>56</v>
      </c>
      <c r="L952" t="s">
        <v>77</v>
      </c>
      <c r="N952" t="s">
        <v>108</v>
      </c>
      <c r="P952" t="s">
        <v>85</v>
      </c>
    </row>
    <row r="953" spans="1:16" x14ac:dyDescent="0.25">
      <c r="A953" t="s">
        <v>1964</v>
      </c>
      <c r="B953" t="s">
        <v>77</v>
      </c>
      <c r="C953" t="str">
        <f>IF(ISBLANK(Table4[[#This Row],[Region]]),Table4[[#This Row],[Node Type]],Table4[[#This Row],[Region]])</f>
        <v/>
      </c>
      <c r="E953" t="str">
        <f>IF(ISERROR(SEARCH("Node",Table4[[#This Row],[Type]])),IF(ISERROR(SEARCH("Iliac",Table4[[#This Row],[Type]])),"",Table4[[#This Row],[Type]]),Table4[[#This Row],[Type]])</f>
        <v/>
      </c>
      <c r="I953">
        <v>63</v>
      </c>
      <c r="L953" t="s">
        <v>77</v>
      </c>
      <c r="O953" t="s">
        <v>292</v>
      </c>
      <c r="P953" t="s">
        <v>85</v>
      </c>
    </row>
    <row r="954" spans="1:16" x14ac:dyDescent="0.25">
      <c r="A954" t="s">
        <v>1967</v>
      </c>
      <c r="B954" t="s">
        <v>77</v>
      </c>
      <c r="C954" t="str">
        <f>IF(ISBLANK(Table4[[#This Row],[Region]]),Table4[[#This Row],[Node Type]],Table4[[#This Row],[Region]])</f>
        <v/>
      </c>
      <c r="E954" t="str">
        <f>IF(ISERROR(SEARCH("Node",Table4[[#This Row],[Type]])),IF(ISERROR(SEARCH("Iliac",Table4[[#This Row],[Type]])),"",Table4[[#This Row],[Type]]),Table4[[#This Row],[Type]])</f>
        <v/>
      </c>
      <c r="I954">
        <v>63</v>
      </c>
      <c r="L954" t="s">
        <v>77</v>
      </c>
      <c r="P954" t="s">
        <v>85</v>
      </c>
    </row>
    <row r="955" spans="1:16" x14ac:dyDescent="0.25">
      <c r="A955" t="s">
        <v>1971</v>
      </c>
      <c r="B955" t="s">
        <v>77</v>
      </c>
      <c r="C955" t="str">
        <f>IF(ISBLANK(Table4[[#This Row],[Region]]),Table4[[#This Row],[Node Type]],Table4[[#This Row],[Region]])</f>
        <v/>
      </c>
      <c r="E955" t="str">
        <f>IF(ISERROR(SEARCH("Node",Table4[[#This Row],[Type]])),IF(ISERROR(SEARCH("Iliac",Table4[[#This Row],[Type]])),"",Table4[[#This Row],[Type]]),Table4[[#This Row],[Type]])</f>
        <v/>
      </c>
      <c r="J955" t="s">
        <v>1972</v>
      </c>
      <c r="L955" t="s">
        <v>77</v>
      </c>
    </row>
    <row r="956" spans="1:16" x14ac:dyDescent="0.25">
      <c r="A956" t="s">
        <v>1973</v>
      </c>
      <c r="B956" t="s">
        <v>77</v>
      </c>
      <c r="C956" t="str">
        <f>IF(ISBLANK(Table4[[#This Row],[Region]]),Table4[[#This Row],[Node Type]],Table4[[#This Row],[Region]])</f>
        <v/>
      </c>
      <c r="E956" t="str">
        <f>IF(ISERROR(SEARCH("Node",Table4[[#This Row],[Type]])),IF(ISERROR(SEARCH("Iliac",Table4[[#This Row],[Type]])),"",Table4[[#This Row],[Type]]),Table4[[#This Row],[Type]])</f>
        <v/>
      </c>
      <c r="I956">
        <v>45</v>
      </c>
      <c r="L956" t="s">
        <v>77</v>
      </c>
      <c r="O956" t="s">
        <v>292</v>
      </c>
      <c r="P956" t="s">
        <v>85</v>
      </c>
    </row>
    <row r="957" spans="1:16" x14ac:dyDescent="0.25">
      <c r="A957" t="s">
        <v>1974</v>
      </c>
      <c r="B957" t="s">
        <v>77</v>
      </c>
      <c r="C957" t="str">
        <f>IF(ISBLANK(Table4[[#This Row],[Region]]),Table4[[#This Row],[Node Type]],Table4[[#This Row],[Region]])</f>
        <v/>
      </c>
      <c r="E957" t="str">
        <f>IF(ISERROR(SEARCH("Node",Table4[[#This Row],[Type]])),IF(ISERROR(SEARCH("Iliac",Table4[[#This Row],[Type]])),"",Table4[[#This Row],[Type]]),Table4[[#This Row],[Type]])</f>
        <v/>
      </c>
      <c r="I957">
        <v>45</v>
      </c>
      <c r="L957" t="s">
        <v>77</v>
      </c>
      <c r="O957" t="s">
        <v>290</v>
      </c>
      <c r="P957" t="s">
        <v>85</v>
      </c>
    </row>
    <row r="958" spans="1:16" x14ac:dyDescent="0.25">
      <c r="A958" t="s">
        <v>1975</v>
      </c>
      <c r="B958" t="s">
        <v>77</v>
      </c>
      <c r="C958" t="str">
        <f>IF(ISBLANK(Table4[[#This Row],[Region]]),Table4[[#This Row],[Node Type]],Table4[[#This Row],[Region]])</f>
        <v/>
      </c>
      <c r="E958" t="str">
        <f>IF(ISERROR(SEARCH("Node",Table4[[#This Row],[Type]])),IF(ISERROR(SEARCH("Iliac",Table4[[#This Row],[Type]])),"",Table4[[#This Row],[Type]]),Table4[[#This Row],[Type]])</f>
        <v/>
      </c>
      <c r="I958">
        <v>5.4</v>
      </c>
      <c r="L958" t="s">
        <v>77</v>
      </c>
      <c r="O958" t="s">
        <v>292</v>
      </c>
      <c r="P958" t="s">
        <v>85</v>
      </c>
    </row>
    <row r="959" spans="1:16" x14ac:dyDescent="0.25">
      <c r="A959" t="s">
        <v>1420</v>
      </c>
      <c r="B959" t="s">
        <v>173</v>
      </c>
      <c r="C959" t="str">
        <f>IF(ISBLANK(Table4[[#This Row],[Region]]),Table4[[#This Row],[Node Type]],Table4[[#This Row],[Region]])</f>
        <v/>
      </c>
      <c r="E959" t="str">
        <f>IF(ISERROR(SEARCH("Node",Table4[[#This Row],[Type]])),IF(ISERROR(SEARCH("Iliac",Table4[[#This Row],[Type]])),"",Table4[[#This Row],[Type]]),Table4[[#This Row],[Type]])</f>
        <v/>
      </c>
      <c r="I959">
        <v>50.4</v>
      </c>
      <c r="L959" t="s">
        <v>46</v>
      </c>
    </row>
    <row r="960" spans="1:16" x14ac:dyDescent="0.25">
      <c r="A960" t="s">
        <v>1976</v>
      </c>
      <c r="B960" t="s">
        <v>77</v>
      </c>
      <c r="C960" t="str">
        <f>IF(ISBLANK(Table4[[#This Row],[Region]]),Table4[[#This Row],[Node Type]],Table4[[#This Row],[Region]])</f>
        <v/>
      </c>
      <c r="E960" t="str">
        <f>IF(ISERROR(SEARCH("Node",Table4[[#This Row],[Type]])),IF(ISERROR(SEARCH("Iliac",Table4[[#This Row],[Type]])),"",Table4[[#This Row],[Type]]),Table4[[#This Row],[Type]])</f>
        <v/>
      </c>
      <c r="I960">
        <v>5.4</v>
      </c>
      <c r="L960" t="s">
        <v>77</v>
      </c>
      <c r="P960" t="s">
        <v>85</v>
      </c>
    </row>
    <row r="961" spans="1:16" x14ac:dyDescent="0.25">
      <c r="A961" t="s">
        <v>1979</v>
      </c>
      <c r="B961" t="s">
        <v>77</v>
      </c>
      <c r="C961" t="str">
        <f>IF(ISBLANK(Table4[[#This Row],[Region]]),Table4[[#This Row],[Node Type]],Table4[[#This Row],[Region]])</f>
        <v/>
      </c>
      <c r="E961" t="str">
        <f>IF(ISERROR(SEARCH("Node",Table4[[#This Row],[Type]])),IF(ISERROR(SEARCH("Iliac",Table4[[#This Row],[Type]])),"",Table4[[#This Row],[Type]]),Table4[[#This Row],[Type]])</f>
        <v/>
      </c>
      <c r="I961">
        <v>5.4</v>
      </c>
      <c r="L961" t="s">
        <v>77</v>
      </c>
      <c r="O961" t="s">
        <v>290</v>
      </c>
      <c r="P961" t="s">
        <v>85</v>
      </c>
    </row>
    <row r="962" spans="1:16" x14ac:dyDescent="0.25">
      <c r="A962" t="s">
        <v>1980</v>
      </c>
      <c r="B962" t="s">
        <v>173</v>
      </c>
      <c r="C962" t="str">
        <f>IF(ISBLANK(Table4[[#This Row],[Region]]),Table4[[#This Row],[Node Type]],Table4[[#This Row],[Region]])</f>
        <v/>
      </c>
      <c r="E962" t="str">
        <f>IF(ISERROR(SEARCH("Node",Table4[[#This Row],[Type]])),IF(ISERROR(SEARCH("Iliac",Table4[[#This Row],[Type]])),"",Table4[[#This Row],[Type]]),Table4[[#This Row],[Type]])</f>
        <v/>
      </c>
      <c r="I962">
        <v>50.4</v>
      </c>
      <c r="L962" t="s">
        <v>77</v>
      </c>
    </row>
    <row r="963" spans="1:16" x14ac:dyDescent="0.25">
      <c r="A963" t="s">
        <v>1981</v>
      </c>
      <c r="B963" t="s">
        <v>77</v>
      </c>
      <c r="C963" t="str">
        <f>IF(ISBLANK(Table4[[#This Row],[Region]]),Table4[[#This Row],[Node Type]],Table4[[#This Row],[Region]])</f>
        <v/>
      </c>
      <c r="E963" t="str">
        <f>IF(ISERROR(SEARCH("Node",Table4[[#This Row],[Type]])),IF(ISERROR(SEARCH("Iliac",Table4[[#This Row],[Type]])),"",Table4[[#This Row],[Type]]),Table4[[#This Row],[Type]])</f>
        <v/>
      </c>
      <c r="J963" t="s">
        <v>83</v>
      </c>
      <c r="L963" t="s">
        <v>77</v>
      </c>
      <c r="M963" t="s">
        <v>79</v>
      </c>
    </row>
    <row r="964" spans="1:16" x14ac:dyDescent="0.25">
      <c r="A964" t="s">
        <v>1982</v>
      </c>
      <c r="B964" t="s">
        <v>46</v>
      </c>
      <c r="C964" t="str">
        <f>IF(ISBLANK(Table4[[#This Row],[Region]]),Table4[[#This Row],[Node Type]],Table4[[#This Row],[Region]])</f>
        <v/>
      </c>
      <c r="E964" t="str">
        <f>IF(ISERROR(SEARCH("Node",Table4[[#This Row],[Type]])),IF(ISERROR(SEARCH("Iliac",Table4[[#This Row],[Type]])),"",Table4[[#This Row],[Type]]),Table4[[#This Row],[Type]])</f>
        <v/>
      </c>
      <c r="I964">
        <v>56</v>
      </c>
      <c r="L964" t="s">
        <v>46</v>
      </c>
      <c r="N964" t="s">
        <v>106</v>
      </c>
    </row>
    <row r="965" spans="1:16" x14ac:dyDescent="0.25">
      <c r="A965" t="s">
        <v>1983</v>
      </c>
      <c r="B965" t="s">
        <v>46</v>
      </c>
      <c r="C965" t="str">
        <f>IF(ISBLANK(Table4[[#This Row],[Region]]),Table4[[#This Row],[Node Type]],Table4[[#This Row],[Region]])</f>
        <v/>
      </c>
      <c r="E965" t="str">
        <f>IF(ISERROR(SEARCH("Node",Table4[[#This Row],[Type]])),IF(ISERROR(SEARCH("Iliac",Table4[[#This Row],[Type]])),"",Table4[[#This Row],[Type]]),Table4[[#This Row],[Type]])</f>
        <v/>
      </c>
      <c r="I965">
        <v>70</v>
      </c>
      <c r="J965" t="s">
        <v>1380</v>
      </c>
      <c r="L965" t="s">
        <v>46</v>
      </c>
    </row>
    <row r="966" spans="1:16" x14ac:dyDescent="0.25">
      <c r="A966" t="s">
        <v>1984</v>
      </c>
      <c r="B966" t="s">
        <v>77</v>
      </c>
      <c r="C966" t="str">
        <f>IF(ISBLANK(Table4[[#This Row],[Region]]),Table4[[#This Row],[Node Type]],Table4[[#This Row],[Region]])</f>
        <v/>
      </c>
      <c r="E966" t="str">
        <f>IF(ISERROR(SEARCH("Node",Table4[[#This Row],[Type]])),IF(ISERROR(SEARCH("Iliac",Table4[[#This Row],[Type]])),"",Table4[[#This Row],[Type]]),Table4[[#This Row],[Type]])</f>
        <v/>
      </c>
      <c r="I966">
        <v>56</v>
      </c>
      <c r="L966" t="s">
        <v>77</v>
      </c>
      <c r="N966" t="s">
        <v>106</v>
      </c>
    </row>
    <row r="967" spans="1:16" x14ac:dyDescent="0.25">
      <c r="A967" t="s">
        <v>1985</v>
      </c>
      <c r="B967" t="s">
        <v>77</v>
      </c>
      <c r="C967" t="str">
        <f>IF(ISBLANK(Table4[[#This Row],[Region]]),Table4[[#This Row],[Node Type]],Table4[[#This Row],[Region]])</f>
        <v/>
      </c>
      <c r="E967" t="str">
        <f>IF(ISERROR(SEARCH("Node",Table4[[#This Row],[Type]])),IF(ISERROR(SEARCH("Iliac",Table4[[#This Row],[Type]])),"",Table4[[#This Row],[Type]]),Table4[[#This Row],[Type]])</f>
        <v/>
      </c>
      <c r="I967">
        <v>70</v>
      </c>
      <c r="J967" t="s">
        <v>1380</v>
      </c>
      <c r="L967" t="s">
        <v>77</v>
      </c>
    </row>
    <row r="968" spans="1:16" x14ac:dyDescent="0.25">
      <c r="A968" t="s">
        <v>1991</v>
      </c>
      <c r="B968" t="s">
        <v>77</v>
      </c>
      <c r="C968" t="str">
        <f>IF(ISBLANK(Table4[[#This Row],[Region]]),Table4[[#This Row],[Node Type]],Table4[[#This Row],[Region]])</f>
        <v/>
      </c>
      <c r="E968" t="str">
        <f>IF(ISERROR(SEARCH("Node",Table4[[#This Row],[Type]])),IF(ISERROR(SEARCH("Iliac",Table4[[#This Row],[Type]])),"",Table4[[#This Row],[Type]]),Table4[[#This Row],[Type]])</f>
        <v/>
      </c>
      <c r="I968">
        <v>52.5</v>
      </c>
      <c r="L968" t="s">
        <v>77</v>
      </c>
    </row>
    <row r="969" spans="1:16" x14ac:dyDescent="0.25">
      <c r="A969" t="s">
        <v>1992</v>
      </c>
      <c r="B969" t="s">
        <v>46</v>
      </c>
      <c r="C969" t="str">
        <f>IF(ISBLANK(Table4[[#This Row],[Region]]),Table4[[#This Row],[Node Type]],Table4[[#This Row],[Region]])</f>
        <v/>
      </c>
      <c r="E969" t="str">
        <f>IF(ISERROR(SEARCH("Node",Table4[[#This Row],[Type]])),IF(ISERROR(SEARCH("Iliac",Table4[[#This Row],[Type]])),"",Table4[[#This Row],[Type]]),Table4[[#This Row],[Type]])</f>
        <v/>
      </c>
      <c r="I969">
        <v>52.5</v>
      </c>
      <c r="L969" t="s">
        <v>46</v>
      </c>
    </row>
    <row r="970" spans="1:16" x14ac:dyDescent="0.25">
      <c r="A970" t="s">
        <v>1993</v>
      </c>
      <c r="B970" t="s">
        <v>20</v>
      </c>
      <c r="C970" t="str">
        <f>IF(ISBLANK(Table4[[#This Row],[Region]]),Table4[[#This Row],[Node Type]],Table4[[#This Row],[Region]])</f>
        <v/>
      </c>
      <c r="E970" t="str">
        <f>IF(ISERROR(SEARCH("Node",Table4[[#This Row],[Type]])),IF(ISERROR(SEARCH("Iliac",Table4[[#This Row],[Type]])),"",Table4[[#This Row],[Type]]),Table4[[#This Row],[Type]])</f>
        <v/>
      </c>
      <c r="H970">
        <v>1</v>
      </c>
      <c r="J970" t="s">
        <v>1994</v>
      </c>
      <c r="L970" t="s">
        <v>20</v>
      </c>
    </row>
    <row r="971" spans="1:16" x14ac:dyDescent="0.25">
      <c r="A971" t="s">
        <v>1995</v>
      </c>
      <c r="B971" t="s">
        <v>77</v>
      </c>
      <c r="C971" t="str">
        <f>IF(ISBLANK(Table4[[#This Row],[Region]]),Table4[[#This Row],[Node Type]],Table4[[#This Row],[Region]])</f>
        <v/>
      </c>
      <c r="E971" t="str">
        <f>IF(ISERROR(SEARCH("Node",Table4[[#This Row],[Type]])),IF(ISERROR(SEARCH("Iliac",Table4[[#This Row],[Type]])),"",Table4[[#This Row],[Type]]),Table4[[#This Row],[Type]])</f>
        <v/>
      </c>
      <c r="H971">
        <v>1</v>
      </c>
      <c r="J971" t="s">
        <v>1994</v>
      </c>
      <c r="L971" t="s">
        <v>77</v>
      </c>
    </row>
    <row r="972" spans="1:16" x14ac:dyDescent="0.25">
      <c r="A972" t="s">
        <v>1996</v>
      </c>
      <c r="B972" t="s">
        <v>77</v>
      </c>
      <c r="C972" t="str">
        <f>IF(ISBLANK(Table4[[#This Row],[Region]]),Table4[[#This Row],[Node Type]],Table4[[#This Row],[Region]])</f>
        <v/>
      </c>
      <c r="E972" t="str">
        <f>IF(ISERROR(SEARCH("Node",Table4[[#This Row],[Type]])),IF(ISERROR(SEARCH("Iliac",Table4[[#This Row],[Type]])),"",Table4[[#This Row],[Type]]),Table4[[#This Row],[Type]])</f>
        <v/>
      </c>
      <c r="J972" t="s">
        <v>1161</v>
      </c>
      <c r="K972" t="s">
        <v>350</v>
      </c>
      <c r="L972" t="s">
        <v>77</v>
      </c>
    </row>
    <row r="973" spans="1:16" x14ac:dyDescent="0.25">
      <c r="A973" t="s">
        <v>1997</v>
      </c>
      <c r="B973" t="s">
        <v>46</v>
      </c>
      <c r="C973" t="str">
        <f>IF(ISBLANK(Table4[[#This Row],[Region]]),Table4[[#This Row],[Node Type]],Table4[[#This Row],[Region]])</f>
        <v/>
      </c>
      <c r="E973" t="str">
        <f>IF(ISERROR(SEARCH("Node",Table4[[#This Row],[Type]])),IF(ISERROR(SEARCH("Iliac",Table4[[#This Row],[Type]])),"",Table4[[#This Row],[Type]]),Table4[[#This Row],[Type]])</f>
        <v/>
      </c>
      <c r="J973" t="s">
        <v>1998</v>
      </c>
      <c r="L973" t="s">
        <v>45</v>
      </c>
    </row>
    <row r="974" spans="1:16" x14ac:dyDescent="0.25">
      <c r="A974" t="s">
        <v>1999</v>
      </c>
      <c r="B974" t="s">
        <v>46</v>
      </c>
      <c r="C974" t="str">
        <f>IF(ISBLANK(Table4[[#This Row],[Region]]),Table4[[#This Row],[Node Type]],Table4[[#This Row],[Region]])</f>
        <v/>
      </c>
      <c r="E974" t="str">
        <f>IF(ISERROR(SEARCH("Node",Table4[[#This Row],[Type]])),IF(ISERROR(SEARCH("Iliac",Table4[[#This Row],[Type]])),"",Table4[[#This Row],[Type]]),Table4[[#This Row],[Type]])</f>
        <v/>
      </c>
      <c r="H974">
        <v>2</v>
      </c>
      <c r="L974" t="s">
        <v>45</v>
      </c>
    </row>
    <row r="975" spans="1:16" x14ac:dyDescent="0.25">
      <c r="A975" t="s">
        <v>2000</v>
      </c>
      <c r="B975" t="s">
        <v>46</v>
      </c>
      <c r="C975" t="str">
        <f>IF(ISBLANK(Table4[[#This Row],[Region]]),Table4[[#This Row],[Node Type]],Table4[[#This Row],[Region]])</f>
        <v/>
      </c>
      <c r="E975" t="str">
        <f>IF(ISERROR(SEARCH("Node",Table4[[#This Row],[Type]])),IF(ISERROR(SEARCH("Iliac",Table4[[#This Row],[Type]])),"",Table4[[#This Row],[Type]]),Table4[[#This Row],[Type]])</f>
        <v/>
      </c>
      <c r="H975">
        <v>3</v>
      </c>
      <c r="L975" t="s">
        <v>45</v>
      </c>
    </row>
    <row r="976" spans="1:16" x14ac:dyDescent="0.25">
      <c r="A976" t="s">
        <v>2001</v>
      </c>
      <c r="B976" t="s">
        <v>77</v>
      </c>
      <c r="C976" t="str">
        <f>IF(ISBLANK(Table4[[#This Row],[Region]]),Table4[[#This Row],[Node Type]],Table4[[#This Row],[Region]])</f>
        <v/>
      </c>
      <c r="E976" t="str">
        <f>IF(ISERROR(SEARCH("Node",Table4[[#This Row],[Type]])),IF(ISERROR(SEARCH("Iliac",Table4[[#This Row],[Type]])),"",Table4[[#This Row],[Type]]),Table4[[#This Row],[Type]])</f>
        <v/>
      </c>
      <c r="I976">
        <v>60</v>
      </c>
      <c r="L976" t="s">
        <v>77</v>
      </c>
      <c r="N976" t="s">
        <v>108</v>
      </c>
      <c r="P976" t="s">
        <v>83</v>
      </c>
    </row>
    <row r="977" spans="1:16" x14ac:dyDescent="0.25">
      <c r="A977" t="s">
        <v>2002</v>
      </c>
      <c r="B977" t="s">
        <v>77</v>
      </c>
      <c r="C977" t="str">
        <f>IF(ISBLANK(Table4[[#This Row],[Region]]),Table4[[#This Row],[Node Type]],Table4[[#This Row],[Region]])</f>
        <v/>
      </c>
      <c r="E977" t="str">
        <f>IF(ISERROR(SEARCH("Node",Table4[[#This Row],[Type]])),IF(ISERROR(SEARCH("Iliac",Table4[[#This Row],[Type]])),"",Table4[[#This Row],[Type]]),Table4[[#This Row],[Type]])</f>
        <v/>
      </c>
      <c r="I977">
        <v>60</v>
      </c>
      <c r="J977" t="s">
        <v>2003</v>
      </c>
      <c r="L977" t="s">
        <v>77</v>
      </c>
      <c r="O977" t="s">
        <v>294</v>
      </c>
    </row>
    <row r="978" spans="1:16" x14ac:dyDescent="0.25">
      <c r="A978" t="s">
        <v>2004</v>
      </c>
      <c r="B978" t="s">
        <v>77</v>
      </c>
      <c r="C978" t="str">
        <f>IF(ISBLANK(Table4[[#This Row],[Region]]),Table4[[#This Row],[Node Type]],Table4[[#This Row],[Region]])</f>
        <v/>
      </c>
      <c r="E978" t="str">
        <f>IF(ISERROR(SEARCH("Node",Table4[[#This Row],[Type]])),IF(ISERROR(SEARCH("Iliac",Table4[[#This Row],[Type]])),"",Table4[[#This Row],[Type]]),Table4[[#This Row],[Type]])</f>
        <v/>
      </c>
      <c r="L978" t="s">
        <v>77</v>
      </c>
      <c r="P978" t="s">
        <v>85</v>
      </c>
    </row>
    <row r="979" spans="1:16" x14ac:dyDescent="0.25">
      <c r="A979" t="s">
        <v>2005</v>
      </c>
      <c r="B979" t="s">
        <v>46</v>
      </c>
      <c r="C979" t="str">
        <f>IF(ISBLANK(Table4[[#This Row],[Region]]),Table4[[#This Row],[Node Type]],Table4[[#This Row],[Region]])</f>
        <v/>
      </c>
      <c r="E979" t="str">
        <f>IF(ISERROR(SEARCH("Node",Table4[[#This Row],[Type]])),IF(ISERROR(SEARCH("Iliac",Table4[[#This Row],[Type]])),"",Table4[[#This Row],[Type]]),Table4[[#This Row],[Type]])</f>
        <v/>
      </c>
      <c r="L979" t="s">
        <v>46</v>
      </c>
      <c r="P979" t="s">
        <v>83</v>
      </c>
    </row>
    <row r="980" spans="1:16" x14ac:dyDescent="0.25">
      <c r="A980" t="s">
        <v>2006</v>
      </c>
      <c r="B980" t="s">
        <v>20</v>
      </c>
      <c r="C980" t="str">
        <f>IF(ISBLANK(Table4[[#This Row],[Region]]),Table4[[#This Row],[Node Type]],Table4[[#This Row],[Region]])</f>
        <v/>
      </c>
      <c r="E980" t="str">
        <f>IF(ISERROR(SEARCH("Node",Table4[[#This Row],[Type]])),IF(ISERROR(SEARCH("Iliac",Table4[[#This Row],[Type]])),"",Table4[[#This Row],[Type]]),Table4[[#This Row],[Type]])</f>
        <v/>
      </c>
      <c r="F980" t="s">
        <v>2007</v>
      </c>
      <c r="L980" t="s">
        <v>20</v>
      </c>
    </row>
    <row r="981" spans="1:16" x14ac:dyDescent="0.25">
      <c r="A981" t="s">
        <v>2013</v>
      </c>
      <c r="B981" t="s">
        <v>173</v>
      </c>
      <c r="C981" t="str">
        <f>IF(ISBLANK(Table4[[#This Row],[Region]]),Table4[[#This Row],[Node Type]],Table4[[#This Row],[Region]])</f>
        <v/>
      </c>
      <c r="E981" t="str">
        <f>IF(ISERROR(SEARCH("Node",Table4[[#This Row],[Type]])),IF(ISERROR(SEARCH("Iliac",Table4[[#This Row],[Type]])),"",Table4[[#This Row],[Type]]),Table4[[#This Row],[Type]])</f>
        <v/>
      </c>
      <c r="L981" t="s">
        <v>77</v>
      </c>
      <c r="M981" t="s">
        <v>858</v>
      </c>
    </row>
    <row r="982" spans="1:16" x14ac:dyDescent="0.25">
      <c r="A982" t="s">
        <v>2014</v>
      </c>
      <c r="B982" t="s">
        <v>173</v>
      </c>
      <c r="C982" t="str">
        <f>IF(ISBLANK(Table4[[#This Row],[Region]]),Table4[[#This Row],[Node Type]],Table4[[#This Row],[Region]])</f>
        <v/>
      </c>
      <c r="E982" t="str">
        <f>IF(ISERROR(SEARCH("Node",Table4[[#This Row],[Type]])),IF(ISERROR(SEARCH("Iliac",Table4[[#This Row],[Type]])),"",Table4[[#This Row],[Type]]),Table4[[#This Row],[Type]])</f>
        <v/>
      </c>
      <c r="J982" t="s">
        <v>2015</v>
      </c>
      <c r="L982" t="s">
        <v>77</v>
      </c>
      <c r="M982" t="s">
        <v>858</v>
      </c>
    </row>
    <row r="983" spans="1:16" x14ac:dyDescent="0.25">
      <c r="A983" t="s">
        <v>2016</v>
      </c>
      <c r="B983" t="s">
        <v>173</v>
      </c>
      <c r="C983" t="str">
        <f>IF(ISBLANK(Table4[[#This Row],[Region]]),Table4[[#This Row],[Node Type]],Table4[[#This Row],[Region]])</f>
        <v/>
      </c>
      <c r="E983" t="str">
        <f>IF(ISERROR(SEARCH("Node",Table4[[#This Row],[Type]])),IF(ISERROR(SEARCH("Iliac",Table4[[#This Row],[Type]])),"",Table4[[#This Row],[Type]]),Table4[[#This Row],[Type]])</f>
        <v/>
      </c>
      <c r="J983" t="s">
        <v>2015</v>
      </c>
      <c r="L983" t="s">
        <v>46</v>
      </c>
      <c r="M983" t="s">
        <v>858</v>
      </c>
    </row>
    <row r="984" spans="1:16" x14ac:dyDescent="0.25">
      <c r="A984" t="s">
        <v>2017</v>
      </c>
      <c r="B984" t="s">
        <v>77</v>
      </c>
      <c r="C984" t="str">
        <f>IF(ISBLANK(Table4[[#This Row],[Region]]),Table4[[#This Row],[Node Type]],Table4[[#This Row],[Region]])</f>
        <v/>
      </c>
      <c r="E984" t="str">
        <f>IF(ISERROR(SEARCH("Node",Table4[[#This Row],[Type]])),IF(ISERROR(SEARCH("Iliac",Table4[[#This Row],[Type]])),"",Table4[[#This Row],[Type]]),Table4[[#This Row],[Type]])</f>
        <v/>
      </c>
      <c r="J984" t="s">
        <v>1380</v>
      </c>
      <c r="L984" t="s">
        <v>77</v>
      </c>
    </row>
    <row r="985" spans="1:16" x14ac:dyDescent="0.25">
      <c r="A985" t="s">
        <v>2018</v>
      </c>
      <c r="B985" t="s">
        <v>46</v>
      </c>
      <c r="C985" t="str">
        <f>IF(ISBLANK(Table4[[#This Row],[Region]]),Table4[[#This Row],[Node Type]],Table4[[#This Row],[Region]])</f>
        <v/>
      </c>
      <c r="E985" t="str">
        <f>IF(ISERROR(SEARCH("Node",Table4[[#This Row],[Type]])),IF(ISERROR(SEARCH("Iliac",Table4[[#This Row],[Type]])),"",Table4[[#This Row],[Type]]),Table4[[#This Row],[Type]])</f>
        <v/>
      </c>
      <c r="J985" t="s">
        <v>1380</v>
      </c>
      <c r="L985" t="s">
        <v>46</v>
      </c>
    </row>
    <row r="986" spans="1:16" x14ac:dyDescent="0.25">
      <c r="A986" t="s">
        <v>2022</v>
      </c>
      <c r="B986" t="s">
        <v>173</v>
      </c>
      <c r="C986" t="str">
        <f>IF(ISBLANK(Table4[[#This Row],[Region]]),Table4[[#This Row],[Node Type]],Table4[[#This Row],[Region]])</f>
        <v/>
      </c>
      <c r="E986" t="str">
        <f>IF(ISERROR(SEARCH("Node",Table4[[#This Row],[Type]])),IF(ISERROR(SEARCH("Iliac",Table4[[#This Row],[Type]])),"",Table4[[#This Row],[Type]]),Table4[[#This Row],[Type]])</f>
        <v/>
      </c>
      <c r="J986" t="s">
        <v>83</v>
      </c>
      <c r="L986" t="s">
        <v>77</v>
      </c>
    </row>
    <row r="987" spans="1:16" x14ac:dyDescent="0.25">
      <c r="A987" t="s">
        <v>2023</v>
      </c>
      <c r="B987" t="s">
        <v>77</v>
      </c>
      <c r="C987" t="str">
        <f>IF(ISBLANK(Table4[[#This Row],[Region]]),Table4[[#This Row],[Node Type]],Table4[[#This Row],[Region]])</f>
        <v/>
      </c>
      <c r="E987" t="str">
        <f>IF(ISERROR(SEARCH("Node",Table4[[#This Row],[Type]])),IF(ISERROR(SEARCH("Iliac",Table4[[#This Row],[Type]])),"",Table4[[#This Row],[Type]]),Table4[[#This Row],[Type]])</f>
        <v/>
      </c>
      <c r="I987">
        <v>60</v>
      </c>
      <c r="L987" t="s">
        <v>77</v>
      </c>
    </row>
    <row r="988" spans="1:16" x14ac:dyDescent="0.25">
      <c r="A988" t="s">
        <v>2025</v>
      </c>
      <c r="B988" t="s">
        <v>20</v>
      </c>
      <c r="C988" t="str">
        <f>IF(ISBLANK(Table4[[#This Row],[Region]]),Table4[[#This Row],[Node Type]],Table4[[#This Row],[Region]])</f>
        <v/>
      </c>
      <c r="E988" t="str">
        <f>IF(ISERROR(SEARCH("Node",Table4[[#This Row],[Type]])),IF(ISERROR(SEARCH("Iliac",Table4[[#This Row],[Type]])),"",Table4[[#This Row],[Type]]),Table4[[#This Row],[Type]])</f>
        <v/>
      </c>
      <c r="I988">
        <v>60</v>
      </c>
      <c r="L988" t="s">
        <v>44</v>
      </c>
    </row>
    <row r="989" spans="1:16" x14ac:dyDescent="0.25">
      <c r="A989" t="s">
        <v>2026</v>
      </c>
      <c r="B989" t="s">
        <v>46</v>
      </c>
      <c r="C989" t="str">
        <f>IF(ISBLANK(Table4[[#This Row],[Region]]),Table4[[#This Row],[Node Type]],Table4[[#This Row],[Region]])</f>
        <v/>
      </c>
      <c r="E989" t="str">
        <f>IF(ISERROR(SEARCH("Node",Table4[[#This Row],[Type]])),IF(ISERROR(SEARCH("Iliac",Table4[[#This Row],[Type]])),"",Table4[[#This Row],[Type]]),Table4[[#This Row],[Type]])</f>
        <v/>
      </c>
      <c r="I989">
        <v>50</v>
      </c>
      <c r="L989" t="s">
        <v>45</v>
      </c>
      <c r="P989" t="s">
        <v>1159</v>
      </c>
    </row>
    <row r="990" spans="1:16" x14ac:dyDescent="0.25">
      <c r="A990" t="s">
        <v>2027</v>
      </c>
      <c r="B990" t="s">
        <v>46</v>
      </c>
      <c r="C990" t="str">
        <f>IF(ISBLANK(Table4[[#This Row],[Region]]),Table4[[#This Row],[Node Type]],Table4[[#This Row],[Region]])</f>
        <v/>
      </c>
      <c r="E990" t="str">
        <f>IF(ISERROR(SEARCH("Node",Table4[[#This Row],[Type]])),IF(ISERROR(SEARCH("Iliac",Table4[[#This Row],[Type]])),"",Table4[[#This Row],[Type]]),Table4[[#This Row],[Type]])</f>
        <v/>
      </c>
      <c r="I990">
        <v>60</v>
      </c>
      <c r="L990" t="s">
        <v>45</v>
      </c>
      <c r="P990" t="s">
        <v>1159</v>
      </c>
    </row>
    <row r="991" spans="1:16" x14ac:dyDescent="0.25">
      <c r="A991" t="s">
        <v>2029</v>
      </c>
      <c r="B991" t="s">
        <v>16</v>
      </c>
      <c r="C991" t="str">
        <f>IF(ISBLANK(Table4[[#This Row],[Region]]),Table4[[#This Row],[Node Type]],Table4[[#This Row],[Region]])</f>
        <v/>
      </c>
      <c r="E991" t="str">
        <f>IF(ISERROR(SEARCH("Node",Table4[[#This Row],[Type]])),IF(ISERROR(SEARCH("Iliac",Table4[[#This Row],[Type]])),"",Table4[[#This Row],[Type]]),Table4[[#This Row],[Type]])</f>
        <v/>
      </c>
      <c r="J991" t="s">
        <v>859</v>
      </c>
      <c r="L991" t="s">
        <v>46</v>
      </c>
      <c r="M991" t="s">
        <v>858</v>
      </c>
    </row>
    <row r="992" spans="1:16" x14ac:dyDescent="0.25">
      <c r="A992" t="s">
        <v>2031</v>
      </c>
      <c r="B992" t="s">
        <v>173</v>
      </c>
      <c r="C992" t="str">
        <f>IF(ISBLANK(Table4[[#This Row],[Region]]),Table4[[#This Row],[Node Type]],Table4[[#This Row],[Region]])</f>
        <v/>
      </c>
      <c r="E992" t="str">
        <f>IF(ISERROR(SEARCH("Node",Table4[[#This Row],[Type]])),IF(ISERROR(SEARCH("Iliac",Table4[[#This Row],[Type]])),"",Table4[[#This Row],[Type]]),Table4[[#This Row],[Type]])</f>
        <v/>
      </c>
      <c r="J992" t="s">
        <v>859</v>
      </c>
      <c r="L992" t="s">
        <v>77</v>
      </c>
      <c r="M992" t="s">
        <v>858</v>
      </c>
    </row>
    <row r="993" spans="1:16" x14ac:dyDescent="0.25">
      <c r="A993" t="s">
        <v>389</v>
      </c>
      <c r="B993" t="s">
        <v>173</v>
      </c>
      <c r="C993" t="str">
        <f>IF(ISBLANK(Table4[[#This Row],[Region]]),Table4[[#This Row],[Node Type]],Table4[[#This Row],[Region]])</f>
        <v/>
      </c>
      <c r="E993" t="str">
        <f>IF(ISERROR(SEARCH("Node",Table4[[#This Row],[Type]])),IF(ISERROR(SEARCH("Iliac",Table4[[#This Row],[Type]])),"",Table4[[#This Row],[Type]]),Table4[[#This Row],[Type]])</f>
        <v/>
      </c>
      <c r="I993">
        <v>48</v>
      </c>
      <c r="L993" t="s">
        <v>46</v>
      </c>
    </row>
    <row r="994" spans="1:16" x14ac:dyDescent="0.25">
      <c r="A994" t="s">
        <v>391</v>
      </c>
      <c r="B994" t="s">
        <v>173</v>
      </c>
      <c r="C994" t="str">
        <f>IF(ISBLANK(Table4[[#This Row],[Region]]),Table4[[#This Row],[Node Type]],Table4[[#This Row],[Region]])</f>
        <v/>
      </c>
      <c r="E994" t="str">
        <f>IF(ISERROR(SEARCH("Node",Table4[[#This Row],[Type]])),IF(ISERROR(SEARCH("Iliac",Table4[[#This Row],[Type]])),"",Table4[[#This Row],[Type]]),Table4[[#This Row],[Type]])</f>
        <v/>
      </c>
      <c r="I994">
        <v>48</v>
      </c>
      <c r="L994" t="s">
        <v>77</v>
      </c>
    </row>
    <row r="995" spans="1:16" x14ac:dyDescent="0.25">
      <c r="A995" t="s">
        <v>2034</v>
      </c>
      <c r="B995" t="s">
        <v>46</v>
      </c>
      <c r="C995" t="str">
        <f>IF(ISBLANK(Table4[[#This Row],[Region]]),Table4[[#This Row],[Node Type]],Table4[[#This Row],[Region]])</f>
        <v/>
      </c>
      <c r="E995" t="str">
        <f>IF(ISERROR(SEARCH("Node",Table4[[#This Row],[Type]])),IF(ISERROR(SEARCH("Iliac",Table4[[#This Row],[Type]])),"",Table4[[#This Row],[Type]]),Table4[[#This Row],[Type]])</f>
        <v/>
      </c>
      <c r="H995">
        <v>1</v>
      </c>
      <c r="I995">
        <v>21</v>
      </c>
      <c r="L995" t="s">
        <v>46</v>
      </c>
    </row>
    <row r="996" spans="1:16" x14ac:dyDescent="0.25">
      <c r="A996" t="s">
        <v>2035</v>
      </c>
      <c r="B996" t="s">
        <v>20</v>
      </c>
      <c r="C996" t="str">
        <f>IF(ISBLANK(Table4[[#This Row],[Region]]),Table4[[#This Row],[Node Type]],Table4[[#This Row],[Region]])</f>
        <v/>
      </c>
      <c r="E996" t="str">
        <f>IF(ISERROR(SEARCH("Node",Table4[[#This Row],[Type]])),IF(ISERROR(SEARCH("Iliac",Table4[[#This Row],[Type]])),"",Table4[[#This Row],[Type]]),Table4[[#This Row],[Type]])</f>
        <v/>
      </c>
      <c r="H996">
        <v>1</v>
      </c>
      <c r="I996">
        <v>21</v>
      </c>
      <c r="L996" t="s">
        <v>20</v>
      </c>
    </row>
    <row r="997" spans="1:16" x14ac:dyDescent="0.25">
      <c r="A997" t="s">
        <v>2036</v>
      </c>
      <c r="B997" t="s">
        <v>46</v>
      </c>
      <c r="C997" t="str">
        <f>IF(ISBLANK(Table4[[#This Row],[Region]]),Table4[[#This Row],[Node Type]],Table4[[#This Row],[Region]])</f>
        <v/>
      </c>
      <c r="E997" t="str">
        <f>IF(ISERROR(SEARCH("Node",Table4[[#This Row],[Type]])),IF(ISERROR(SEARCH("Iliac",Table4[[#This Row],[Type]])),"",Table4[[#This Row],[Type]]),Table4[[#This Row],[Type]])</f>
        <v/>
      </c>
      <c r="H997">
        <v>2</v>
      </c>
      <c r="I997">
        <v>24</v>
      </c>
      <c r="L997" t="s">
        <v>46</v>
      </c>
    </row>
    <row r="998" spans="1:16" x14ac:dyDescent="0.25">
      <c r="A998" t="s">
        <v>877</v>
      </c>
      <c r="B998" t="s">
        <v>87</v>
      </c>
      <c r="C998" t="str">
        <f>IF(ISBLANK(Table4[[#This Row],[Region]]),Table4[[#This Row],[Node Type]],Table4[[#This Row],[Region]])</f>
        <v/>
      </c>
      <c r="E998" t="str">
        <f>IF(ISERROR(SEARCH("Node",Table4[[#This Row],[Type]])),IF(ISERROR(SEARCH("Iliac",Table4[[#This Row],[Type]])),"",Table4[[#This Row],[Type]]),Table4[[#This Row],[Type]])</f>
        <v/>
      </c>
      <c r="L998" t="s">
        <v>77</v>
      </c>
      <c r="N998" t="s">
        <v>878</v>
      </c>
      <c r="P998" t="s">
        <v>85</v>
      </c>
    </row>
    <row r="999" spans="1:16" x14ac:dyDescent="0.25">
      <c r="A999" t="s">
        <v>2038</v>
      </c>
      <c r="B999" t="s">
        <v>46</v>
      </c>
      <c r="C999" t="str">
        <f>IF(ISBLANK(Table4[[#This Row],[Region]]),Table4[[#This Row],[Node Type]],Table4[[#This Row],[Region]])</f>
        <v/>
      </c>
      <c r="E999" t="str">
        <f>IF(ISERROR(SEARCH("Node",Table4[[#This Row],[Type]])),IF(ISERROR(SEARCH("Iliac",Table4[[#This Row],[Type]])),"",Table4[[#This Row],[Type]]),Table4[[#This Row],[Type]])</f>
        <v/>
      </c>
      <c r="L999" t="s">
        <v>45</v>
      </c>
      <c r="N999" t="s">
        <v>873</v>
      </c>
    </row>
    <row r="1000" spans="1:16" x14ac:dyDescent="0.25">
      <c r="A1000" t="s">
        <v>2040</v>
      </c>
      <c r="B1000" t="s">
        <v>173</v>
      </c>
      <c r="C1000" t="str">
        <f>IF(ISBLANK(Table4[[#This Row],[Region]]),Table4[[#This Row],[Node Type]],Table4[[#This Row],[Region]])</f>
        <v/>
      </c>
      <c r="E1000" t="str">
        <f>IF(ISERROR(SEARCH("Node",Table4[[#This Row],[Type]])),IF(ISERROR(SEARCH("Iliac",Table4[[#This Row],[Type]])),"",Table4[[#This Row],[Type]]),Table4[[#This Row],[Type]])</f>
        <v/>
      </c>
      <c r="L1000" t="s">
        <v>20</v>
      </c>
      <c r="M1000" t="s">
        <v>858</v>
      </c>
    </row>
    <row r="1001" spans="1:16" x14ac:dyDescent="0.25">
      <c r="A1001" t="s">
        <v>2041</v>
      </c>
      <c r="B1001" t="s">
        <v>77</v>
      </c>
      <c r="C1001" t="str">
        <f>IF(ISBLANK(Table4[[#This Row],[Region]]),Table4[[#This Row],[Node Type]],Table4[[#This Row],[Region]])</f>
        <v/>
      </c>
      <c r="E1001" t="str">
        <f>IF(ISERROR(SEARCH("Node",Table4[[#This Row],[Type]])),IF(ISERROR(SEARCH("Iliac",Table4[[#This Row],[Type]])),"",Table4[[#This Row],[Type]]),Table4[[#This Row],[Type]])</f>
        <v/>
      </c>
      <c r="I1001">
        <v>66</v>
      </c>
      <c r="L1001" t="s">
        <v>77</v>
      </c>
    </row>
    <row r="1002" spans="1:16" x14ac:dyDescent="0.25">
      <c r="A1002" t="s">
        <v>2043</v>
      </c>
      <c r="B1002" t="s">
        <v>46</v>
      </c>
      <c r="C1002" t="str">
        <f>IF(ISBLANK(Table4[[#This Row],[Region]]),Table4[[#This Row],[Node Type]],Table4[[#This Row],[Region]])</f>
        <v/>
      </c>
      <c r="E1002" t="str">
        <f>IF(ISERROR(SEARCH("Node",Table4[[#This Row],[Type]])),IF(ISERROR(SEARCH("Iliac",Table4[[#This Row],[Type]])),"",Table4[[#This Row],[Type]]),Table4[[#This Row],[Type]])</f>
        <v/>
      </c>
      <c r="I1002">
        <v>66</v>
      </c>
      <c r="L1002" t="s">
        <v>46</v>
      </c>
    </row>
    <row r="1003" spans="1:16" x14ac:dyDescent="0.25">
      <c r="A1003" t="s">
        <v>2050</v>
      </c>
      <c r="B1003" t="s">
        <v>77</v>
      </c>
      <c r="C1003" t="str">
        <f>IF(ISBLANK(Table4[[#This Row],[Region]]),Table4[[#This Row],[Node Type]],Table4[[#This Row],[Region]])</f>
        <v/>
      </c>
      <c r="E1003" t="str">
        <f>IF(ISERROR(SEARCH("Node",Table4[[#This Row],[Type]])),IF(ISERROR(SEARCH("Iliac",Table4[[#This Row],[Type]])),"",Table4[[#This Row],[Type]]),Table4[[#This Row],[Type]])</f>
        <v/>
      </c>
      <c r="H1003">
        <v>4</v>
      </c>
      <c r="L1003" t="s">
        <v>77</v>
      </c>
    </row>
    <row r="1004" spans="1:16" x14ac:dyDescent="0.25">
      <c r="A1004" t="s">
        <v>2051</v>
      </c>
      <c r="B1004" t="s">
        <v>77</v>
      </c>
      <c r="C1004" t="str">
        <f>IF(ISBLANK(Table4[[#This Row],[Region]]),Table4[[#This Row],[Node Type]],Table4[[#This Row],[Region]])</f>
        <v/>
      </c>
      <c r="E1004" t="str">
        <f>IF(ISERROR(SEARCH("Node",Table4[[#This Row],[Type]])),IF(ISERROR(SEARCH("Iliac",Table4[[#This Row],[Type]])),"",Table4[[#This Row],[Type]]),Table4[[#This Row],[Type]])</f>
        <v/>
      </c>
      <c r="H1004">
        <v>4</v>
      </c>
      <c r="I1004">
        <v>18</v>
      </c>
      <c r="L1004" t="s">
        <v>77</v>
      </c>
      <c r="P1004" t="s">
        <v>85</v>
      </c>
    </row>
    <row r="1005" spans="1:16" x14ac:dyDescent="0.25">
      <c r="A1005" t="s">
        <v>2052</v>
      </c>
      <c r="B1005" t="s">
        <v>20</v>
      </c>
      <c r="C1005" t="str">
        <f>IF(ISBLANK(Table4[[#This Row],[Region]]),Table4[[#This Row],[Node Type]],Table4[[#This Row],[Region]])</f>
        <v/>
      </c>
      <c r="E1005" t="str">
        <f>IF(ISERROR(SEARCH("Node",Table4[[#This Row],[Type]])),IF(ISERROR(SEARCH("Iliac",Table4[[#This Row],[Type]])),"",Table4[[#This Row],[Type]]),Table4[[#This Row],[Type]])</f>
        <v/>
      </c>
      <c r="H1005">
        <v>4</v>
      </c>
      <c r="L1005" t="s">
        <v>20</v>
      </c>
    </row>
    <row r="1006" spans="1:16" x14ac:dyDescent="0.25">
      <c r="A1006" t="s">
        <v>2053</v>
      </c>
      <c r="B1006" t="s">
        <v>77</v>
      </c>
      <c r="C1006" t="str">
        <f>IF(ISBLANK(Table4[[#This Row],[Region]]),Table4[[#This Row],[Node Type]],Table4[[#This Row],[Region]])</f>
        <v/>
      </c>
      <c r="E1006" t="str">
        <f>IF(ISERROR(SEARCH("Node",Table4[[#This Row],[Type]])),IF(ISERROR(SEARCH("Iliac",Table4[[#This Row],[Type]])),"",Table4[[#This Row],[Type]]),Table4[[#This Row],[Type]])</f>
        <v/>
      </c>
      <c r="H1006">
        <v>3</v>
      </c>
      <c r="L1006" t="s">
        <v>77</v>
      </c>
    </row>
    <row r="1007" spans="1:16" x14ac:dyDescent="0.25">
      <c r="A1007" t="s">
        <v>2054</v>
      </c>
      <c r="B1007" t="s">
        <v>20</v>
      </c>
      <c r="C1007" t="str">
        <f>IF(ISBLANK(Table4[[#This Row],[Region]]),Table4[[#This Row],[Node Type]],Table4[[#This Row],[Region]])</f>
        <v/>
      </c>
      <c r="E1007" t="str">
        <f>IF(ISERROR(SEARCH("Node",Table4[[#This Row],[Type]])),IF(ISERROR(SEARCH("Iliac",Table4[[#This Row],[Type]])),"",Table4[[#This Row],[Type]]),Table4[[#This Row],[Type]])</f>
        <v/>
      </c>
      <c r="H1007">
        <v>1</v>
      </c>
      <c r="I1007">
        <v>18</v>
      </c>
      <c r="L1007" t="s">
        <v>20</v>
      </c>
    </row>
    <row r="1008" spans="1:16" x14ac:dyDescent="0.25">
      <c r="A1008" t="s">
        <v>2055</v>
      </c>
      <c r="B1008" t="s">
        <v>20</v>
      </c>
      <c r="C1008" t="str">
        <f>IF(ISBLANK(Table4[[#This Row],[Region]]),Table4[[#This Row],[Node Type]],Table4[[#This Row],[Region]])</f>
        <v/>
      </c>
      <c r="E1008" t="str">
        <f>IF(ISERROR(SEARCH("Node",Table4[[#This Row],[Type]])),IF(ISERROR(SEARCH("Iliac",Table4[[#This Row],[Type]])),"",Table4[[#This Row],[Type]]),Table4[[#This Row],[Type]])</f>
        <v/>
      </c>
      <c r="H1008">
        <v>2</v>
      </c>
      <c r="I1008">
        <v>18</v>
      </c>
      <c r="L1008" t="s">
        <v>20</v>
      </c>
    </row>
    <row r="1009" spans="1:16" x14ac:dyDescent="0.25">
      <c r="A1009" t="s">
        <v>2056</v>
      </c>
      <c r="B1009" t="s">
        <v>20</v>
      </c>
      <c r="C1009" t="str">
        <f>IF(ISBLANK(Table4[[#This Row],[Region]]),Table4[[#This Row],[Node Type]],Table4[[#This Row],[Region]])</f>
        <v/>
      </c>
      <c r="E1009" t="str">
        <f>IF(ISERROR(SEARCH("Node",Table4[[#This Row],[Type]])),IF(ISERROR(SEARCH("Iliac",Table4[[#This Row],[Type]])),"",Table4[[#This Row],[Type]]),Table4[[#This Row],[Type]])</f>
        <v/>
      </c>
      <c r="H1009">
        <v>4</v>
      </c>
      <c r="I1009">
        <v>18</v>
      </c>
      <c r="L1009" t="s">
        <v>20</v>
      </c>
    </row>
    <row r="1010" spans="1:16" x14ac:dyDescent="0.25">
      <c r="A1010" t="s">
        <v>2057</v>
      </c>
      <c r="B1010" t="s">
        <v>173</v>
      </c>
      <c r="C1010" t="str">
        <f>IF(ISBLANK(Table4[[#This Row],[Region]]),Table4[[#This Row],[Node Type]],Table4[[#This Row],[Region]])</f>
        <v/>
      </c>
      <c r="E1010" t="str">
        <f>IF(ISERROR(SEARCH("Node",Table4[[#This Row],[Type]])),IF(ISERROR(SEARCH("Iliac",Table4[[#This Row],[Type]])),"",Table4[[#This Row],[Type]]),Table4[[#This Row],[Type]])</f>
        <v/>
      </c>
      <c r="K1010" t="s">
        <v>1261</v>
      </c>
      <c r="L1010" t="s">
        <v>77</v>
      </c>
    </row>
    <row r="1011" spans="1:16" x14ac:dyDescent="0.25">
      <c r="A1011" t="s">
        <v>2058</v>
      </c>
      <c r="B1011" t="s">
        <v>46</v>
      </c>
      <c r="C1011" t="str">
        <f>IF(ISBLANK(Table4[[#This Row],[Region]]),Table4[[#This Row],[Node Type]],Table4[[#This Row],[Region]])</f>
        <v/>
      </c>
      <c r="E1011" t="str">
        <f>IF(ISERROR(SEARCH("Node",Table4[[#This Row],[Type]])),IF(ISERROR(SEARCH("Iliac",Table4[[#This Row],[Type]])),"",Table4[[#This Row],[Type]]),Table4[[#This Row],[Type]])</f>
        <v/>
      </c>
      <c r="I1011">
        <v>30</v>
      </c>
      <c r="L1011" t="s">
        <v>46</v>
      </c>
    </row>
    <row r="1012" spans="1:16" x14ac:dyDescent="0.25">
      <c r="A1012" t="s">
        <v>2059</v>
      </c>
      <c r="B1012" t="s">
        <v>77</v>
      </c>
      <c r="C1012" t="str">
        <f>IF(ISBLANK(Table4[[#This Row],[Region]]),Table4[[#This Row],[Node Type]],Table4[[#This Row],[Region]])</f>
        <v/>
      </c>
      <c r="E1012" t="str">
        <f>IF(ISERROR(SEARCH("Node",Table4[[#This Row],[Type]])),IF(ISERROR(SEARCH("Iliac",Table4[[#This Row],[Type]])),"",Table4[[#This Row],[Type]]),Table4[[#This Row],[Type]])</f>
        <v/>
      </c>
      <c r="I1012">
        <v>36</v>
      </c>
      <c r="L1012" t="s">
        <v>77</v>
      </c>
    </row>
    <row r="1013" spans="1:16" x14ac:dyDescent="0.25">
      <c r="A1013" t="s">
        <v>2060</v>
      </c>
      <c r="B1013" t="s">
        <v>173</v>
      </c>
      <c r="C1013" t="str">
        <f>IF(ISBLANK(Table4[[#This Row],[Region]]),Table4[[#This Row],[Node Type]],Table4[[#This Row],[Region]])</f>
        <v/>
      </c>
      <c r="E1013" t="str">
        <f>IF(ISERROR(SEARCH("Node",Table4[[#This Row],[Type]])),IF(ISERROR(SEARCH("Iliac",Table4[[#This Row],[Type]])),"",Table4[[#This Row],[Type]]),Table4[[#This Row],[Type]])</f>
        <v/>
      </c>
      <c r="I1013">
        <v>36</v>
      </c>
      <c r="L1013" t="s">
        <v>46</v>
      </c>
    </row>
    <row r="1014" spans="1:16" x14ac:dyDescent="0.25">
      <c r="A1014" t="s">
        <v>2061</v>
      </c>
      <c r="B1014" t="s">
        <v>173</v>
      </c>
      <c r="C1014" t="str">
        <f>IF(ISBLANK(Table4[[#This Row],[Region]]),Table4[[#This Row],[Node Type]],Table4[[#This Row],[Region]])</f>
        <v/>
      </c>
      <c r="E1014" t="str">
        <f>IF(ISERROR(SEARCH("Node",Table4[[#This Row],[Type]])),IF(ISERROR(SEARCH("Iliac",Table4[[#This Row],[Type]])),"",Table4[[#This Row],[Type]]),Table4[[#This Row],[Type]])</f>
        <v/>
      </c>
      <c r="I1014">
        <v>40</v>
      </c>
      <c r="L1014" t="s">
        <v>46</v>
      </c>
    </row>
    <row r="1015" spans="1:16" x14ac:dyDescent="0.25">
      <c r="A1015" t="s">
        <v>2062</v>
      </c>
      <c r="B1015" t="s">
        <v>173</v>
      </c>
      <c r="C1015" t="str">
        <f>IF(ISBLANK(Table4[[#This Row],[Region]]),Table4[[#This Row],[Node Type]],Table4[[#This Row],[Region]])</f>
        <v/>
      </c>
      <c r="E1015" t="str">
        <f>IF(ISERROR(SEARCH("Node",Table4[[#This Row],[Type]])),IF(ISERROR(SEARCH("Iliac",Table4[[#This Row],[Type]])),"",Table4[[#This Row],[Type]]),Table4[[#This Row],[Type]])</f>
        <v/>
      </c>
      <c r="I1015">
        <v>40</v>
      </c>
      <c r="L1015" t="s">
        <v>77</v>
      </c>
    </row>
    <row r="1016" spans="1:16" x14ac:dyDescent="0.25">
      <c r="A1016" t="s">
        <v>2063</v>
      </c>
      <c r="B1016" t="s">
        <v>77</v>
      </c>
      <c r="C1016" t="str">
        <f>IF(ISBLANK(Table4[[#This Row],[Region]]),Table4[[#This Row],[Node Type]],Table4[[#This Row],[Region]])</f>
        <v/>
      </c>
      <c r="E1016" t="str">
        <f>IF(ISERROR(SEARCH("Node",Table4[[#This Row],[Type]])),IF(ISERROR(SEARCH("Iliac",Table4[[#This Row],[Type]])),"",Table4[[#This Row],[Type]]),Table4[[#This Row],[Type]])</f>
        <v/>
      </c>
      <c r="I1016">
        <v>30</v>
      </c>
      <c r="L1016" t="s">
        <v>77</v>
      </c>
    </row>
    <row r="1017" spans="1:16" x14ac:dyDescent="0.25">
      <c r="A1017" t="s">
        <v>2064</v>
      </c>
      <c r="B1017" t="s">
        <v>46</v>
      </c>
      <c r="C1017" t="str">
        <f>IF(ISBLANK(Table4[[#This Row],[Region]]),Table4[[#This Row],[Node Type]],Table4[[#This Row],[Region]])</f>
        <v/>
      </c>
      <c r="E1017" t="str">
        <f>IF(ISERROR(SEARCH("Node",Table4[[#This Row],[Type]])),IF(ISERROR(SEARCH("Iliac",Table4[[#This Row],[Type]])),"",Table4[[#This Row],[Type]]),Table4[[#This Row],[Type]])</f>
        <v/>
      </c>
      <c r="I1017">
        <v>66</v>
      </c>
      <c r="L1017" t="s">
        <v>46</v>
      </c>
      <c r="P1017" t="s">
        <v>83</v>
      </c>
    </row>
    <row r="1018" spans="1:16" x14ac:dyDescent="0.25">
      <c r="A1018" t="s">
        <v>2068</v>
      </c>
      <c r="B1018" t="s">
        <v>77</v>
      </c>
      <c r="C1018" t="str">
        <f>IF(ISBLANK(Table4[[#This Row],[Region]]),Table4[[#This Row],[Node Type]],Table4[[#This Row],[Region]])</f>
        <v/>
      </c>
      <c r="E1018" t="str">
        <f>IF(ISERROR(SEARCH("Node",Table4[[#This Row],[Type]])),IF(ISERROR(SEARCH("Iliac",Table4[[#This Row],[Type]])),"",Table4[[#This Row],[Type]]),Table4[[#This Row],[Type]])</f>
        <v/>
      </c>
      <c r="L1018" t="s">
        <v>77</v>
      </c>
      <c r="N1018" t="s">
        <v>106</v>
      </c>
      <c r="P1018" t="s">
        <v>85</v>
      </c>
    </row>
    <row r="1019" spans="1:16" x14ac:dyDescent="0.25">
      <c r="A1019" t="s">
        <v>2069</v>
      </c>
      <c r="B1019" t="s">
        <v>77</v>
      </c>
      <c r="C1019" t="str">
        <f>IF(ISBLANK(Table4[[#This Row],[Region]]),Table4[[#This Row],[Node Type]],Table4[[#This Row],[Region]])</f>
        <v/>
      </c>
      <c r="E1019" t="str">
        <f>IF(ISERROR(SEARCH("Node",Table4[[#This Row],[Type]])),IF(ISERROR(SEARCH("Iliac",Table4[[#This Row],[Type]])),"",Table4[[#This Row],[Type]]),Table4[[#This Row],[Type]])</f>
        <v/>
      </c>
      <c r="L1019" t="s">
        <v>77</v>
      </c>
      <c r="N1019" t="s">
        <v>106</v>
      </c>
    </row>
    <row r="1020" spans="1:16" x14ac:dyDescent="0.25">
      <c r="A1020" t="s">
        <v>2071</v>
      </c>
      <c r="B1020" t="s">
        <v>46</v>
      </c>
      <c r="C1020" t="str">
        <f>IF(ISBLANK(Table4[[#This Row],[Region]]),Table4[[#This Row],[Node Type]],Table4[[#This Row],[Region]])</f>
        <v/>
      </c>
      <c r="E1020" t="str">
        <f>IF(ISERROR(SEARCH("Node",Table4[[#This Row],[Type]])),IF(ISERROR(SEARCH("Iliac",Table4[[#This Row],[Type]])),"",Table4[[#This Row],[Type]]),Table4[[#This Row],[Type]])</f>
        <v/>
      </c>
      <c r="F1020" t="s">
        <v>175</v>
      </c>
      <c r="L1020" t="s">
        <v>46</v>
      </c>
    </row>
    <row r="1021" spans="1:16" x14ac:dyDescent="0.25">
      <c r="A1021" t="s">
        <v>2072</v>
      </c>
      <c r="B1021" t="s">
        <v>20</v>
      </c>
      <c r="C1021" t="str">
        <f>IF(ISBLANK(Table4[[#This Row],[Region]]),Table4[[#This Row],[Node Type]],Table4[[#This Row],[Region]])</f>
        <v/>
      </c>
      <c r="E1021" t="str">
        <f>IF(ISERROR(SEARCH("Node",Table4[[#This Row],[Type]])),IF(ISERROR(SEARCH("Iliac",Table4[[#This Row],[Type]])),"",Table4[[#This Row],[Type]]),Table4[[#This Row],[Type]])</f>
        <v/>
      </c>
      <c r="F1021" t="s">
        <v>175</v>
      </c>
      <c r="L1021" t="s">
        <v>20</v>
      </c>
    </row>
    <row r="1022" spans="1:16" x14ac:dyDescent="0.25">
      <c r="A1022" t="s">
        <v>2073</v>
      </c>
      <c r="B1022" t="s">
        <v>77</v>
      </c>
      <c r="C1022" t="str">
        <f>IF(ISBLANK(Table4[[#This Row],[Region]]),Table4[[#This Row],[Node Type]],Table4[[#This Row],[Region]])</f>
        <v/>
      </c>
      <c r="E1022" t="str">
        <f>IF(ISERROR(SEARCH("Node",Table4[[#This Row],[Type]])),IF(ISERROR(SEARCH("Iliac",Table4[[#This Row],[Type]])),"",Table4[[#This Row],[Type]]),Table4[[#This Row],[Type]])</f>
        <v/>
      </c>
      <c r="F1022" t="s">
        <v>175</v>
      </c>
      <c r="L1022" t="s">
        <v>77</v>
      </c>
    </row>
    <row r="1023" spans="1:16" x14ac:dyDescent="0.25">
      <c r="A1023" t="s">
        <v>2076</v>
      </c>
      <c r="B1023" t="s">
        <v>77</v>
      </c>
      <c r="C1023" t="str">
        <f>IF(ISBLANK(Table4[[#This Row],[Region]]),Table4[[#This Row],[Node Type]],Table4[[#This Row],[Region]])</f>
        <v/>
      </c>
      <c r="E1023" t="str">
        <f>IF(ISERROR(SEARCH("Node",Table4[[#This Row],[Type]])),IF(ISERROR(SEARCH("Iliac",Table4[[#This Row],[Type]])),"",Table4[[#This Row],[Type]]),Table4[[#This Row],[Type]])</f>
        <v/>
      </c>
      <c r="F1023" t="s">
        <v>175</v>
      </c>
      <c r="L1023" t="s">
        <v>77</v>
      </c>
      <c r="P1023" t="s">
        <v>85</v>
      </c>
    </row>
    <row r="1024" spans="1:16" x14ac:dyDescent="0.25">
      <c r="A1024" t="s">
        <v>2080</v>
      </c>
      <c r="B1024" t="s">
        <v>77</v>
      </c>
      <c r="C1024" t="str">
        <f>IF(ISBLANK(Table4[[#This Row],[Region]]),Table4[[#This Row],[Node Type]],Table4[[#This Row],[Region]])</f>
        <v/>
      </c>
      <c r="E1024" t="str">
        <f>IF(ISERROR(SEARCH("Node",Table4[[#This Row],[Type]])),IF(ISERROR(SEARCH("Iliac",Table4[[#This Row],[Type]])),"",Table4[[#This Row],[Type]]),Table4[[#This Row],[Type]])</f>
        <v/>
      </c>
      <c r="I1024">
        <v>36</v>
      </c>
      <c r="L1024" t="s">
        <v>77</v>
      </c>
    </row>
    <row r="1025" spans="1:16" x14ac:dyDescent="0.25">
      <c r="A1025" t="s">
        <v>2082</v>
      </c>
      <c r="B1025" t="s">
        <v>46</v>
      </c>
      <c r="C1025" t="str">
        <f>IF(ISBLANK(Table4[[#This Row],[Region]]),Table4[[#This Row],[Node Type]],Table4[[#This Row],[Region]])</f>
        <v/>
      </c>
      <c r="E1025" t="str">
        <f>IF(ISERROR(SEARCH("Node",Table4[[#This Row],[Type]])),IF(ISERROR(SEARCH("Iliac",Table4[[#This Row],[Type]])),"",Table4[[#This Row],[Type]]),Table4[[#This Row],[Type]])</f>
        <v/>
      </c>
      <c r="I1025">
        <v>36</v>
      </c>
      <c r="L1025" t="s">
        <v>46</v>
      </c>
    </row>
    <row r="1026" spans="1:16" x14ac:dyDescent="0.25">
      <c r="A1026" t="s">
        <v>2096</v>
      </c>
      <c r="B1026" t="s">
        <v>20</v>
      </c>
      <c r="C1026" t="str">
        <f>IF(ISBLANK(Table4[[#This Row],[Region]]),Table4[[#This Row],[Node Type]],Table4[[#This Row],[Region]])</f>
        <v/>
      </c>
      <c r="E1026" t="str">
        <f>IF(ISERROR(SEARCH("Node",Table4[[#This Row],[Type]])),IF(ISERROR(SEARCH("Iliac",Table4[[#This Row],[Type]])),"",Table4[[#This Row],[Type]]),Table4[[#This Row],[Type]])</f>
        <v/>
      </c>
      <c r="H1026">
        <v>1</v>
      </c>
      <c r="J1026" t="s">
        <v>41</v>
      </c>
      <c r="L1026" t="s">
        <v>20</v>
      </c>
    </row>
    <row r="1027" spans="1:16" x14ac:dyDescent="0.25">
      <c r="A1027" t="s">
        <v>1162</v>
      </c>
      <c r="B1027" t="s">
        <v>173</v>
      </c>
      <c r="C1027" t="str">
        <f>IF(ISBLANK(Table4[[#This Row],[Region]]),Table4[[#This Row],[Node Type]],Table4[[#This Row],[Region]])</f>
        <v/>
      </c>
      <c r="E1027" t="str">
        <f>IF(ISERROR(SEARCH("Node",Table4[[#This Row],[Type]])),IF(ISERROR(SEARCH("Iliac",Table4[[#This Row],[Type]])),"",Table4[[#This Row],[Type]]),Table4[[#This Row],[Type]])</f>
        <v/>
      </c>
      <c r="J1027" t="s">
        <v>1038</v>
      </c>
      <c r="L1027" t="s">
        <v>20</v>
      </c>
      <c r="M1027" t="s">
        <v>79</v>
      </c>
    </row>
    <row r="1028" spans="1:16" x14ac:dyDescent="0.25">
      <c r="A1028" t="s">
        <v>2105</v>
      </c>
      <c r="B1028" t="s">
        <v>77</v>
      </c>
      <c r="C1028" t="str">
        <f>IF(ISBLANK(Table4[[#This Row],[Region]]),Table4[[#This Row],[Node Type]],Table4[[#This Row],[Region]])</f>
        <v/>
      </c>
      <c r="E1028" t="str">
        <f>IF(ISERROR(SEARCH("Node",Table4[[#This Row],[Type]])),IF(ISERROR(SEARCH("Iliac",Table4[[#This Row],[Type]])),"",Table4[[#This Row],[Type]]),Table4[[#This Row],[Type]])</f>
        <v/>
      </c>
      <c r="J1028" t="s">
        <v>2106</v>
      </c>
      <c r="L1028" t="s">
        <v>77</v>
      </c>
      <c r="M1028" t="s">
        <v>235</v>
      </c>
      <c r="P1028" t="s">
        <v>83</v>
      </c>
    </row>
    <row r="1029" spans="1:16" x14ac:dyDescent="0.25">
      <c r="A1029" t="s">
        <v>1196</v>
      </c>
      <c r="B1029" t="s">
        <v>214</v>
      </c>
      <c r="C1029" t="str">
        <f>IF(ISBLANK(Table4[[#This Row],[Region]]),Table4[[#This Row],[Node Type]],Table4[[#This Row],[Region]])</f>
        <v/>
      </c>
      <c r="E1029" t="str">
        <f>IF(ISERROR(SEARCH("Node",Table4[[#This Row],[Type]])),IF(ISERROR(SEARCH("Iliac",Table4[[#This Row],[Type]])),"",Table4[[#This Row],[Type]]),Table4[[#This Row],[Type]])</f>
        <v/>
      </c>
      <c r="I1029">
        <v>50</v>
      </c>
      <c r="L1029" t="s">
        <v>46</v>
      </c>
    </row>
    <row r="1030" spans="1:16" x14ac:dyDescent="0.25">
      <c r="A1030" t="s">
        <v>1003</v>
      </c>
      <c r="B1030" t="s">
        <v>173</v>
      </c>
      <c r="C1030" t="str">
        <f>IF(ISBLANK(Table4[[#This Row],[Region]]),Table4[[#This Row],[Node Type]],Table4[[#This Row],[Region]])</f>
        <v/>
      </c>
      <c r="E1030" t="str">
        <f>IF(ISERROR(SEARCH("Node",Table4[[#This Row],[Type]])),IF(ISERROR(SEARCH("Iliac",Table4[[#This Row],[Type]])),"",Table4[[#This Row],[Type]]),Table4[[#This Row],[Type]])</f>
        <v/>
      </c>
      <c r="I1030">
        <v>66</v>
      </c>
      <c r="L1030" t="s">
        <v>77</v>
      </c>
    </row>
    <row r="1031" spans="1:16" x14ac:dyDescent="0.25">
      <c r="A1031" t="s">
        <v>1493</v>
      </c>
      <c r="B1031" t="s">
        <v>173</v>
      </c>
      <c r="C1031" t="str">
        <f>IF(ISBLANK(Table4[[#This Row],[Region]]),Table4[[#This Row],[Node Type]],Table4[[#This Row],[Region]])</f>
        <v/>
      </c>
      <c r="E1031" t="str">
        <f>IF(ISERROR(SEARCH("Node",Table4[[#This Row],[Type]])),IF(ISERROR(SEARCH("Iliac",Table4[[#This Row],[Type]])),"",Table4[[#This Row],[Type]]),Table4[[#This Row],[Type]])</f>
        <v/>
      </c>
      <c r="I1031">
        <v>60</v>
      </c>
      <c r="L1031" t="s">
        <v>77</v>
      </c>
    </row>
    <row r="1032" spans="1:16" x14ac:dyDescent="0.25">
      <c r="A1032" t="s">
        <v>1007</v>
      </c>
      <c r="B1032" t="s">
        <v>173</v>
      </c>
      <c r="C1032" t="str">
        <f>IF(ISBLANK(Table4[[#This Row],[Region]]),Table4[[#This Row],[Node Type]],Table4[[#This Row],[Region]])</f>
        <v/>
      </c>
      <c r="E1032" t="str">
        <f>IF(ISERROR(SEARCH("Node",Table4[[#This Row],[Type]])),IF(ISERROR(SEARCH("Iliac",Table4[[#This Row],[Type]])),"",Table4[[#This Row],[Type]]),Table4[[#This Row],[Type]])</f>
        <v/>
      </c>
      <c r="I1032">
        <v>66</v>
      </c>
      <c r="L1032" t="s">
        <v>46</v>
      </c>
    </row>
    <row r="1033" spans="1:16" x14ac:dyDescent="0.25">
      <c r="A1033" t="s">
        <v>2110</v>
      </c>
      <c r="B1033" t="s">
        <v>77</v>
      </c>
      <c r="C1033" t="str">
        <f>IF(ISBLANK(Table4[[#This Row],[Region]]),Table4[[#This Row],[Node Type]],Table4[[#This Row],[Region]])</f>
        <v/>
      </c>
      <c r="E1033" t="str">
        <f>IF(ISERROR(SEARCH("Node",Table4[[#This Row],[Type]])),IF(ISERROR(SEARCH("Iliac",Table4[[#This Row],[Type]])),"",Table4[[#This Row],[Type]]),Table4[[#This Row],[Type]])</f>
        <v/>
      </c>
      <c r="I1033">
        <v>66</v>
      </c>
      <c r="L1033" t="s">
        <v>77</v>
      </c>
      <c r="P1033" t="s">
        <v>85</v>
      </c>
    </row>
    <row r="1034" spans="1:16" x14ac:dyDescent="0.25">
      <c r="A1034" t="s">
        <v>2111</v>
      </c>
      <c r="B1034" t="s">
        <v>77</v>
      </c>
      <c r="C1034" t="str">
        <f>IF(ISBLANK(Table4[[#This Row],[Region]]),Table4[[#This Row],[Node Type]],Table4[[#This Row],[Region]])</f>
        <v/>
      </c>
      <c r="E1034" t="str">
        <f>IF(ISERROR(SEARCH("Node",Table4[[#This Row],[Type]])),IF(ISERROR(SEARCH("Iliac",Table4[[#This Row],[Type]])),"",Table4[[#This Row],[Type]]),Table4[[#This Row],[Type]])</f>
        <v/>
      </c>
      <c r="J1034" t="s">
        <v>83</v>
      </c>
      <c r="L1034" t="s">
        <v>77</v>
      </c>
    </row>
    <row r="1035" spans="1:16" x14ac:dyDescent="0.25">
      <c r="A1035" t="s">
        <v>2112</v>
      </c>
      <c r="B1035" t="s">
        <v>77</v>
      </c>
      <c r="C1035" t="str">
        <f>IF(ISBLANK(Table4[[#This Row],[Region]]),Table4[[#This Row],[Node Type]],Table4[[#This Row],[Region]])</f>
        <v/>
      </c>
      <c r="E1035" t="str">
        <f>IF(ISERROR(SEARCH("Node",Table4[[#This Row],[Type]])),IF(ISERROR(SEARCH("Iliac",Table4[[#This Row],[Type]])),"",Table4[[#This Row],[Type]]),Table4[[#This Row],[Type]])</f>
        <v/>
      </c>
      <c r="J1035" t="s">
        <v>83</v>
      </c>
      <c r="L1035" t="s">
        <v>77</v>
      </c>
    </row>
    <row r="1036" spans="1:16" x14ac:dyDescent="0.25">
      <c r="A1036" t="s">
        <v>2113</v>
      </c>
      <c r="B1036" t="s">
        <v>77</v>
      </c>
      <c r="C1036" t="str">
        <f>IF(ISBLANK(Table4[[#This Row],[Region]]),Table4[[#This Row],[Node Type]],Table4[[#This Row],[Region]])</f>
        <v/>
      </c>
      <c r="E1036" t="str">
        <f>IF(ISERROR(SEARCH("Node",Table4[[#This Row],[Type]])),IF(ISERROR(SEARCH("Iliac",Table4[[#This Row],[Type]])),"",Table4[[#This Row],[Type]]),Table4[[#This Row],[Type]])</f>
        <v/>
      </c>
      <c r="J1036" t="s">
        <v>83</v>
      </c>
      <c r="L1036" t="s">
        <v>77</v>
      </c>
    </row>
    <row r="1037" spans="1:16" x14ac:dyDescent="0.25">
      <c r="A1037" t="s">
        <v>2114</v>
      </c>
      <c r="B1037" t="s">
        <v>77</v>
      </c>
      <c r="C1037" t="str">
        <f>IF(ISBLANK(Table4[[#This Row],[Region]]),Table4[[#This Row],[Node Type]],Table4[[#This Row],[Region]])</f>
        <v/>
      </c>
      <c r="E1037" t="str">
        <f>IF(ISERROR(SEARCH("Node",Table4[[#This Row],[Type]])),IF(ISERROR(SEARCH("Iliac",Table4[[#This Row],[Type]])),"",Table4[[#This Row],[Type]]),Table4[[#This Row],[Type]])</f>
        <v/>
      </c>
      <c r="J1037" t="s">
        <v>83</v>
      </c>
      <c r="L1037" t="s">
        <v>77</v>
      </c>
      <c r="O1037" t="s">
        <v>1642</v>
      </c>
    </row>
    <row r="1038" spans="1:16" x14ac:dyDescent="0.25">
      <c r="A1038" t="s">
        <v>2115</v>
      </c>
      <c r="B1038" t="s">
        <v>77</v>
      </c>
      <c r="C1038" t="str">
        <f>IF(ISBLANK(Table4[[#This Row],[Region]]),Table4[[#This Row],[Node Type]],Table4[[#This Row],[Region]])</f>
        <v/>
      </c>
      <c r="E1038" t="str">
        <f>IF(ISERROR(SEARCH("Node",Table4[[#This Row],[Type]])),IF(ISERROR(SEARCH("Iliac",Table4[[#This Row],[Type]])),"",Table4[[#This Row],[Type]]),Table4[[#This Row],[Type]])</f>
        <v/>
      </c>
      <c r="I1038">
        <v>50</v>
      </c>
      <c r="L1038" t="s">
        <v>77</v>
      </c>
      <c r="P1038" t="s">
        <v>85</v>
      </c>
    </row>
    <row r="1039" spans="1:16" x14ac:dyDescent="0.25">
      <c r="A1039" t="s">
        <v>2117</v>
      </c>
      <c r="B1039" t="s">
        <v>77</v>
      </c>
      <c r="C1039" t="str">
        <f>IF(ISBLANK(Table4[[#This Row],[Region]]),Table4[[#This Row],[Node Type]],Table4[[#This Row],[Region]])</f>
        <v/>
      </c>
      <c r="E1039" t="str">
        <f>IF(ISERROR(SEARCH("Node",Table4[[#This Row],[Type]])),IF(ISERROR(SEARCH("Iliac",Table4[[#This Row],[Type]])),"",Table4[[#This Row],[Type]]),Table4[[#This Row],[Type]])</f>
        <v/>
      </c>
      <c r="I1039">
        <v>60</v>
      </c>
      <c r="L1039" t="s">
        <v>77</v>
      </c>
      <c r="O1039" t="s">
        <v>290</v>
      </c>
      <c r="P1039" t="s">
        <v>85</v>
      </c>
    </row>
    <row r="1040" spans="1:16" x14ac:dyDescent="0.25">
      <c r="A1040" t="s">
        <v>2118</v>
      </c>
      <c r="B1040" t="s">
        <v>77</v>
      </c>
      <c r="C1040" t="str">
        <f>IF(ISBLANK(Table4[[#This Row],[Region]]),Table4[[#This Row],[Node Type]],Table4[[#This Row],[Region]])</f>
        <v/>
      </c>
      <c r="E1040" t="str">
        <f>IF(ISERROR(SEARCH("Node",Table4[[#This Row],[Type]])),IF(ISERROR(SEARCH("Iliac",Table4[[#This Row],[Type]])),"",Table4[[#This Row],[Type]]),Table4[[#This Row],[Type]])</f>
        <v/>
      </c>
      <c r="I1040">
        <v>60</v>
      </c>
      <c r="L1040" t="s">
        <v>77</v>
      </c>
      <c r="O1040" t="s">
        <v>292</v>
      </c>
      <c r="P1040" t="s">
        <v>85</v>
      </c>
    </row>
    <row r="1041" spans="1:17" x14ac:dyDescent="0.25">
      <c r="A1041" t="s">
        <v>2119</v>
      </c>
      <c r="B1041" t="s">
        <v>46</v>
      </c>
      <c r="C1041" t="str">
        <f>IF(ISBLANK(Table4[[#This Row],[Region]]),Table4[[#This Row],[Node Type]],Table4[[#This Row],[Region]])</f>
        <v/>
      </c>
      <c r="E1041" t="str">
        <f>IF(ISERROR(SEARCH("Node",Table4[[#This Row],[Type]])),IF(ISERROR(SEARCH("Iliac",Table4[[#This Row],[Type]])),"",Table4[[#This Row],[Type]]),Table4[[#This Row],[Type]])</f>
        <v/>
      </c>
      <c r="I1041">
        <v>60</v>
      </c>
      <c r="L1041" t="s">
        <v>46</v>
      </c>
      <c r="P1041" t="s">
        <v>85</v>
      </c>
    </row>
    <row r="1042" spans="1:17" x14ac:dyDescent="0.25">
      <c r="A1042" t="s">
        <v>2120</v>
      </c>
      <c r="B1042" t="s">
        <v>20</v>
      </c>
      <c r="C1042" t="str">
        <f>IF(ISBLANK(Table4[[#This Row],[Region]]),Table4[[#This Row],[Node Type]],Table4[[#This Row],[Region]])</f>
        <v/>
      </c>
      <c r="E1042" t="str">
        <f>IF(ISERROR(SEARCH("Node",Table4[[#This Row],[Type]])),IF(ISERROR(SEARCH("Iliac",Table4[[#This Row],[Type]])),"",Table4[[#This Row],[Type]]),Table4[[#This Row],[Type]])</f>
        <v/>
      </c>
      <c r="L1042" t="s">
        <v>20</v>
      </c>
      <c r="Q1042" t="s">
        <v>172</v>
      </c>
    </row>
    <row r="1043" spans="1:17" x14ac:dyDescent="0.25">
      <c r="A1043" t="s">
        <v>1755</v>
      </c>
      <c r="B1043" t="s">
        <v>48</v>
      </c>
      <c r="C1043" t="str">
        <f>IF(ISBLANK(Table4[[#This Row],[Region]]),Table4[[#This Row],[Node Type]],Table4[[#This Row],[Region]])</f>
        <v/>
      </c>
      <c r="E1043" t="str">
        <f>IF(ISERROR(SEARCH("Node",Table4[[#This Row],[Type]])),IF(ISERROR(SEARCH("Iliac",Table4[[#This Row],[Type]])),"",Table4[[#This Row],[Type]]),Table4[[#This Row],[Type]])</f>
        <v/>
      </c>
      <c r="I1043">
        <v>54</v>
      </c>
      <c r="L1043" t="s">
        <v>46</v>
      </c>
      <c r="P1043" t="s">
        <v>83</v>
      </c>
    </row>
    <row r="1044" spans="1:17" x14ac:dyDescent="0.25">
      <c r="A1044" t="s">
        <v>2126</v>
      </c>
      <c r="B1044" t="s">
        <v>48</v>
      </c>
      <c r="C1044" t="str">
        <f>IF(ISBLANK(Table4[[#This Row],[Region]]),Table4[[#This Row],[Node Type]],Table4[[#This Row],[Region]])</f>
        <v>Nodes</v>
      </c>
      <c r="E1044" t="str">
        <f>IF(ISERROR(SEARCH("Node",Table4[[#This Row],[Type]])),IF(ISERROR(SEARCH("Iliac",Table4[[#This Row],[Type]])),"",Table4[[#This Row],[Type]]),Table4[[#This Row],[Type]])</f>
        <v>Nodes</v>
      </c>
      <c r="L1044" t="s">
        <v>48</v>
      </c>
      <c r="N1044" t="s">
        <v>108</v>
      </c>
    </row>
    <row r="1045" spans="1:17" x14ac:dyDescent="0.25">
      <c r="A1045" t="s">
        <v>2127</v>
      </c>
      <c r="B1045" t="s">
        <v>48</v>
      </c>
      <c r="C1045" t="str">
        <f>IF(ISBLANK(Table4[[#This Row],[Region]]),Table4[[#This Row],[Node Type]],Table4[[#This Row],[Region]])</f>
        <v>Nodes</v>
      </c>
      <c r="E1045" t="str">
        <f>IF(ISERROR(SEARCH("Node",Table4[[#This Row],[Type]])),IF(ISERROR(SEARCH("Iliac",Table4[[#This Row],[Type]])),"",Table4[[#This Row],[Type]]),Table4[[#This Row],[Type]])</f>
        <v>Nodes</v>
      </c>
      <c r="L1045" t="s">
        <v>48</v>
      </c>
      <c r="N1045" t="s">
        <v>106</v>
      </c>
    </row>
    <row r="1046" spans="1:17" x14ac:dyDescent="0.25">
      <c r="A1046" t="s">
        <v>2128</v>
      </c>
      <c r="B1046" t="s">
        <v>16</v>
      </c>
      <c r="C1046" t="str">
        <f>IF(ISBLANK(Table4[[#This Row],[Region]]),Table4[[#This Row],[Node Type]],Table4[[#This Row],[Region]])</f>
        <v/>
      </c>
      <c r="E1046" t="str">
        <f>IF(ISERROR(SEARCH("Node",Table4[[#This Row],[Type]])),IF(ISERROR(SEARCH("Iliac",Table4[[#This Row],[Type]])),"",Table4[[#This Row],[Type]]),Table4[[#This Row],[Type]])</f>
        <v/>
      </c>
      <c r="H1046">
        <v>2</v>
      </c>
      <c r="L1046" t="s">
        <v>137</v>
      </c>
    </row>
    <row r="1047" spans="1:17" x14ac:dyDescent="0.25">
      <c r="A1047" t="s">
        <v>103</v>
      </c>
      <c r="B1047" t="s">
        <v>20</v>
      </c>
      <c r="C1047" t="str">
        <f>IF(ISBLANK(Table4[[#This Row],[Region]]),Table4[[#This Row],[Node Type]],Table4[[#This Row],[Region]])</f>
        <v/>
      </c>
      <c r="E1047" t="str">
        <f>IF(ISERROR(SEARCH("Node",Table4[[#This Row],[Type]])),IF(ISERROR(SEARCH("Iliac",Table4[[#This Row],[Type]])),"",Table4[[#This Row],[Type]]),Table4[[#This Row],[Type]])</f>
        <v/>
      </c>
      <c r="I1047">
        <v>66</v>
      </c>
      <c r="L1047" t="s">
        <v>77</v>
      </c>
      <c r="P1047" t="s">
        <v>85</v>
      </c>
    </row>
    <row r="1048" spans="1:17" x14ac:dyDescent="0.25">
      <c r="A1048" t="s">
        <v>2135</v>
      </c>
      <c r="B1048" t="s">
        <v>77</v>
      </c>
      <c r="C1048" t="str">
        <f>IF(ISBLANK(Table4[[#This Row],[Region]]),Table4[[#This Row],[Node Type]],Table4[[#This Row],[Region]])</f>
        <v/>
      </c>
      <c r="E1048" t="str">
        <f>IF(ISERROR(SEARCH("Node",Table4[[#This Row],[Type]])),IF(ISERROR(SEARCH("Iliac",Table4[[#This Row],[Type]])),"",Table4[[#This Row],[Type]]),Table4[[#This Row],[Type]])</f>
        <v/>
      </c>
      <c r="I1048">
        <v>18</v>
      </c>
      <c r="L1048" t="s">
        <v>77</v>
      </c>
    </row>
    <row r="1049" spans="1:17" x14ac:dyDescent="0.25">
      <c r="A1049" t="s">
        <v>2136</v>
      </c>
      <c r="B1049" t="s">
        <v>20</v>
      </c>
      <c r="C1049" t="str">
        <f>IF(ISBLANK(Table4[[#This Row],[Region]]),Table4[[#This Row],[Node Type]],Table4[[#This Row],[Region]])</f>
        <v/>
      </c>
      <c r="E1049" t="str">
        <f>IF(ISERROR(SEARCH("Node",Table4[[#This Row],[Type]])),IF(ISERROR(SEARCH("Iliac",Table4[[#This Row],[Type]])),"",Table4[[#This Row],[Type]]),Table4[[#This Row],[Type]])</f>
        <v/>
      </c>
      <c r="I1049">
        <v>18</v>
      </c>
      <c r="L1049" t="s">
        <v>20</v>
      </c>
    </row>
    <row r="1050" spans="1:17" x14ac:dyDescent="0.25">
      <c r="A1050" t="s">
        <v>2137</v>
      </c>
      <c r="B1050" t="s">
        <v>173</v>
      </c>
      <c r="C1050" t="str">
        <f>IF(ISBLANK(Table4[[#This Row],[Region]]),Table4[[#This Row],[Node Type]],Table4[[#This Row],[Region]])</f>
        <v/>
      </c>
      <c r="E1050" t="str">
        <f>IF(ISERROR(SEARCH("Node",Table4[[#This Row],[Type]])),IF(ISERROR(SEARCH("Iliac",Table4[[#This Row],[Type]])),"",Table4[[#This Row],[Type]]),Table4[[#This Row],[Type]])</f>
        <v/>
      </c>
      <c r="J1050" t="s">
        <v>83</v>
      </c>
      <c r="L1050" t="s">
        <v>77</v>
      </c>
    </row>
    <row r="1051" spans="1:17" x14ac:dyDescent="0.25">
      <c r="A1051" t="s">
        <v>234</v>
      </c>
      <c r="B1051" t="s">
        <v>48</v>
      </c>
      <c r="C1051" t="str">
        <f>IF(ISBLANK(Table4[[#This Row],[Region]]),Table4[[#This Row],[Node Type]],Table4[[#This Row],[Region]])</f>
        <v/>
      </c>
      <c r="E1051" t="str">
        <f>IF(ISERROR(SEARCH("Node",Table4[[#This Row],[Type]])),IF(ISERROR(SEARCH("Iliac",Table4[[#This Row],[Type]])),"",Table4[[#This Row],[Type]]),Table4[[#This Row],[Type]])</f>
        <v/>
      </c>
      <c r="L1051" t="s">
        <v>46</v>
      </c>
      <c r="M1051" t="s">
        <v>235</v>
      </c>
    </row>
    <row r="1052" spans="1:17" x14ac:dyDescent="0.25">
      <c r="A1052" t="s">
        <v>2140</v>
      </c>
      <c r="B1052" t="s">
        <v>20</v>
      </c>
      <c r="C1052" t="str">
        <f>IF(ISBLANK(Table4[[#This Row],[Region]]),Table4[[#This Row],[Node Type]],Table4[[#This Row],[Region]])</f>
        <v/>
      </c>
      <c r="E1052" t="str">
        <f>IF(ISERROR(SEARCH("Node",Table4[[#This Row],[Type]])),IF(ISERROR(SEARCH("Iliac",Table4[[#This Row],[Type]])),"",Table4[[#This Row],[Type]]),Table4[[#This Row],[Type]])</f>
        <v/>
      </c>
      <c r="J1052" t="s">
        <v>2141</v>
      </c>
      <c r="L1052" t="s">
        <v>137</v>
      </c>
    </row>
    <row r="1053" spans="1:17" x14ac:dyDescent="0.25">
      <c r="A1053" t="s">
        <v>2142</v>
      </c>
      <c r="B1053" t="s">
        <v>46</v>
      </c>
      <c r="C1053" t="str">
        <f>IF(ISBLANK(Table4[[#This Row],[Region]]),Table4[[#This Row],[Node Type]],Table4[[#This Row],[Region]])</f>
        <v/>
      </c>
      <c r="E1053" t="str">
        <f>IF(ISERROR(SEARCH("Node",Table4[[#This Row],[Type]])),IF(ISERROR(SEARCH("Iliac",Table4[[#This Row],[Type]])),"",Table4[[#This Row],[Type]]),Table4[[#This Row],[Type]])</f>
        <v/>
      </c>
      <c r="J1053" t="s">
        <v>2141</v>
      </c>
      <c r="L1053" t="s">
        <v>46</v>
      </c>
      <c r="M1053" t="s">
        <v>137</v>
      </c>
    </row>
    <row r="1054" spans="1:17" x14ac:dyDescent="0.25">
      <c r="A1054" t="s">
        <v>2143</v>
      </c>
      <c r="B1054" t="s">
        <v>77</v>
      </c>
      <c r="C1054" t="str">
        <f>IF(ISBLANK(Table4[[#This Row],[Region]]),Table4[[#This Row],[Node Type]],Table4[[#This Row],[Region]])</f>
        <v/>
      </c>
      <c r="E1054" t="str">
        <f>IF(ISERROR(SEARCH("Node",Table4[[#This Row],[Type]])),IF(ISERROR(SEARCH("Iliac",Table4[[#This Row],[Type]])),"",Table4[[#This Row],[Type]]),Table4[[#This Row],[Type]])</f>
        <v/>
      </c>
      <c r="J1054" t="s">
        <v>2141</v>
      </c>
      <c r="L1054" t="s">
        <v>77</v>
      </c>
      <c r="M1054" t="s">
        <v>137</v>
      </c>
    </row>
    <row r="1055" spans="1:17" x14ac:dyDescent="0.25">
      <c r="A1055" t="s">
        <v>2144</v>
      </c>
      <c r="B1055" t="s">
        <v>77</v>
      </c>
      <c r="C1055" t="str">
        <f>IF(ISBLANK(Table4[[#This Row],[Region]]),Table4[[#This Row],[Node Type]],Table4[[#This Row],[Region]])</f>
        <v/>
      </c>
      <c r="E1055" t="str">
        <f>IF(ISERROR(SEARCH("Node",Table4[[#This Row],[Type]])),IF(ISERROR(SEARCH("Iliac",Table4[[#This Row],[Type]])),"",Table4[[#This Row],[Type]]),Table4[[#This Row],[Type]])</f>
        <v/>
      </c>
      <c r="J1055" t="s">
        <v>83</v>
      </c>
      <c r="L1055" t="s">
        <v>77</v>
      </c>
      <c r="O1055" t="s">
        <v>1136</v>
      </c>
    </row>
    <row r="1056" spans="1:17" x14ac:dyDescent="0.25">
      <c r="A1056" t="s">
        <v>2145</v>
      </c>
      <c r="B1056" t="s">
        <v>20</v>
      </c>
      <c r="C1056" t="str">
        <f>IF(ISBLANK(Table4[[#This Row],[Region]]),Table4[[#This Row],[Node Type]],Table4[[#This Row],[Region]])</f>
        <v/>
      </c>
      <c r="E1056" t="str">
        <f>IF(ISERROR(SEARCH("Node",Table4[[#This Row],[Type]])),IF(ISERROR(SEARCH("Iliac",Table4[[#This Row],[Type]])),"",Table4[[#This Row],[Type]]),Table4[[#This Row],[Type]])</f>
        <v/>
      </c>
      <c r="L1056" t="s">
        <v>137</v>
      </c>
      <c r="N1056" t="s">
        <v>873</v>
      </c>
      <c r="O1056" t="s">
        <v>1136</v>
      </c>
    </row>
    <row r="1057" spans="1:14" x14ac:dyDescent="0.25">
      <c r="A1057" t="s">
        <v>2146</v>
      </c>
      <c r="B1057" t="s">
        <v>46</v>
      </c>
      <c r="C1057" t="str">
        <f>IF(ISBLANK(Table4[[#This Row],[Region]]),Table4[[#This Row],[Node Type]],Table4[[#This Row],[Region]])</f>
        <v/>
      </c>
      <c r="E1057" t="str">
        <f>IF(ISERROR(SEARCH("Node",Table4[[#This Row],[Type]])),IF(ISERROR(SEARCH("Iliac",Table4[[#This Row],[Type]])),"",Table4[[#This Row],[Type]]),Table4[[#This Row],[Type]])</f>
        <v/>
      </c>
      <c r="J1057" t="s">
        <v>2147</v>
      </c>
      <c r="L1057" t="s">
        <v>46</v>
      </c>
    </row>
    <row r="1058" spans="1:14" x14ac:dyDescent="0.25">
      <c r="A1058" t="s">
        <v>2148</v>
      </c>
      <c r="B1058" t="s">
        <v>77</v>
      </c>
      <c r="C1058" t="str">
        <f>IF(ISBLANK(Table4[[#This Row],[Region]]),Table4[[#This Row],[Node Type]],Table4[[#This Row],[Region]])</f>
        <v/>
      </c>
      <c r="E1058" t="str">
        <f>IF(ISERROR(SEARCH("Node",Table4[[#This Row],[Type]])),IF(ISERROR(SEARCH("Iliac",Table4[[#This Row],[Type]])),"",Table4[[#This Row],[Type]]),Table4[[#This Row],[Type]])</f>
        <v/>
      </c>
      <c r="J1058" t="s">
        <v>2149</v>
      </c>
      <c r="L1058" t="s">
        <v>77</v>
      </c>
    </row>
    <row r="1059" spans="1:14" x14ac:dyDescent="0.25">
      <c r="A1059" t="s">
        <v>2150</v>
      </c>
      <c r="B1059" t="s">
        <v>77</v>
      </c>
      <c r="C1059" t="str">
        <f>IF(ISBLANK(Table4[[#This Row],[Region]]),Table4[[#This Row],[Node Type]],Table4[[#This Row],[Region]])</f>
        <v/>
      </c>
      <c r="E1059" t="str">
        <f>IF(ISERROR(SEARCH("Node",Table4[[#This Row],[Type]])),IF(ISERROR(SEARCH("Iliac",Table4[[#This Row],[Type]])),"",Table4[[#This Row],[Type]]),Table4[[#This Row],[Type]])</f>
        <v/>
      </c>
      <c r="J1059" t="s">
        <v>83</v>
      </c>
      <c r="L1059" t="s">
        <v>77</v>
      </c>
    </row>
    <row r="1060" spans="1:14" x14ac:dyDescent="0.25">
      <c r="A1060" t="s">
        <v>2151</v>
      </c>
      <c r="B1060" t="s">
        <v>77</v>
      </c>
      <c r="C1060" t="str">
        <f>IF(ISBLANK(Table4[[#This Row],[Region]]),Table4[[#This Row],[Node Type]],Table4[[#This Row],[Region]])</f>
        <v/>
      </c>
      <c r="E1060" t="str">
        <f>IF(ISERROR(SEARCH("Node",Table4[[#This Row],[Type]])),IF(ISERROR(SEARCH("Iliac",Table4[[#This Row],[Type]])),"",Table4[[#This Row],[Type]]),Table4[[#This Row],[Type]])</f>
        <v/>
      </c>
      <c r="J1060" t="s">
        <v>83</v>
      </c>
      <c r="L1060" t="s">
        <v>77</v>
      </c>
    </row>
    <row r="1061" spans="1:14" x14ac:dyDescent="0.25">
      <c r="A1061" t="s">
        <v>2152</v>
      </c>
      <c r="B1061" t="s">
        <v>77</v>
      </c>
      <c r="C1061" t="str">
        <f>IF(ISBLANK(Table4[[#This Row],[Region]]),Table4[[#This Row],[Node Type]],Table4[[#This Row],[Region]])</f>
        <v/>
      </c>
      <c r="E1061" t="str">
        <f>IF(ISERROR(SEARCH("Node",Table4[[#This Row],[Type]])),IF(ISERROR(SEARCH("Iliac",Table4[[#This Row],[Type]])),"",Table4[[#This Row],[Type]]),Table4[[#This Row],[Type]])</f>
        <v/>
      </c>
      <c r="L1061" t="s">
        <v>77</v>
      </c>
      <c r="M1061" t="s">
        <v>137</v>
      </c>
      <c r="N1061" t="s">
        <v>873</v>
      </c>
    </row>
    <row r="1062" spans="1:14" x14ac:dyDescent="0.25">
      <c r="A1062" t="s">
        <v>2153</v>
      </c>
      <c r="B1062" t="s">
        <v>46</v>
      </c>
      <c r="C1062" t="str">
        <f>IF(ISBLANK(Table4[[#This Row],[Region]]),Table4[[#This Row],[Node Type]],Table4[[#This Row],[Region]])</f>
        <v/>
      </c>
      <c r="E1062" t="str">
        <f>IF(ISERROR(SEARCH("Node",Table4[[#This Row],[Type]])),IF(ISERROR(SEARCH("Iliac",Table4[[#This Row],[Type]])),"",Table4[[#This Row],[Type]]),Table4[[#This Row],[Type]])</f>
        <v/>
      </c>
      <c r="L1062" t="s">
        <v>46</v>
      </c>
      <c r="M1062" t="s">
        <v>137</v>
      </c>
      <c r="N1062" t="s">
        <v>873</v>
      </c>
    </row>
    <row r="1063" spans="1:14" x14ac:dyDescent="0.25">
      <c r="A1063" t="s">
        <v>2154</v>
      </c>
      <c r="B1063" t="s">
        <v>20</v>
      </c>
      <c r="C1063" t="str">
        <f>IF(ISBLANK(Table4[[#This Row],[Region]]),Table4[[#This Row],[Node Type]],Table4[[#This Row],[Region]])</f>
        <v/>
      </c>
      <c r="E1063" t="str">
        <f>IF(ISERROR(SEARCH("Node",Table4[[#This Row],[Type]])),IF(ISERROR(SEARCH("Iliac",Table4[[#This Row],[Type]])),"",Table4[[#This Row],[Type]]),Table4[[#This Row],[Type]])</f>
        <v/>
      </c>
      <c r="L1063" t="s">
        <v>137</v>
      </c>
      <c r="N1063" t="s">
        <v>873</v>
      </c>
    </row>
    <row r="1064" spans="1:14" x14ac:dyDescent="0.25">
      <c r="A1064" t="s">
        <v>2155</v>
      </c>
      <c r="B1064" t="s">
        <v>20</v>
      </c>
      <c r="C1064" t="str">
        <f>IF(ISBLANK(Table4[[#This Row],[Region]]),Table4[[#This Row],[Node Type]],Table4[[#This Row],[Region]])</f>
        <v/>
      </c>
      <c r="E1064" t="str">
        <f>IF(ISERROR(SEARCH("Node",Table4[[#This Row],[Type]])),IF(ISERROR(SEARCH("Iliac",Table4[[#This Row],[Type]])),"",Table4[[#This Row],[Type]]),Table4[[#This Row],[Type]])</f>
        <v/>
      </c>
      <c r="L1064" t="s">
        <v>137</v>
      </c>
      <c r="N1064" t="s">
        <v>878</v>
      </c>
    </row>
    <row r="1065" spans="1:14" x14ac:dyDescent="0.25">
      <c r="A1065" t="s">
        <v>1008</v>
      </c>
      <c r="B1065" t="s">
        <v>48</v>
      </c>
      <c r="C1065" t="str">
        <f>IF(ISBLANK(Table4[[#This Row],[Region]]),Table4[[#This Row],[Node Type]],Table4[[#This Row],[Region]])</f>
        <v/>
      </c>
      <c r="E1065" t="str">
        <f>IF(ISERROR(SEARCH("Node",Table4[[#This Row],[Type]])),IF(ISERROR(SEARCH("Iliac",Table4[[#This Row],[Type]])),"",Table4[[#This Row],[Type]]),Table4[[#This Row],[Type]])</f>
        <v/>
      </c>
      <c r="I1065">
        <v>46</v>
      </c>
      <c r="L1065" t="s">
        <v>46</v>
      </c>
    </row>
    <row r="1066" spans="1:14" x14ac:dyDescent="0.25">
      <c r="A1066" t="s">
        <v>2178</v>
      </c>
      <c r="B1066" t="s">
        <v>77</v>
      </c>
      <c r="C1066" t="str">
        <f>IF(ISBLANK(Table4[[#This Row],[Region]]),Table4[[#This Row],[Node Type]],Table4[[#This Row],[Region]])</f>
        <v/>
      </c>
      <c r="E1066" t="str">
        <f>IF(ISERROR(SEARCH("Node",Table4[[#This Row],[Type]])),IF(ISERROR(SEARCH("Iliac",Table4[[#This Row],[Type]])),"",Table4[[#This Row],[Type]]),Table4[[#This Row],[Type]])</f>
        <v/>
      </c>
      <c r="H1066">
        <v>9</v>
      </c>
      <c r="I1066">
        <v>27</v>
      </c>
      <c r="L1066" t="s">
        <v>77</v>
      </c>
    </row>
    <row r="1067" spans="1:14" x14ac:dyDescent="0.25">
      <c r="A1067" t="s">
        <v>2179</v>
      </c>
      <c r="B1067" t="s">
        <v>77</v>
      </c>
      <c r="C1067" t="str">
        <f>IF(ISBLANK(Table4[[#This Row],[Region]]),Table4[[#This Row],[Node Type]],Table4[[#This Row],[Region]])</f>
        <v/>
      </c>
      <c r="E1067" t="str">
        <f>IF(ISERROR(SEARCH("Node",Table4[[#This Row],[Type]])),IF(ISERROR(SEARCH("Iliac",Table4[[#This Row],[Type]])),"",Table4[[#This Row],[Type]]),Table4[[#This Row],[Type]])</f>
        <v/>
      </c>
      <c r="H1067">
        <v>8</v>
      </c>
      <c r="I1067">
        <v>24</v>
      </c>
      <c r="L1067" t="s">
        <v>77</v>
      </c>
    </row>
    <row r="1068" spans="1:14" x14ac:dyDescent="0.25">
      <c r="A1068" t="s">
        <v>2180</v>
      </c>
      <c r="B1068" t="s">
        <v>77</v>
      </c>
      <c r="C1068" t="str">
        <f>IF(ISBLANK(Table4[[#This Row],[Region]]),Table4[[#This Row],[Node Type]],Table4[[#This Row],[Region]])</f>
        <v/>
      </c>
      <c r="E1068" t="str">
        <f>IF(ISERROR(SEARCH("Node",Table4[[#This Row],[Type]])),IF(ISERROR(SEARCH("Iliac",Table4[[#This Row],[Type]])),"",Table4[[#This Row],[Type]]),Table4[[#This Row],[Type]])</f>
        <v/>
      </c>
      <c r="H1068">
        <v>7</v>
      </c>
      <c r="I1068">
        <v>27</v>
      </c>
      <c r="L1068" t="s">
        <v>77</v>
      </c>
    </row>
    <row r="1069" spans="1:14" x14ac:dyDescent="0.25">
      <c r="A1069" t="s">
        <v>2181</v>
      </c>
      <c r="B1069" t="s">
        <v>77</v>
      </c>
      <c r="C1069" t="str">
        <f>IF(ISBLANK(Table4[[#This Row],[Region]]),Table4[[#This Row],[Node Type]],Table4[[#This Row],[Region]])</f>
        <v/>
      </c>
      <c r="E1069" t="str">
        <f>IF(ISERROR(SEARCH("Node",Table4[[#This Row],[Type]])),IF(ISERROR(SEARCH("Iliac",Table4[[#This Row],[Type]])),"",Table4[[#This Row],[Type]]),Table4[[#This Row],[Type]])</f>
        <v/>
      </c>
      <c r="H1069">
        <v>6</v>
      </c>
      <c r="I1069">
        <v>24</v>
      </c>
      <c r="L1069" t="s">
        <v>77</v>
      </c>
    </row>
    <row r="1070" spans="1:14" x14ac:dyDescent="0.25">
      <c r="A1070" t="s">
        <v>2182</v>
      </c>
      <c r="B1070" t="s">
        <v>20</v>
      </c>
      <c r="C1070" t="str">
        <f>IF(ISBLANK(Table4[[#This Row],[Region]]),Table4[[#This Row],[Node Type]],Table4[[#This Row],[Region]])</f>
        <v/>
      </c>
      <c r="E1070" t="str">
        <f>IF(ISERROR(SEARCH("Node",Table4[[#This Row],[Type]])),IF(ISERROR(SEARCH("Iliac",Table4[[#This Row],[Type]])),"",Table4[[#This Row],[Type]]),Table4[[#This Row],[Type]])</f>
        <v/>
      </c>
      <c r="H1070">
        <v>9</v>
      </c>
      <c r="I1070">
        <v>27</v>
      </c>
      <c r="L1070" t="s">
        <v>20</v>
      </c>
    </row>
    <row r="1071" spans="1:14" x14ac:dyDescent="0.25">
      <c r="A1071" t="s">
        <v>2183</v>
      </c>
      <c r="B1071" t="s">
        <v>20</v>
      </c>
      <c r="C1071" t="str">
        <f>IF(ISBLANK(Table4[[#This Row],[Region]]),Table4[[#This Row],[Node Type]],Table4[[#This Row],[Region]])</f>
        <v/>
      </c>
      <c r="E1071" t="str">
        <f>IF(ISERROR(SEARCH("Node",Table4[[#This Row],[Type]])),IF(ISERROR(SEARCH("Iliac",Table4[[#This Row],[Type]])),"",Table4[[#This Row],[Type]]),Table4[[#This Row],[Type]])</f>
        <v/>
      </c>
      <c r="H1071">
        <v>8</v>
      </c>
      <c r="I1071">
        <v>24</v>
      </c>
      <c r="L1071" t="s">
        <v>20</v>
      </c>
    </row>
    <row r="1072" spans="1:14" x14ac:dyDescent="0.25">
      <c r="A1072" t="s">
        <v>2184</v>
      </c>
      <c r="B1072" t="s">
        <v>20</v>
      </c>
      <c r="C1072" t="str">
        <f>IF(ISBLANK(Table4[[#This Row],[Region]]),Table4[[#This Row],[Node Type]],Table4[[#This Row],[Region]])</f>
        <v/>
      </c>
      <c r="E1072" t="str">
        <f>IF(ISERROR(SEARCH("Node",Table4[[#This Row],[Type]])),IF(ISERROR(SEARCH("Iliac",Table4[[#This Row],[Type]])),"",Table4[[#This Row],[Type]]),Table4[[#This Row],[Type]])</f>
        <v/>
      </c>
      <c r="H1072">
        <v>7</v>
      </c>
      <c r="I1072">
        <v>27</v>
      </c>
      <c r="L1072" t="s">
        <v>20</v>
      </c>
    </row>
    <row r="1073" spans="1:17" x14ac:dyDescent="0.25">
      <c r="A1073" t="s">
        <v>2185</v>
      </c>
      <c r="B1073" t="s">
        <v>20</v>
      </c>
      <c r="C1073" t="str">
        <f>IF(ISBLANK(Table4[[#This Row],[Region]]),Table4[[#This Row],[Node Type]],Table4[[#This Row],[Region]])</f>
        <v/>
      </c>
      <c r="E1073" t="str">
        <f>IF(ISERROR(SEARCH("Node",Table4[[#This Row],[Type]])),IF(ISERROR(SEARCH("Iliac",Table4[[#This Row],[Type]])),"",Table4[[#This Row],[Type]]),Table4[[#This Row],[Type]])</f>
        <v/>
      </c>
      <c r="H1073">
        <v>6</v>
      </c>
      <c r="I1073">
        <v>24</v>
      </c>
      <c r="L1073" t="s">
        <v>20</v>
      </c>
    </row>
    <row r="1074" spans="1:17" x14ac:dyDescent="0.25">
      <c r="A1074" t="s">
        <v>2186</v>
      </c>
      <c r="B1074" t="s">
        <v>20</v>
      </c>
      <c r="C1074" t="str">
        <f>IF(ISBLANK(Table4[[#This Row],[Region]]),Table4[[#This Row],[Node Type]],Table4[[#This Row],[Region]])</f>
        <v/>
      </c>
      <c r="E1074" t="str">
        <f>IF(ISERROR(SEARCH("Node",Table4[[#This Row],[Type]])),IF(ISERROR(SEARCH("Iliac",Table4[[#This Row],[Type]])),"",Table4[[#This Row],[Type]]),Table4[[#This Row],[Type]])</f>
        <v/>
      </c>
      <c r="H1074">
        <v>10</v>
      </c>
      <c r="I1074">
        <v>24</v>
      </c>
      <c r="L1074" t="s">
        <v>20</v>
      </c>
    </row>
    <row r="1075" spans="1:17" x14ac:dyDescent="0.25">
      <c r="A1075" t="s">
        <v>2187</v>
      </c>
      <c r="B1075" t="s">
        <v>77</v>
      </c>
      <c r="C1075" t="str">
        <f>IF(ISBLANK(Table4[[#This Row],[Region]]),Table4[[#This Row],[Node Type]],Table4[[#This Row],[Region]])</f>
        <v/>
      </c>
      <c r="E1075" t="str">
        <f>IF(ISERROR(SEARCH("Node",Table4[[#This Row],[Type]])),IF(ISERROR(SEARCH("Iliac",Table4[[#This Row],[Type]])),"",Table4[[#This Row],[Type]]),Table4[[#This Row],[Type]])</f>
        <v/>
      </c>
      <c r="H1075">
        <v>10</v>
      </c>
      <c r="I1075">
        <v>24</v>
      </c>
      <c r="L1075" t="s">
        <v>77</v>
      </c>
    </row>
    <row r="1076" spans="1:17" x14ac:dyDescent="0.25">
      <c r="A1076" t="s">
        <v>2197</v>
      </c>
      <c r="B1076" t="s">
        <v>20</v>
      </c>
      <c r="C1076" t="str">
        <f>IF(ISBLANK(Table4[[#This Row],[Region]]),Table4[[#This Row],[Node Type]],Table4[[#This Row],[Region]])</f>
        <v/>
      </c>
      <c r="E1076" t="str">
        <f>IF(ISERROR(SEARCH("Node",Table4[[#This Row],[Type]])),IF(ISERROR(SEARCH("Iliac",Table4[[#This Row],[Type]])),"",Table4[[#This Row],[Type]]),Table4[[#This Row],[Type]])</f>
        <v/>
      </c>
      <c r="I1076">
        <v>48</v>
      </c>
      <c r="L1076" t="s">
        <v>44</v>
      </c>
    </row>
    <row r="1077" spans="1:17" x14ac:dyDescent="0.25">
      <c r="A1077" t="s">
        <v>2199</v>
      </c>
      <c r="B1077" t="s">
        <v>77</v>
      </c>
      <c r="C1077" t="str">
        <f>IF(ISBLANK(Table4[[#This Row],[Region]]),Table4[[#This Row],[Node Type]],Table4[[#This Row],[Region]])</f>
        <v/>
      </c>
      <c r="E1077" t="str">
        <f>IF(ISERROR(SEARCH("Node",Table4[[#This Row],[Type]])),IF(ISERROR(SEARCH("Iliac",Table4[[#This Row],[Type]])),"",Table4[[#This Row],[Type]]),Table4[[#This Row],[Type]])</f>
        <v/>
      </c>
      <c r="I1077">
        <v>48</v>
      </c>
      <c r="L1077" t="s">
        <v>77</v>
      </c>
    </row>
    <row r="1078" spans="1:17" x14ac:dyDescent="0.25">
      <c r="A1078" t="s">
        <v>2200</v>
      </c>
      <c r="B1078" t="s">
        <v>77</v>
      </c>
      <c r="C1078" t="str">
        <f>IF(ISBLANK(Table4[[#This Row],[Region]]),Table4[[#This Row],[Node Type]],Table4[[#This Row],[Region]])</f>
        <v/>
      </c>
      <c r="E1078" t="str">
        <f>IF(ISERROR(SEARCH("Node",Table4[[#This Row],[Type]])),IF(ISERROR(SEARCH("Iliac",Table4[[#This Row],[Type]])),"",Table4[[#This Row],[Type]]),Table4[[#This Row],[Type]])</f>
        <v/>
      </c>
      <c r="H1078">
        <v>1</v>
      </c>
      <c r="I1078">
        <v>16</v>
      </c>
      <c r="L1078" t="s">
        <v>77</v>
      </c>
    </row>
    <row r="1079" spans="1:17" x14ac:dyDescent="0.25">
      <c r="A1079" t="s">
        <v>2202</v>
      </c>
      <c r="B1079" t="s">
        <v>20</v>
      </c>
      <c r="C1079" t="str">
        <f>IF(ISBLANK(Table4[[#This Row],[Region]]),Table4[[#This Row],[Node Type]],Table4[[#This Row],[Region]])</f>
        <v/>
      </c>
      <c r="E1079" t="str">
        <f>IF(ISERROR(SEARCH("Node",Table4[[#This Row],[Type]])),IF(ISERROR(SEARCH("Iliac",Table4[[#This Row],[Type]])),"",Table4[[#This Row],[Type]]),Table4[[#This Row],[Type]])</f>
        <v/>
      </c>
      <c r="H1079">
        <v>1</v>
      </c>
      <c r="I1079">
        <v>16</v>
      </c>
      <c r="L1079" t="s">
        <v>20</v>
      </c>
    </row>
    <row r="1080" spans="1:17" x14ac:dyDescent="0.25">
      <c r="A1080" t="s">
        <v>2203</v>
      </c>
      <c r="B1080" t="s">
        <v>20</v>
      </c>
      <c r="C1080" t="str">
        <f>IF(ISBLANK(Table4[[#This Row],[Region]]),Table4[[#This Row],[Node Type]],Table4[[#This Row],[Region]])</f>
        <v/>
      </c>
      <c r="E1080" t="str">
        <f>IF(ISERROR(SEARCH("Node",Table4[[#This Row],[Type]])),IF(ISERROR(SEARCH("Iliac",Table4[[#This Row],[Type]])),"",Table4[[#This Row],[Type]]),Table4[[#This Row],[Type]])</f>
        <v/>
      </c>
      <c r="L1080" t="s">
        <v>20</v>
      </c>
    </row>
    <row r="1081" spans="1:17" x14ac:dyDescent="0.25">
      <c r="A1081" t="s">
        <v>2206</v>
      </c>
      <c r="B1081" t="s">
        <v>77</v>
      </c>
      <c r="C1081" t="str">
        <f>IF(ISBLANK(Table4[[#This Row],[Region]]),Table4[[#This Row],[Node Type]],Table4[[#This Row],[Region]])</f>
        <v/>
      </c>
      <c r="E1081" t="str">
        <f>IF(ISERROR(SEARCH("Node",Table4[[#This Row],[Type]])),IF(ISERROR(SEARCH("Iliac",Table4[[#This Row],[Type]])),"",Table4[[#This Row],[Type]]),Table4[[#This Row],[Type]])</f>
        <v/>
      </c>
      <c r="I1081">
        <v>70</v>
      </c>
      <c r="L1081" t="s">
        <v>77</v>
      </c>
      <c r="Q1081" t="s">
        <v>605</v>
      </c>
    </row>
    <row r="1082" spans="1:17" x14ac:dyDescent="0.25">
      <c r="A1082" t="s">
        <v>2207</v>
      </c>
      <c r="B1082" t="s">
        <v>77</v>
      </c>
      <c r="C1082" t="str">
        <f>IF(ISBLANK(Table4[[#This Row],[Region]]),Table4[[#This Row],[Node Type]],Table4[[#This Row],[Region]])</f>
        <v/>
      </c>
      <c r="E1082" t="str">
        <f>IF(ISERROR(SEARCH("Node",Table4[[#This Row],[Type]])),IF(ISERROR(SEARCH("Iliac",Table4[[#This Row],[Type]])),"",Table4[[#This Row],[Type]]),Table4[[#This Row],[Type]])</f>
        <v/>
      </c>
      <c r="I1082">
        <v>70</v>
      </c>
      <c r="L1082" t="s">
        <v>77</v>
      </c>
      <c r="M1082" t="s">
        <v>235</v>
      </c>
    </row>
    <row r="1083" spans="1:17" x14ac:dyDescent="0.25">
      <c r="A1083" t="s">
        <v>2208</v>
      </c>
      <c r="B1083" t="s">
        <v>46</v>
      </c>
      <c r="C1083" t="str">
        <f>IF(ISBLANK(Table4[[#This Row],[Region]]),Table4[[#This Row],[Node Type]],Table4[[#This Row],[Region]])</f>
        <v/>
      </c>
      <c r="E1083" t="str">
        <f>IF(ISERROR(SEARCH("Node",Table4[[#This Row],[Type]])),IF(ISERROR(SEARCH("Iliac",Table4[[#This Row],[Type]])),"",Table4[[#This Row],[Type]]),Table4[[#This Row],[Type]])</f>
        <v/>
      </c>
      <c r="I1083">
        <v>63</v>
      </c>
      <c r="L1083" t="s">
        <v>46</v>
      </c>
      <c r="M1083" t="s">
        <v>79</v>
      </c>
    </row>
    <row r="1084" spans="1:17" x14ac:dyDescent="0.25">
      <c r="A1084" t="s">
        <v>2209</v>
      </c>
      <c r="B1084" t="s">
        <v>77</v>
      </c>
      <c r="C1084" t="str">
        <f>IF(ISBLANK(Table4[[#This Row],[Region]]),Table4[[#This Row],[Node Type]],Table4[[#This Row],[Region]])</f>
        <v/>
      </c>
      <c r="E1084" t="str">
        <f>IF(ISERROR(SEARCH("Node",Table4[[#This Row],[Type]])),IF(ISERROR(SEARCH("Iliac",Table4[[#This Row],[Type]])),"",Table4[[#This Row],[Type]]),Table4[[#This Row],[Type]])</f>
        <v/>
      </c>
      <c r="I1084">
        <v>70</v>
      </c>
      <c r="L1084" t="s">
        <v>77</v>
      </c>
      <c r="M1084" t="s">
        <v>79</v>
      </c>
    </row>
    <row r="1085" spans="1:17" x14ac:dyDescent="0.25">
      <c r="A1085" t="s">
        <v>2210</v>
      </c>
      <c r="B1085" t="s">
        <v>77</v>
      </c>
      <c r="C1085" t="str">
        <f>IF(ISBLANK(Table4[[#This Row],[Region]]),Table4[[#This Row],[Node Type]],Table4[[#This Row],[Region]])</f>
        <v/>
      </c>
      <c r="E1085" t="str">
        <f>IF(ISERROR(SEARCH("Node",Table4[[#This Row],[Type]])),IF(ISERROR(SEARCH("Iliac",Table4[[#This Row],[Type]])),"",Table4[[#This Row],[Type]]),Table4[[#This Row],[Type]])</f>
        <v/>
      </c>
      <c r="I1085">
        <v>63</v>
      </c>
      <c r="L1085" t="s">
        <v>77</v>
      </c>
      <c r="M1085" t="s">
        <v>79</v>
      </c>
    </row>
    <row r="1086" spans="1:17" x14ac:dyDescent="0.25">
      <c r="A1086" t="s">
        <v>2211</v>
      </c>
      <c r="B1086" t="s">
        <v>48</v>
      </c>
      <c r="C1086" t="str">
        <f>IF(ISBLANK(Table4[[#This Row],[Region]]),Table4[[#This Row],[Node Type]],Table4[[#This Row],[Region]])</f>
        <v/>
      </c>
      <c r="E1086" t="str">
        <f>IF(ISERROR(SEARCH("Node",Table4[[#This Row],[Type]])),IF(ISERROR(SEARCH("Iliac",Table4[[#This Row],[Type]])),"",Table4[[#This Row],[Type]]),Table4[[#This Row],[Type]])</f>
        <v/>
      </c>
      <c r="I1086">
        <v>70</v>
      </c>
      <c r="L1086" t="s">
        <v>20</v>
      </c>
      <c r="M1086" t="s">
        <v>79</v>
      </c>
    </row>
    <row r="1087" spans="1:17" x14ac:dyDescent="0.25">
      <c r="A1087" t="s">
        <v>2212</v>
      </c>
      <c r="B1087" t="s">
        <v>46</v>
      </c>
      <c r="C1087" t="str">
        <f>IF(ISBLANK(Table4[[#This Row],[Region]]),Table4[[#This Row],[Node Type]],Table4[[#This Row],[Region]])</f>
        <v/>
      </c>
      <c r="E1087" t="str">
        <f>IF(ISERROR(SEARCH("Node",Table4[[#This Row],[Type]])),IF(ISERROR(SEARCH("Iliac",Table4[[#This Row],[Type]])),"",Table4[[#This Row],[Type]]),Table4[[#This Row],[Type]])</f>
        <v/>
      </c>
      <c r="L1087" t="s">
        <v>46</v>
      </c>
      <c r="N1087" t="s">
        <v>106</v>
      </c>
    </row>
    <row r="1088" spans="1:17" x14ac:dyDescent="0.25">
      <c r="A1088" t="s">
        <v>2213</v>
      </c>
      <c r="B1088" t="s">
        <v>77</v>
      </c>
      <c r="C1088" t="str">
        <f>IF(ISBLANK(Table4[[#This Row],[Region]]),Table4[[#This Row],[Node Type]],Table4[[#This Row],[Region]])</f>
        <v/>
      </c>
      <c r="E1088" t="str">
        <f>IF(ISERROR(SEARCH("Node",Table4[[#This Row],[Type]])),IF(ISERROR(SEARCH("Iliac",Table4[[#This Row],[Type]])),"",Table4[[#This Row],[Type]]),Table4[[#This Row],[Type]])</f>
        <v/>
      </c>
      <c r="L1088" t="s">
        <v>77</v>
      </c>
      <c r="N1088" t="s">
        <v>106</v>
      </c>
    </row>
    <row r="1089" spans="1:16" x14ac:dyDescent="0.25">
      <c r="A1089" t="s">
        <v>2214</v>
      </c>
      <c r="B1089" t="s">
        <v>20</v>
      </c>
      <c r="C1089" t="str">
        <f>IF(ISBLANK(Table4[[#This Row],[Region]]),Table4[[#This Row],[Node Type]],Table4[[#This Row],[Region]])</f>
        <v/>
      </c>
      <c r="E1089" t="str">
        <f>IF(ISERROR(SEARCH("Node",Table4[[#This Row],[Type]])),IF(ISERROR(SEARCH("Iliac",Table4[[#This Row],[Type]])),"",Table4[[#This Row],[Type]]),Table4[[#This Row],[Type]])</f>
        <v/>
      </c>
      <c r="H1089">
        <v>8</v>
      </c>
      <c r="I1089">
        <v>27</v>
      </c>
      <c r="L1089" t="s">
        <v>20</v>
      </c>
    </row>
    <row r="1090" spans="1:16" x14ac:dyDescent="0.25">
      <c r="A1090" t="s">
        <v>2215</v>
      </c>
      <c r="B1090" t="s">
        <v>173</v>
      </c>
      <c r="C1090" t="str">
        <f>IF(ISBLANK(Table4[[#This Row],[Region]]),Table4[[#This Row],[Node Type]],Table4[[#This Row],[Region]])</f>
        <v/>
      </c>
      <c r="E1090" t="str">
        <f>IF(ISERROR(SEARCH("Node",Table4[[#This Row],[Type]])),IF(ISERROR(SEARCH("Iliac",Table4[[#This Row],[Type]])),"",Table4[[#This Row],[Type]]),Table4[[#This Row],[Type]])</f>
        <v/>
      </c>
      <c r="J1090" t="s">
        <v>2216</v>
      </c>
      <c r="L1090" t="s">
        <v>20</v>
      </c>
    </row>
    <row r="1091" spans="1:16" x14ac:dyDescent="0.25">
      <c r="A1091" t="s">
        <v>2218</v>
      </c>
      <c r="B1091" t="s">
        <v>77</v>
      </c>
      <c r="C1091" t="str">
        <f>IF(ISBLANK(Table4[[#This Row],[Region]]),Table4[[#This Row],[Node Type]],Table4[[#This Row],[Region]])</f>
        <v/>
      </c>
      <c r="E1091" t="str">
        <f>IF(ISERROR(SEARCH("Node",Table4[[#This Row],[Type]])),IF(ISERROR(SEARCH("Iliac",Table4[[#This Row],[Type]])),"",Table4[[#This Row],[Type]]),Table4[[#This Row],[Type]])</f>
        <v/>
      </c>
      <c r="L1091" t="s">
        <v>77</v>
      </c>
    </row>
    <row r="1092" spans="1:16" x14ac:dyDescent="0.25">
      <c r="A1092" t="s">
        <v>2219</v>
      </c>
      <c r="B1092" t="s">
        <v>77</v>
      </c>
      <c r="C1092" t="str">
        <f>IF(ISBLANK(Table4[[#This Row],[Region]]),Table4[[#This Row],[Node Type]],Table4[[#This Row],[Region]])</f>
        <v/>
      </c>
      <c r="E1092" t="str">
        <f>IF(ISERROR(SEARCH("Node",Table4[[#This Row],[Type]])),IF(ISERROR(SEARCH("Iliac",Table4[[#This Row],[Type]])),"",Table4[[#This Row],[Type]]),Table4[[#This Row],[Type]])</f>
        <v/>
      </c>
      <c r="K1092" t="s">
        <v>211</v>
      </c>
      <c r="L1092" t="s">
        <v>77</v>
      </c>
    </row>
    <row r="1093" spans="1:16" x14ac:dyDescent="0.25">
      <c r="A1093" t="s">
        <v>2221</v>
      </c>
      <c r="B1093" t="s">
        <v>77</v>
      </c>
      <c r="C1093" t="str">
        <f>IF(ISBLANK(Table4[[#This Row],[Region]]),Table4[[#This Row],[Node Type]],Table4[[#This Row],[Region]])</f>
        <v/>
      </c>
      <c r="E1093" t="str">
        <f>IF(ISERROR(SEARCH("Node",Table4[[#This Row],[Type]])),IF(ISERROR(SEARCH("Iliac",Table4[[#This Row],[Type]])),"",Table4[[#This Row],[Type]]),Table4[[#This Row],[Type]])</f>
        <v/>
      </c>
      <c r="J1093" t="s">
        <v>2222</v>
      </c>
      <c r="L1093" t="s">
        <v>77</v>
      </c>
    </row>
    <row r="1094" spans="1:16" x14ac:dyDescent="0.25">
      <c r="A1094" t="s">
        <v>2223</v>
      </c>
      <c r="B1094" t="s">
        <v>20</v>
      </c>
      <c r="C1094" t="str">
        <f>IF(ISBLANK(Table4[[#This Row],[Region]]),Table4[[#This Row],[Node Type]],Table4[[#This Row],[Region]])</f>
        <v/>
      </c>
      <c r="E1094" t="str">
        <f>IF(ISERROR(SEARCH("Node",Table4[[#This Row],[Type]])),IF(ISERROR(SEARCH("Iliac",Table4[[#This Row],[Type]])),"",Table4[[#This Row],[Type]]),Table4[[#This Row],[Type]])</f>
        <v/>
      </c>
      <c r="J1094" t="s">
        <v>2222</v>
      </c>
      <c r="L1094" t="s">
        <v>20</v>
      </c>
    </row>
    <row r="1095" spans="1:16" x14ac:dyDescent="0.25">
      <c r="A1095" t="s">
        <v>2224</v>
      </c>
      <c r="B1095" t="s">
        <v>46</v>
      </c>
      <c r="C1095" t="str">
        <f>IF(ISBLANK(Table4[[#This Row],[Region]]),Table4[[#This Row],[Node Type]],Table4[[#This Row],[Region]])</f>
        <v/>
      </c>
      <c r="E1095" t="str">
        <f>IF(ISERROR(SEARCH("Node",Table4[[#This Row],[Type]])),IF(ISERROR(SEARCH("Iliac",Table4[[#This Row],[Type]])),"",Table4[[#This Row],[Type]]),Table4[[#This Row],[Type]])</f>
        <v/>
      </c>
      <c r="J1095" t="s">
        <v>2222</v>
      </c>
      <c r="L1095" t="s">
        <v>46</v>
      </c>
    </row>
    <row r="1096" spans="1:16" x14ac:dyDescent="0.25">
      <c r="A1096" t="s">
        <v>2226</v>
      </c>
      <c r="B1096" t="s">
        <v>46</v>
      </c>
      <c r="C1096" t="str">
        <f>IF(ISBLANK(Table4[[#This Row],[Region]]),Table4[[#This Row],[Node Type]],Table4[[#This Row],[Region]])</f>
        <v/>
      </c>
      <c r="E1096" t="str">
        <f>IF(ISERROR(SEARCH("Node",Table4[[#This Row],[Type]])),IF(ISERROR(SEARCH("Iliac",Table4[[#This Row],[Type]])),"",Table4[[#This Row],[Type]]),Table4[[#This Row],[Type]])</f>
        <v/>
      </c>
      <c r="J1096" t="s">
        <v>2227</v>
      </c>
      <c r="L1096" t="s">
        <v>46</v>
      </c>
    </row>
    <row r="1097" spans="1:16" x14ac:dyDescent="0.25">
      <c r="A1097" t="s">
        <v>2228</v>
      </c>
      <c r="B1097" t="s">
        <v>20</v>
      </c>
      <c r="C1097" t="str">
        <f>IF(ISBLANK(Table4[[#This Row],[Region]]),Table4[[#This Row],[Node Type]],Table4[[#This Row],[Region]])</f>
        <v/>
      </c>
      <c r="E1097" t="str">
        <f>IF(ISERROR(SEARCH("Node",Table4[[#This Row],[Type]])),IF(ISERROR(SEARCH("Iliac",Table4[[#This Row],[Type]])),"",Table4[[#This Row],[Type]]),Table4[[#This Row],[Type]])</f>
        <v/>
      </c>
      <c r="J1097" t="s">
        <v>2227</v>
      </c>
      <c r="L1097" t="s">
        <v>20</v>
      </c>
    </row>
    <row r="1098" spans="1:16" x14ac:dyDescent="0.25">
      <c r="A1098" t="s">
        <v>2229</v>
      </c>
      <c r="B1098" t="s">
        <v>77</v>
      </c>
      <c r="C1098" t="str">
        <f>IF(ISBLANK(Table4[[#This Row],[Region]]),Table4[[#This Row],[Node Type]],Table4[[#This Row],[Region]])</f>
        <v/>
      </c>
      <c r="E1098" t="str">
        <f>IF(ISERROR(SEARCH("Node",Table4[[#This Row],[Type]])),IF(ISERROR(SEARCH("Iliac",Table4[[#This Row],[Type]])),"",Table4[[#This Row],[Type]]),Table4[[#This Row],[Type]])</f>
        <v/>
      </c>
      <c r="J1098" t="s">
        <v>2227</v>
      </c>
      <c r="L1098" t="s">
        <v>77</v>
      </c>
    </row>
    <row r="1099" spans="1:16" x14ac:dyDescent="0.25">
      <c r="A1099" t="s">
        <v>2231</v>
      </c>
      <c r="B1099" t="s">
        <v>77</v>
      </c>
      <c r="C1099" t="str">
        <f>IF(ISBLANK(Table4[[#This Row],[Region]]),Table4[[#This Row],[Node Type]],Table4[[#This Row],[Region]])</f>
        <v/>
      </c>
      <c r="E1099" t="str">
        <f>IF(ISERROR(SEARCH("Node",Table4[[#This Row],[Type]])),IF(ISERROR(SEARCH("Iliac",Table4[[#This Row],[Type]])),"",Table4[[#This Row],[Type]]),Table4[[#This Row],[Type]])</f>
        <v/>
      </c>
      <c r="I1099">
        <v>45</v>
      </c>
      <c r="L1099" t="s">
        <v>77</v>
      </c>
      <c r="P1099" t="s">
        <v>85</v>
      </c>
    </row>
    <row r="1100" spans="1:16" x14ac:dyDescent="0.25">
      <c r="A1100" t="s">
        <v>2233</v>
      </c>
      <c r="B1100" t="s">
        <v>20</v>
      </c>
      <c r="C1100" t="str">
        <f>IF(ISBLANK(Table4[[#This Row],[Region]]),Table4[[#This Row],[Node Type]],Table4[[#This Row],[Region]])</f>
        <v/>
      </c>
      <c r="E1100" t="str">
        <f>IF(ISERROR(SEARCH("Node",Table4[[#This Row],[Type]])),IF(ISERROR(SEARCH("Iliac",Table4[[#This Row],[Type]])),"",Table4[[#This Row],[Type]]),Table4[[#This Row],[Type]])</f>
        <v/>
      </c>
      <c r="H1100">
        <v>8</v>
      </c>
      <c r="I1100">
        <v>27</v>
      </c>
      <c r="L1100" t="s">
        <v>20</v>
      </c>
    </row>
    <row r="1101" spans="1:16" x14ac:dyDescent="0.25">
      <c r="A1101" t="s">
        <v>2234</v>
      </c>
      <c r="B1101" t="s">
        <v>20</v>
      </c>
      <c r="C1101" t="str">
        <f>IF(ISBLANK(Table4[[#This Row],[Region]]),Table4[[#This Row],[Node Type]],Table4[[#This Row],[Region]])</f>
        <v/>
      </c>
      <c r="E1101" t="str">
        <f>IF(ISERROR(SEARCH("Node",Table4[[#This Row],[Type]])),IF(ISERROR(SEARCH("Iliac",Table4[[#This Row],[Type]])),"",Table4[[#This Row],[Type]]),Table4[[#This Row],[Type]])</f>
        <v/>
      </c>
      <c r="H1101">
        <v>9</v>
      </c>
      <c r="I1101">
        <v>24</v>
      </c>
      <c r="L1101" t="s">
        <v>20</v>
      </c>
    </row>
    <row r="1102" spans="1:16" x14ac:dyDescent="0.25">
      <c r="A1102" t="s">
        <v>2235</v>
      </c>
      <c r="B1102" t="s">
        <v>77</v>
      </c>
      <c r="C1102" t="str">
        <f>IF(ISBLANK(Table4[[#This Row],[Region]]),Table4[[#This Row],[Node Type]],Table4[[#This Row],[Region]])</f>
        <v/>
      </c>
      <c r="E1102" t="str">
        <f>IF(ISERROR(SEARCH("Node",Table4[[#This Row],[Type]])),IF(ISERROR(SEARCH("Iliac",Table4[[#This Row],[Type]])),"",Table4[[#This Row],[Type]]),Table4[[#This Row],[Type]])</f>
        <v/>
      </c>
      <c r="H1102">
        <v>8</v>
      </c>
      <c r="I1102">
        <v>27</v>
      </c>
      <c r="L1102" t="s">
        <v>77</v>
      </c>
    </row>
    <row r="1103" spans="1:16" x14ac:dyDescent="0.25">
      <c r="A1103" t="s">
        <v>2236</v>
      </c>
      <c r="B1103" t="s">
        <v>77</v>
      </c>
      <c r="C1103" t="str">
        <f>IF(ISBLANK(Table4[[#This Row],[Region]]),Table4[[#This Row],[Node Type]],Table4[[#This Row],[Region]])</f>
        <v/>
      </c>
      <c r="E1103" t="str">
        <f>IF(ISERROR(SEARCH("Node",Table4[[#This Row],[Type]])),IF(ISERROR(SEARCH("Iliac",Table4[[#This Row],[Type]])),"",Table4[[#This Row],[Type]]),Table4[[#This Row],[Type]])</f>
        <v/>
      </c>
      <c r="H1103">
        <v>9</v>
      </c>
      <c r="I1103">
        <v>24</v>
      </c>
      <c r="L1103" t="s">
        <v>77</v>
      </c>
    </row>
    <row r="1104" spans="1:16" x14ac:dyDescent="0.25">
      <c r="A1104" t="s">
        <v>2243</v>
      </c>
      <c r="B1104" t="s">
        <v>173</v>
      </c>
      <c r="C1104" t="str">
        <f>IF(ISBLANK(Table4[[#This Row],[Region]]),Table4[[#This Row],[Node Type]],Table4[[#This Row],[Region]])</f>
        <v/>
      </c>
      <c r="E1104" t="str">
        <f>IF(ISERROR(SEARCH("Node",Table4[[#This Row],[Type]])),IF(ISERROR(SEARCH("Iliac",Table4[[#This Row],[Type]])),"",Table4[[#This Row],[Type]]),Table4[[#This Row],[Type]])</f>
        <v/>
      </c>
      <c r="I1104">
        <v>55</v>
      </c>
      <c r="L1104" t="s">
        <v>77</v>
      </c>
    </row>
    <row r="1105" spans="1:16" x14ac:dyDescent="0.25">
      <c r="A1105" t="s">
        <v>2244</v>
      </c>
      <c r="B1105" t="s">
        <v>173</v>
      </c>
      <c r="C1105" t="str">
        <f>IF(ISBLANK(Table4[[#This Row],[Region]]),Table4[[#This Row],[Node Type]],Table4[[#This Row],[Region]])</f>
        <v/>
      </c>
      <c r="E1105" t="str">
        <f>IF(ISERROR(SEARCH("Node",Table4[[#This Row],[Type]])),IF(ISERROR(SEARCH("Iliac",Table4[[#This Row],[Type]])),"",Table4[[#This Row],[Type]]),Table4[[#This Row],[Type]])</f>
        <v/>
      </c>
      <c r="I1105">
        <v>55</v>
      </c>
      <c r="L1105" t="s">
        <v>46</v>
      </c>
    </row>
    <row r="1106" spans="1:16" x14ac:dyDescent="0.25">
      <c r="A1106" t="s">
        <v>2245</v>
      </c>
      <c r="B1106" t="s">
        <v>77</v>
      </c>
      <c r="C1106" t="str">
        <f>IF(ISBLANK(Table4[[#This Row],[Region]]),Table4[[#This Row],[Node Type]],Table4[[#This Row],[Region]])</f>
        <v/>
      </c>
      <c r="E1106" t="str">
        <f>IF(ISERROR(SEARCH("Node",Table4[[#This Row],[Type]])),IF(ISERROR(SEARCH("Iliac",Table4[[#This Row],[Type]])),"",Table4[[#This Row],[Type]]),Table4[[#This Row],[Type]])</f>
        <v/>
      </c>
      <c r="I1106">
        <v>50</v>
      </c>
      <c r="L1106" t="s">
        <v>77</v>
      </c>
    </row>
    <row r="1107" spans="1:16" x14ac:dyDescent="0.25">
      <c r="A1107" t="s">
        <v>2247</v>
      </c>
      <c r="B1107" t="s">
        <v>77</v>
      </c>
      <c r="C1107" t="str">
        <f>IF(ISBLANK(Table4[[#This Row],[Region]]),Table4[[#This Row],[Node Type]],Table4[[#This Row],[Region]])</f>
        <v/>
      </c>
      <c r="E1107" t="str">
        <f>IF(ISERROR(SEARCH("Node",Table4[[#This Row],[Type]])),IF(ISERROR(SEARCH("Iliac",Table4[[#This Row],[Type]])),"",Table4[[#This Row],[Type]]),Table4[[#This Row],[Type]])</f>
        <v/>
      </c>
      <c r="I1107">
        <v>50</v>
      </c>
      <c r="L1107" t="s">
        <v>77</v>
      </c>
      <c r="N1107" t="s">
        <v>108</v>
      </c>
      <c r="O1107" t="s">
        <v>292</v>
      </c>
      <c r="P1107" t="s">
        <v>85</v>
      </c>
    </row>
    <row r="1108" spans="1:16" x14ac:dyDescent="0.25">
      <c r="A1108" t="s">
        <v>2248</v>
      </c>
      <c r="B1108" t="s">
        <v>77</v>
      </c>
      <c r="C1108" t="str">
        <f>IF(ISBLANK(Table4[[#This Row],[Region]]),Table4[[#This Row],[Node Type]],Table4[[#This Row],[Region]])</f>
        <v/>
      </c>
      <c r="E1108" t="str">
        <f>IF(ISERROR(SEARCH("Node",Table4[[#This Row],[Type]])),IF(ISERROR(SEARCH("Iliac",Table4[[#This Row],[Type]])),"",Table4[[#This Row],[Type]]),Table4[[#This Row],[Type]])</f>
        <v/>
      </c>
      <c r="I1108">
        <v>50</v>
      </c>
      <c r="L1108" t="s">
        <v>77</v>
      </c>
      <c r="N1108" t="s">
        <v>108</v>
      </c>
      <c r="O1108" t="s">
        <v>290</v>
      </c>
      <c r="P1108" t="s">
        <v>85</v>
      </c>
    </row>
    <row r="1109" spans="1:16" x14ac:dyDescent="0.25">
      <c r="A1109" t="s">
        <v>2249</v>
      </c>
      <c r="B1109" t="s">
        <v>46</v>
      </c>
      <c r="C1109" t="str">
        <f>IF(ISBLANK(Table4[[#This Row],[Region]]),Table4[[#This Row],[Node Type]],Table4[[#This Row],[Region]])</f>
        <v/>
      </c>
      <c r="E1109" t="str">
        <f>IF(ISERROR(SEARCH("Node",Table4[[#This Row],[Type]])),IF(ISERROR(SEARCH("Iliac",Table4[[#This Row],[Type]])),"",Table4[[#This Row],[Type]]),Table4[[#This Row],[Type]])</f>
        <v/>
      </c>
      <c r="I1109">
        <v>50</v>
      </c>
      <c r="L1109" t="s">
        <v>46</v>
      </c>
    </row>
    <row r="1110" spans="1:16" x14ac:dyDescent="0.25">
      <c r="A1110" t="s">
        <v>2253</v>
      </c>
      <c r="B1110" t="s">
        <v>46</v>
      </c>
      <c r="C1110" t="str">
        <f>IF(ISBLANK(Table4[[#This Row],[Region]]),Table4[[#This Row],[Node Type]],Table4[[#This Row],[Region]])</f>
        <v/>
      </c>
      <c r="E1110" t="str">
        <f>IF(ISERROR(SEARCH("Node",Table4[[#This Row],[Type]])),IF(ISERROR(SEARCH("Iliac",Table4[[#This Row],[Type]])),"",Table4[[#This Row],[Type]]),Table4[[#This Row],[Type]])</f>
        <v/>
      </c>
      <c r="J1110" t="s">
        <v>2254</v>
      </c>
      <c r="L1110" t="s">
        <v>46</v>
      </c>
      <c r="P1110" t="s">
        <v>83</v>
      </c>
    </row>
    <row r="1111" spans="1:16" x14ac:dyDescent="0.25">
      <c r="A1111" t="s">
        <v>2255</v>
      </c>
      <c r="B1111" t="s">
        <v>77</v>
      </c>
      <c r="C1111" t="str">
        <f>IF(ISBLANK(Table4[[#This Row],[Region]]),Table4[[#This Row],[Node Type]],Table4[[#This Row],[Region]])</f>
        <v/>
      </c>
      <c r="E1111" t="str">
        <f>IF(ISERROR(SEARCH("Node",Table4[[#This Row],[Type]])),IF(ISERROR(SEARCH("Iliac",Table4[[#This Row],[Type]])),"",Table4[[#This Row],[Type]]),Table4[[#This Row],[Type]])</f>
        <v/>
      </c>
      <c r="J1111" t="s">
        <v>2256</v>
      </c>
      <c r="L1111" t="s">
        <v>46</v>
      </c>
      <c r="M1111" t="s">
        <v>190</v>
      </c>
    </row>
    <row r="1112" spans="1:16" x14ac:dyDescent="0.25">
      <c r="A1112" t="s">
        <v>2260</v>
      </c>
      <c r="B1112" t="s">
        <v>77</v>
      </c>
      <c r="C1112" t="str">
        <f>IF(ISBLANK(Table4[[#This Row],[Region]]),Table4[[#This Row],[Node Type]],Table4[[#This Row],[Region]])</f>
        <v/>
      </c>
      <c r="E1112" t="str">
        <f>IF(ISERROR(SEARCH("Node",Table4[[#This Row],[Type]])),IF(ISERROR(SEARCH("Iliac",Table4[[#This Row],[Type]])),"",Table4[[#This Row],[Type]]),Table4[[#This Row],[Type]])</f>
        <v/>
      </c>
      <c r="L1112" t="s">
        <v>77</v>
      </c>
      <c r="M1112" t="s">
        <v>858</v>
      </c>
    </row>
    <row r="1113" spans="1:16" x14ac:dyDescent="0.25">
      <c r="A1113" t="s">
        <v>2261</v>
      </c>
      <c r="B1113" t="s">
        <v>46</v>
      </c>
      <c r="C1113" t="str">
        <f>IF(ISBLANK(Table4[[#This Row],[Region]]),Table4[[#This Row],[Node Type]],Table4[[#This Row],[Region]])</f>
        <v/>
      </c>
      <c r="E1113" t="str">
        <f>IF(ISERROR(SEARCH("Node",Table4[[#This Row],[Type]])),IF(ISERROR(SEARCH("Iliac",Table4[[#This Row],[Type]])),"",Table4[[#This Row],[Type]]),Table4[[#This Row],[Type]])</f>
        <v/>
      </c>
      <c r="L1113" t="s">
        <v>46</v>
      </c>
      <c r="M1113" t="s">
        <v>79</v>
      </c>
    </row>
    <row r="1114" spans="1:16" x14ac:dyDescent="0.25">
      <c r="A1114" t="s">
        <v>2262</v>
      </c>
      <c r="B1114" t="s">
        <v>48</v>
      </c>
      <c r="C1114" t="str">
        <f>IF(ISBLANK(Table4[[#This Row],[Region]]),Table4[[#This Row],[Node Type]],Table4[[#This Row],[Region]])</f>
        <v/>
      </c>
      <c r="E1114" t="str">
        <f>IF(ISERROR(SEARCH("Node",Table4[[#This Row],[Type]])),IF(ISERROR(SEARCH("Iliac",Table4[[#This Row],[Type]])),"",Table4[[#This Row],[Type]]),Table4[[#This Row],[Type]])</f>
        <v/>
      </c>
      <c r="I1114">
        <v>38</v>
      </c>
      <c r="L1114" t="s">
        <v>46</v>
      </c>
    </row>
    <row r="1115" spans="1:16" x14ac:dyDescent="0.25">
      <c r="A1115" t="s">
        <v>2264</v>
      </c>
      <c r="B1115" t="s">
        <v>77</v>
      </c>
      <c r="C1115" t="str">
        <f>IF(ISBLANK(Table4[[#This Row],[Region]]),Table4[[#This Row],[Node Type]],Table4[[#This Row],[Region]])</f>
        <v/>
      </c>
      <c r="E1115" t="str">
        <f>IF(ISERROR(SEARCH("Node",Table4[[#This Row],[Type]])),IF(ISERROR(SEARCH("Iliac",Table4[[#This Row],[Type]])),"",Table4[[#This Row],[Type]]),Table4[[#This Row],[Type]])</f>
        <v/>
      </c>
      <c r="I1115">
        <v>38</v>
      </c>
      <c r="L1115" t="s">
        <v>77</v>
      </c>
    </row>
    <row r="1116" spans="1:16" x14ac:dyDescent="0.25">
      <c r="A1116" t="s">
        <v>2270</v>
      </c>
      <c r="B1116" t="s">
        <v>46</v>
      </c>
      <c r="C1116" t="str">
        <f>IF(ISBLANK(Table4[[#This Row],[Region]]),Table4[[#This Row],[Node Type]],Table4[[#This Row],[Region]])</f>
        <v/>
      </c>
      <c r="E1116" t="str">
        <f>IF(ISERROR(SEARCH("Node",Table4[[#This Row],[Type]])),IF(ISERROR(SEARCH("Iliac",Table4[[#This Row],[Type]])),"",Table4[[#This Row],[Type]]),Table4[[#This Row],[Type]])</f>
        <v/>
      </c>
      <c r="I1116">
        <v>56</v>
      </c>
      <c r="J1116" t="s">
        <v>1380</v>
      </c>
      <c r="L1116" t="s">
        <v>46</v>
      </c>
    </row>
    <row r="1117" spans="1:16" x14ac:dyDescent="0.25">
      <c r="A1117" t="s">
        <v>2271</v>
      </c>
      <c r="B1117" t="s">
        <v>77</v>
      </c>
      <c r="C1117" t="str">
        <f>IF(ISBLANK(Table4[[#This Row],[Region]]),Table4[[#This Row],[Node Type]],Table4[[#This Row],[Region]])</f>
        <v/>
      </c>
      <c r="E1117" t="str">
        <f>IF(ISERROR(SEARCH("Node",Table4[[#This Row],[Type]])),IF(ISERROR(SEARCH("Iliac",Table4[[#This Row],[Type]])),"",Table4[[#This Row],[Type]]),Table4[[#This Row],[Type]])</f>
        <v/>
      </c>
      <c r="I1117">
        <v>56</v>
      </c>
      <c r="J1117" t="s">
        <v>1380</v>
      </c>
      <c r="L1117" t="s">
        <v>77</v>
      </c>
    </row>
    <row r="1118" spans="1:16" x14ac:dyDescent="0.25">
      <c r="A1118" t="s">
        <v>2272</v>
      </c>
      <c r="B1118" t="s">
        <v>173</v>
      </c>
      <c r="C1118" t="str">
        <f>IF(ISBLANK(Table4[[#This Row],[Region]]),Table4[[#This Row],[Node Type]],Table4[[#This Row],[Region]])</f>
        <v/>
      </c>
      <c r="E1118" t="str">
        <f>IF(ISERROR(SEARCH("Node",Table4[[#This Row],[Type]])),IF(ISERROR(SEARCH("Iliac",Table4[[#This Row],[Type]])),"",Table4[[#This Row],[Type]]),Table4[[#This Row],[Type]])</f>
        <v/>
      </c>
      <c r="I1118">
        <v>56</v>
      </c>
      <c r="J1118" t="s">
        <v>2274</v>
      </c>
      <c r="L1118" t="s">
        <v>46</v>
      </c>
    </row>
    <row r="1119" spans="1:16" x14ac:dyDescent="0.25">
      <c r="A1119" t="s">
        <v>2275</v>
      </c>
      <c r="B1119" t="s">
        <v>173</v>
      </c>
      <c r="C1119" t="str">
        <f>IF(ISBLANK(Table4[[#This Row],[Region]]),Table4[[#This Row],[Node Type]],Table4[[#This Row],[Region]])</f>
        <v/>
      </c>
      <c r="E1119" t="str">
        <f>IF(ISERROR(SEARCH("Node",Table4[[#This Row],[Type]])),IF(ISERROR(SEARCH("Iliac",Table4[[#This Row],[Type]])),"",Table4[[#This Row],[Type]]),Table4[[#This Row],[Type]])</f>
        <v/>
      </c>
      <c r="I1119">
        <v>56</v>
      </c>
      <c r="J1119" t="s">
        <v>2274</v>
      </c>
      <c r="L1119" t="s">
        <v>77</v>
      </c>
    </row>
    <row r="1120" spans="1:16" x14ac:dyDescent="0.25">
      <c r="A1120" t="s">
        <v>2277</v>
      </c>
      <c r="B1120" t="s">
        <v>173</v>
      </c>
      <c r="C1120" t="str">
        <f>IF(ISBLANK(Table4[[#This Row],[Region]]),Table4[[#This Row],[Node Type]],Table4[[#This Row],[Region]])</f>
        <v/>
      </c>
      <c r="E1120" t="str">
        <f>IF(ISERROR(SEARCH("Node",Table4[[#This Row],[Type]])),IF(ISERROR(SEARCH("Iliac",Table4[[#This Row],[Type]])),"",Table4[[#This Row],[Type]]),Table4[[#This Row],[Type]])</f>
        <v/>
      </c>
      <c r="L1120" t="s">
        <v>46</v>
      </c>
      <c r="M1120" t="s">
        <v>1309</v>
      </c>
    </row>
    <row r="1121" spans="1:16" x14ac:dyDescent="0.25">
      <c r="A1121" t="s">
        <v>203</v>
      </c>
      <c r="B1121" t="s">
        <v>48</v>
      </c>
      <c r="C1121" t="str">
        <f>IF(ISBLANK(Table4[[#This Row],[Region]]),Table4[[#This Row],[Node Type]],Table4[[#This Row],[Region]])</f>
        <v/>
      </c>
      <c r="E1121" t="str">
        <f>IF(ISERROR(SEARCH("Node",Table4[[#This Row],[Type]])),IF(ISERROR(SEARCH("Iliac",Table4[[#This Row],[Type]])),"",Table4[[#This Row],[Type]]),Table4[[#This Row],[Type]])</f>
        <v/>
      </c>
      <c r="F1121" t="s">
        <v>204</v>
      </c>
      <c r="L1121" t="s">
        <v>20</v>
      </c>
    </row>
    <row r="1122" spans="1:16" x14ac:dyDescent="0.25">
      <c r="A1122" t="s">
        <v>2282</v>
      </c>
      <c r="B1122" t="s">
        <v>46</v>
      </c>
      <c r="C1122" t="str">
        <f>IF(ISBLANK(Table4[[#This Row],[Region]]),Table4[[#This Row],[Node Type]],Table4[[#This Row],[Region]])</f>
        <v/>
      </c>
      <c r="E1122" t="str">
        <f>IF(ISERROR(SEARCH("Node",Table4[[#This Row],[Type]])),IF(ISERROR(SEARCH("Iliac",Table4[[#This Row],[Type]])),"",Table4[[#This Row],[Type]]),Table4[[#This Row],[Type]])</f>
        <v/>
      </c>
      <c r="J1122" t="s">
        <v>2283</v>
      </c>
      <c r="L1122" t="s">
        <v>46</v>
      </c>
    </row>
    <row r="1123" spans="1:16" x14ac:dyDescent="0.25">
      <c r="A1123" t="s">
        <v>2284</v>
      </c>
      <c r="B1123" t="s">
        <v>77</v>
      </c>
      <c r="C1123" t="str">
        <f>IF(ISBLANK(Table4[[#This Row],[Region]]),Table4[[#This Row],[Node Type]],Table4[[#This Row],[Region]])</f>
        <v/>
      </c>
      <c r="E1123" t="str">
        <f>IF(ISERROR(SEARCH("Node",Table4[[#This Row],[Type]])),IF(ISERROR(SEARCH("Iliac",Table4[[#This Row],[Type]])),"",Table4[[#This Row],[Type]]),Table4[[#This Row],[Type]])</f>
        <v/>
      </c>
      <c r="J1123" t="s">
        <v>1568</v>
      </c>
      <c r="L1123" t="s">
        <v>77</v>
      </c>
    </row>
    <row r="1124" spans="1:16" x14ac:dyDescent="0.25">
      <c r="A1124" t="s">
        <v>1809</v>
      </c>
      <c r="B1124" t="s">
        <v>48</v>
      </c>
      <c r="C1124" t="str">
        <f>IF(ISBLANK(Table4[[#This Row],[Region]]),Table4[[#This Row],[Node Type]],Table4[[#This Row],[Region]])</f>
        <v/>
      </c>
      <c r="E1124" t="str">
        <f>IF(ISERROR(SEARCH("Node",Table4[[#This Row],[Type]])),IF(ISERROR(SEARCH("Iliac",Table4[[#This Row],[Type]])),"",Table4[[#This Row],[Type]]),Table4[[#This Row],[Type]])</f>
        <v/>
      </c>
      <c r="I1124">
        <v>54</v>
      </c>
      <c r="L1124" t="s">
        <v>46</v>
      </c>
    </row>
    <row r="1125" spans="1:16" x14ac:dyDescent="0.25">
      <c r="A1125" t="s">
        <v>919</v>
      </c>
      <c r="B1125" t="s">
        <v>46</v>
      </c>
      <c r="C1125" t="str">
        <f>IF(ISBLANK(Table4[[#This Row],[Region]]),Table4[[#This Row],[Node Type]],Table4[[#This Row],[Region]])</f>
        <v/>
      </c>
      <c r="E1125" t="str">
        <f>IF(ISERROR(SEARCH("Node",Table4[[#This Row],[Type]])),IF(ISERROR(SEARCH("Iliac",Table4[[#This Row],[Type]])),"",Table4[[#This Row],[Type]]),Table4[[#This Row],[Type]])</f>
        <v/>
      </c>
      <c r="I1125">
        <v>59.4</v>
      </c>
      <c r="L1125" t="s">
        <v>46</v>
      </c>
    </row>
    <row r="1126" spans="1:16" x14ac:dyDescent="0.25">
      <c r="A1126" t="s">
        <v>2288</v>
      </c>
      <c r="B1126" t="s">
        <v>77</v>
      </c>
      <c r="C1126" t="str">
        <f>IF(ISBLANK(Table4[[#This Row],[Region]]),Table4[[#This Row],[Node Type]],Table4[[#This Row],[Region]])</f>
        <v/>
      </c>
      <c r="E1126" t="str">
        <f>IF(ISERROR(SEARCH("Node",Table4[[#This Row],[Type]])),IF(ISERROR(SEARCH("Iliac",Table4[[#This Row],[Type]])),"",Table4[[#This Row],[Type]]),Table4[[#This Row],[Type]])</f>
        <v/>
      </c>
      <c r="I1126">
        <v>59.4</v>
      </c>
      <c r="L1126" t="s">
        <v>77</v>
      </c>
      <c r="P1126" t="s">
        <v>83</v>
      </c>
    </row>
    <row r="1127" spans="1:16" x14ac:dyDescent="0.25">
      <c r="A1127" t="s">
        <v>2289</v>
      </c>
      <c r="B1127" t="s">
        <v>77</v>
      </c>
      <c r="C1127" t="str">
        <f>IF(ISBLANK(Table4[[#This Row],[Region]]),Table4[[#This Row],[Node Type]],Table4[[#This Row],[Region]])</f>
        <v/>
      </c>
      <c r="E1127" t="str">
        <f>IF(ISERROR(SEARCH("Node",Table4[[#This Row],[Type]])),IF(ISERROR(SEARCH("Iliac",Table4[[#This Row],[Type]])),"",Table4[[#This Row],[Type]]),Table4[[#This Row],[Type]])</f>
        <v/>
      </c>
      <c r="I1127">
        <v>45</v>
      </c>
      <c r="L1127" t="s">
        <v>77</v>
      </c>
      <c r="P1127" t="s">
        <v>83</v>
      </c>
    </row>
    <row r="1128" spans="1:16" x14ac:dyDescent="0.25">
      <c r="A1128" t="s">
        <v>2290</v>
      </c>
      <c r="B1128" t="s">
        <v>77</v>
      </c>
      <c r="C1128" t="str">
        <f>IF(ISBLANK(Table4[[#This Row],[Region]]),Table4[[#This Row],[Node Type]],Table4[[#This Row],[Region]])</f>
        <v/>
      </c>
      <c r="E1128" t="str">
        <f>IF(ISERROR(SEARCH("Node",Table4[[#This Row],[Type]])),IF(ISERROR(SEARCH("Iliac",Table4[[#This Row],[Type]])),"",Table4[[#This Row],[Type]]),Table4[[#This Row],[Type]])</f>
        <v/>
      </c>
      <c r="I1128">
        <v>59.4</v>
      </c>
      <c r="L1128" t="s">
        <v>77</v>
      </c>
      <c r="P1128" t="s">
        <v>85</v>
      </c>
    </row>
    <row r="1129" spans="1:16" x14ac:dyDescent="0.25">
      <c r="A1129" t="s">
        <v>2297</v>
      </c>
      <c r="B1129" t="s">
        <v>46</v>
      </c>
      <c r="C1129" t="str">
        <f>IF(ISBLANK(Table4[[#This Row],[Region]]),Table4[[#This Row],[Node Type]],Table4[[#This Row],[Region]])</f>
        <v/>
      </c>
      <c r="E1129" t="str">
        <f>IF(ISERROR(SEARCH("Node",Table4[[#This Row],[Type]])),IF(ISERROR(SEARCH("Iliac",Table4[[#This Row],[Type]])),"",Table4[[#This Row],[Type]]),Table4[[#This Row],[Type]])</f>
        <v/>
      </c>
      <c r="I1129">
        <v>66</v>
      </c>
      <c r="L1129" t="s">
        <v>46</v>
      </c>
      <c r="N1129" t="s">
        <v>106</v>
      </c>
    </row>
    <row r="1130" spans="1:16" x14ac:dyDescent="0.25">
      <c r="A1130" t="s">
        <v>2301</v>
      </c>
      <c r="B1130" t="s">
        <v>20</v>
      </c>
      <c r="C1130" t="str">
        <f>IF(ISBLANK(Table4[[#This Row],[Region]]),Table4[[#This Row],[Node Type]],Table4[[#This Row],[Region]])</f>
        <v/>
      </c>
      <c r="E1130" t="str">
        <f>IF(ISERROR(SEARCH("Node",Table4[[#This Row],[Type]])),IF(ISERROR(SEARCH("Iliac",Table4[[#This Row],[Type]])),"",Table4[[#This Row],[Type]]),Table4[[#This Row],[Type]])</f>
        <v/>
      </c>
      <c r="I1130">
        <v>20</v>
      </c>
      <c r="L1130" t="s">
        <v>77</v>
      </c>
      <c r="N1130" t="s">
        <v>106</v>
      </c>
      <c r="P1130" t="s">
        <v>85</v>
      </c>
    </row>
    <row r="1131" spans="1:16" x14ac:dyDescent="0.25">
      <c r="A1131" t="s">
        <v>2302</v>
      </c>
      <c r="B1131" t="s">
        <v>48</v>
      </c>
      <c r="C1131" t="str">
        <f>IF(ISBLANK(Table4[[#This Row],[Region]]),Table4[[#This Row],[Node Type]],Table4[[#This Row],[Region]])</f>
        <v/>
      </c>
      <c r="E1131" t="str">
        <f>IF(ISERROR(SEARCH("Node",Table4[[#This Row],[Type]])),IF(ISERROR(SEARCH("Iliac",Table4[[#This Row],[Type]])),"",Table4[[#This Row],[Type]]),Table4[[#This Row],[Type]])</f>
        <v/>
      </c>
      <c r="I1131">
        <v>20</v>
      </c>
      <c r="L1131" t="s">
        <v>46</v>
      </c>
      <c r="N1131" t="s">
        <v>106</v>
      </c>
    </row>
    <row r="1132" spans="1:16" x14ac:dyDescent="0.25">
      <c r="A1132" t="s">
        <v>2303</v>
      </c>
      <c r="B1132" t="s">
        <v>77</v>
      </c>
      <c r="C1132" t="str">
        <f>IF(ISBLANK(Table4[[#This Row],[Region]]),Table4[[#This Row],[Node Type]],Table4[[#This Row],[Region]])</f>
        <v/>
      </c>
      <c r="E1132" t="str">
        <f>IF(ISERROR(SEARCH("Node",Table4[[#This Row],[Type]])),IF(ISERROR(SEARCH("Iliac",Table4[[#This Row],[Type]])),"",Table4[[#This Row],[Type]]),Table4[[#This Row],[Type]])</f>
        <v/>
      </c>
      <c r="I1132">
        <v>20</v>
      </c>
      <c r="L1132" t="s">
        <v>77</v>
      </c>
      <c r="N1132" t="s">
        <v>106</v>
      </c>
    </row>
    <row r="1133" spans="1:16" x14ac:dyDescent="0.25">
      <c r="A1133" t="s">
        <v>2304</v>
      </c>
      <c r="B1133" t="s">
        <v>20</v>
      </c>
      <c r="C1133" t="str">
        <f>IF(ISBLANK(Table4[[#This Row],[Region]]),Table4[[#This Row],[Node Type]],Table4[[#This Row],[Region]])</f>
        <v/>
      </c>
      <c r="E1133" t="str">
        <f>IF(ISERROR(SEARCH("Node",Table4[[#This Row],[Type]])),IF(ISERROR(SEARCH("Iliac",Table4[[#This Row],[Type]])),"",Table4[[#This Row],[Type]]),Table4[[#This Row],[Type]])</f>
        <v/>
      </c>
      <c r="H1133">
        <v>1</v>
      </c>
      <c r="L1133" t="s">
        <v>137</v>
      </c>
    </row>
    <row r="1134" spans="1:16" x14ac:dyDescent="0.25">
      <c r="A1134" t="s">
        <v>2306</v>
      </c>
      <c r="B1134" t="s">
        <v>46</v>
      </c>
      <c r="C1134" t="str">
        <f>IF(ISBLANK(Table4[[#This Row],[Region]]),Table4[[#This Row],[Node Type]],Table4[[#This Row],[Region]])</f>
        <v/>
      </c>
      <c r="E1134" t="str">
        <f>IF(ISERROR(SEARCH("Node",Table4[[#This Row],[Type]])),IF(ISERROR(SEARCH("Iliac",Table4[[#This Row],[Type]])),"",Table4[[#This Row],[Type]]),Table4[[#This Row],[Type]])</f>
        <v/>
      </c>
      <c r="I1134">
        <v>46</v>
      </c>
      <c r="L1134" t="s">
        <v>46</v>
      </c>
      <c r="P1134" t="s">
        <v>85</v>
      </c>
    </row>
    <row r="1135" spans="1:16" x14ac:dyDescent="0.25">
      <c r="A1135" t="s">
        <v>2307</v>
      </c>
      <c r="B1135" t="s">
        <v>77</v>
      </c>
      <c r="C1135" t="str">
        <f>IF(ISBLANK(Table4[[#This Row],[Region]]),Table4[[#This Row],[Node Type]],Table4[[#This Row],[Region]])</f>
        <v/>
      </c>
      <c r="E1135" t="str">
        <f>IF(ISERROR(SEARCH("Node",Table4[[#This Row],[Type]])),IF(ISERROR(SEARCH("Iliac",Table4[[#This Row],[Type]])),"",Table4[[#This Row],[Type]]),Table4[[#This Row],[Type]])</f>
        <v/>
      </c>
      <c r="K1135" t="s">
        <v>2308</v>
      </c>
      <c r="L1135" t="s">
        <v>77</v>
      </c>
    </row>
    <row r="1136" spans="1:16" x14ac:dyDescent="0.25">
      <c r="A1136" t="s">
        <v>2309</v>
      </c>
      <c r="B1136" t="s">
        <v>20</v>
      </c>
      <c r="C1136" t="str">
        <f>IF(ISBLANK(Table4[[#This Row],[Region]]),Table4[[#This Row],[Node Type]],Table4[[#This Row],[Region]])</f>
        <v/>
      </c>
      <c r="E1136" t="str">
        <f>IF(ISERROR(SEARCH("Node",Table4[[#This Row],[Type]])),IF(ISERROR(SEARCH("Iliac",Table4[[#This Row],[Type]])),"",Table4[[#This Row],[Type]]),Table4[[#This Row],[Type]])</f>
        <v/>
      </c>
      <c r="K1136" t="s">
        <v>2308</v>
      </c>
      <c r="L1136" t="s">
        <v>20</v>
      </c>
    </row>
    <row r="1137" spans="1:16" x14ac:dyDescent="0.25">
      <c r="A1137" t="s">
        <v>150</v>
      </c>
      <c r="B1137" t="s">
        <v>16</v>
      </c>
      <c r="C1137" t="str">
        <f>IF(ISBLANK(Table4[[#This Row],[Region]]),Table4[[#This Row],[Node Type]],Table4[[#This Row],[Region]])</f>
        <v>Axilla I</v>
      </c>
      <c r="D1137" t="s">
        <v>151</v>
      </c>
      <c r="E1137" t="str">
        <f>IF(ISERROR(SEARCH("Node",Table4[[#This Row],[Type]])),IF(ISERROR(SEARCH("Iliac",Table4[[#This Row],[Type]])),"",Table4[[#This Row],[Type]]),Table4[[#This Row],[Type]])</f>
        <v>Nodes</v>
      </c>
      <c r="L1137" t="s">
        <v>48</v>
      </c>
    </row>
    <row r="1138" spans="1:16" x14ac:dyDescent="0.25">
      <c r="A1138" t="s">
        <v>152</v>
      </c>
      <c r="B1138" t="s">
        <v>16</v>
      </c>
      <c r="C1138" t="str">
        <f>IF(ISBLANK(Table4[[#This Row],[Region]]),Table4[[#This Row],[Node Type]],Table4[[#This Row],[Region]])</f>
        <v>Axilla II</v>
      </c>
      <c r="D1138" t="s">
        <v>153</v>
      </c>
      <c r="E1138" t="str">
        <f>IF(ISERROR(SEARCH("Node",Table4[[#This Row],[Type]])),IF(ISERROR(SEARCH("Iliac",Table4[[#This Row],[Type]])),"",Table4[[#This Row],[Type]]),Table4[[#This Row],[Type]])</f>
        <v>Nodes</v>
      </c>
      <c r="L1138" t="s">
        <v>48</v>
      </c>
    </row>
    <row r="1139" spans="1:16" x14ac:dyDescent="0.25">
      <c r="A1139" t="s">
        <v>154</v>
      </c>
      <c r="B1139" t="s">
        <v>16</v>
      </c>
      <c r="C1139" t="str">
        <f>IF(ISBLANK(Table4[[#This Row],[Region]]),Table4[[#This Row],[Node Type]],Table4[[#This Row],[Region]])</f>
        <v>Axilla III</v>
      </c>
      <c r="D1139" t="s">
        <v>155</v>
      </c>
      <c r="E1139" t="str">
        <f>IF(ISERROR(SEARCH("Node",Table4[[#This Row],[Type]])),IF(ISERROR(SEARCH("Iliac",Table4[[#This Row],[Type]])),"",Table4[[#This Row],[Type]]),Table4[[#This Row],[Type]])</f>
        <v>Nodes</v>
      </c>
      <c r="L1139" t="s">
        <v>48</v>
      </c>
    </row>
    <row r="1140" spans="1:16" x14ac:dyDescent="0.25">
      <c r="A1140" t="s">
        <v>135</v>
      </c>
      <c r="B1140" t="s">
        <v>16</v>
      </c>
      <c r="C1140" t="str">
        <f>IF(ISBLANK(Table4[[#This Row],[Region]]),Table4[[#This Row],[Node Type]],Table4[[#This Row],[Region]])</f>
        <v>SC</v>
      </c>
      <c r="D1140" t="s">
        <v>136</v>
      </c>
      <c r="E1140" t="str">
        <f>IF(ISERROR(SEARCH("Node",Table4[[#This Row],[Type]])),IF(ISERROR(SEARCH("Iliac",Table4[[#This Row],[Type]])),"",Table4[[#This Row],[Type]]),Table4[[#This Row],[Type]])</f>
        <v>Nodes</v>
      </c>
      <c r="L1140" t="s">
        <v>48</v>
      </c>
    </row>
    <row r="1141" spans="1:16" x14ac:dyDescent="0.25">
      <c r="A1141" t="s">
        <v>2325</v>
      </c>
      <c r="B1141" t="s">
        <v>95</v>
      </c>
      <c r="C1141" t="str">
        <f>IF(ISBLANK(Table4[[#This Row],[Region]]),Table4[[#This Row],[Node Type]],Table4[[#This Row],[Region]])</f>
        <v/>
      </c>
      <c r="E1141" t="str">
        <f>IF(ISERROR(SEARCH("Node",Table4[[#This Row],[Type]])),IF(ISERROR(SEARCH("Iliac",Table4[[#This Row],[Type]])),"",Table4[[#This Row],[Type]]),Table4[[#This Row],[Type]])</f>
        <v/>
      </c>
      <c r="I1141">
        <v>36</v>
      </c>
      <c r="L1141" t="s">
        <v>77</v>
      </c>
      <c r="P1141" t="s">
        <v>83</v>
      </c>
    </row>
    <row r="1142" spans="1:16" x14ac:dyDescent="0.25">
      <c r="A1142" t="s">
        <v>2326</v>
      </c>
      <c r="B1142" t="s">
        <v>77</v>
      </c>
      <c r="C1142" t="str">
        <f>IF(ISBLANK(Table4[[#This Row],[Region]]),Table4[[#This Row],[Node Type]],Table4[[#This Row],[Region]])</f>
        <v/>
      </c>
      <c r="E1142" t="str">
        <f>IF(ISERROR(SEARCH("Node",Table4[[#This Row],[Type]])),IF(ISERROR(SEARCH("Iliac",Table4[[#This Row],[Type]])),"",Table4[[#This Row],[Type]]),Table4[[#This Row],[Type]])</f>
        <v/>
      </c>
      <c r="I1142">
        <v>54</v>
      </c>
      <c r="L1142" t="s">
        <v>77</v>
      </c>
    </row>
    <row r="1143" spans="1:16" x14ac:dyDescent="0.25">
      <c r="A1143" t="s">
        <v>2327</v>
      </c>
      <c r="B1143" t="s">
        <v>77</v>
      </c>
      <c r="C1143" t="str">
        <f>IF(ISBLANK(Table4[[#This Row],[Region]]),Table4[[#This Row],[Node Type]],Table4[[#This Row],[Region]])</f>
        <v/>
      </c>
      <c r="E1143" t="str">
        <f>IF(ISERROR(SEARCH("Node",Table4[[#This Row],[Type]])),IF(ISERROR(SEARCH("Iliac",Table4[[#This Row],[Type]])),"",Table4[[#This Row],[Type]]),Table4[[#This Row],[Type]])</f>
        <v/>
      </c>
      <c r="I1143">
        <v>36</v>
      </c>
      <c r="L1143" t="s">
        <v>77</v>
      </c>
    </row>
    <row r="1144" spans="1:16" x14ac:dyDescent="0.25">
      <c r="A1144" t="s">
        <v>78</v>
      </c>
      <c r="B1144" t="s">
        <v>20</v>
      </c>
      <c r="C1144" t="str">
        <f>IF(ISBLANK(Table4[[#This Row],[Region]]),Table4[[#This Row],[Node Type]],Table4[[#This Row],[Region]])</f>
        <v/>
      </c>
      <c r="E1144" t="str">
        <f>IF(ISERROR(SEARCH("Node",Table4[[#This Row],[Type]])),IF(ISERROR(SEARCH("Iliac",Table4[[#This Row],[Type]])),"",Table4[[#This Row],[Type]]),Table4[[#This Row],[Type]])</f>
        <v/>
      </c>
      <c r="L1144" t="s">
        <v>20</v>
      </c>
      <c r="M1144" t="s">
        <v>79</v>
      </c>
    </row>
    <row r="1145" spans="1:16" x14ac:dyDescent="0.25">
      <c r="A1145" t="s">
        <v>2330</v>
      </c>
      <c r="B1145" t="s">
        <v>46</v>
      </c>
      <c r="C1145" t="str">
        <f>IF(ISBLANK(Table4[[#This Row],[Region]]),Table4[[#This Row],[Node Type]],Table4[[#This Row],[Region]])</f>
        <v/>
      </c>
      <c r="E1145" t="str">
        <f>IF(ISERROR(SEARCH("Node",Table4[[#This Row],[Type]])),IF(ISERROR(SEARCH("Iliac",Table4[[#This Row],[Type]])),"",Table4[[#This Row],[Type]]),Table4[[#This Row],[Type]])</f>
        <v/>
      </c>
      <c r="K1145" t="s">
        <v>552</v>
      </c>
      <c r="L1145" t="s">
        <v>46</v>
      </c>
    </row>
    <row r="1146" spans="1:16" x14ac:dyDescent="0.25">
      <c r="A1146" t="s">
        <v>2332</v>
      </c>
      <c r="B1146" t="s">
        <v>77</v>
      </c>
      <c r="C1146" t="str">
        <f>IF(ISBLANK(Table4[[#This Row],[Region]]),Table4[[#This Row],[Node Type]],Table4[[#This Row],[Region]])</f>
        <v/>
      </c>
      <c r="E1146" t="str">
        <f>IF(ISERROR(SEARCH("Node",Table4[[#This Row],[Type]])),IF(ISERROR(SEARCH("Iliac",Table4[[#This Row],[Type]])),"",Table4[[#This Row],[Type]]),Table4[[#This Row],[Type]])</f>
        <v/>
      </c>
      <c r="H1146">
        <v>1</v>
      </c>
      <c r="L1146" t="s">
        <v>77</v>
      </c>
      <c r="M1146" t="s">
        <v>249</v>
      </c>
      <c r="P1146" t="s">
        <v>85</v>
      </c>
    </row>
    <row r="1147" spans="1:16" x14ac:dyDescent="0.25">
      <c r="A1147" t="s">
        <v>2333</v>
      </c>
      <c r="B1147" t="s">
        <v>77</v>
      </c>
      <c r="C1147" t="str">
        <f>IF(ISBLANK(Table4[[#This Row],[Region]]),Table4[[#This Row],[Node Type]],Table4[[#This Row],[Region]])</f>
        <v/>
      </c>
      <c r="E1147" t="str">
        <f>IF(ISERROR(SEARCH("Node",Table4[[#This Row],[Type]])),IF(ISERROR(SEARCH("Iliac",Table4[[#This Row],[Type]])),"",Table4[[#This Row],[Type]]),Table4[[#This Row],[Type]])</f>
        <v/>
      </c>
      <c r="J1147" t="s">
        <v>83</v>
      </c>
      <c r="L1147" t="s">
        <v>77</v>
      </c>
      <c r="P1147" t="s">
        <v>85</v>
      </c>
    </row>
    <row r="1148" spans="1:16" x14ac:dyDescent="0.25">
      <c r="A1148" t="s">
        <v>2335</v>
      </c>
      <c r="B1148" t="s">
        <v>48</v>
      </c>
      <c r="C1148" t="str">
        <f>IF(ISBLANK(Table4[[#This Row],[Region]]),Table4[[#This Row],[Node Type]],Table4[[#This Row],[Region]])</f>
        <v>Iliac vessels</v>
      </c>
      <c r="E1148" t="str">
        <f>IF(ISERROR(SEARCH("Node",Table4[[#This Row],[Type]])),IF(ISERROR(SEARCH("Iliac",Table4[[#This Row],[Type]])),"",Table4[[#This Row],[Type]]),Table4[[#This Row],[Type]])</f>
        <v>Iliac vessels</v>
      </c>
      <c r="L1148" t="s">
        <v>1277</v>
      </c>
      <c r="N1148" t="s">
        <v>106</v>
      </c>
    </row>
    <row r="1149" spans="1:16" x14ac:dyDescent="0.25">
      <c r="A1149" t="s">
        <v>2336</v>
      </c>
      <c r="B1149" t="s">
        <v>48</v>
      </c>
      <c r="C1149" t="str">
        <f>IF(ISBLANK(Table4[[#This Row],[Region]]),Table4[[#This Row],[Node Type]],Table4[[#This Row],[Region]])</f>
        <v>Iliac vessels</v>
      </c>
      <c r="E1149" t="str">
        <f>IF(ISERROR(SEARCH("Node",Table4[[#This Row],[Type]])),IF(ISERROR(SEARCH("Iliac",Table4[[#This Row],[Type]])),"",Table4[[#This Row],[Type]]),Table4[[#This Row],[Type]])</f>
        <v>Iliac vessels</v>
      </c>
      <c r="L1149" t="s">
        <v>1277</v>
      </c>
      <c r="N1149" t="s">
        <v>108</v>
      </c>
    </row>
    <row r="1150" spans="1:16" x14ac:dyDescent="0.25">
      <c r="A1150" t="s">
        <v>2339</v>
      </c>
      <c r="B1150" t="s">
        <v>46</v>
      </c>
      <c r="C1150" t="str">
        <f>IF(ISBLANK(Table4[[#This Row],[Region]]),Table4[[#This Row],[Node Type]],Table4[[#This Row],[Region]])</f>
        <v/>
      </c>
      <c r="E1150" t="str">
        <f>IF(ISERROR(SEARCH("Node",Table4[[#This Row],[Type]])),IF(ISERROR(SEARCH("Iliac",Table4[[#This Row],[Type]])),"",Table4[[#This Row],[Type]]),Table4[[#This Row],[Type]])</f>
        <v/>
      </c>
      <c r="I1150">
        <v>44</v>
      </c>
      <c r="L1150" t="s">
        <v>46</v>
      </c>
    </row>
    <row r="1151" spans="1:16" x14ac:dyDescent="0.25">
      <c r="A1151" t="s">
        <v>2340</v>
      </c>
      <c r="B1151" t="s">
        <v>77</v>
      </c>
      <c r="C1151" t="str">
        <f>IF(ISBLANK(Table4[[#This Row],[Region]]),Table4[[#This Row],[Node Type]],Table4[[#This Row],[Region]])</f>
        <v/>
      </c>
      <c r="E1151" t="str">
        <f>IF(ISERROR(SEARCH("Node",Table4[[#This Row],[Type]])),IF(ISERROR(SEARCH("Iliac",Table4[[#This Row],[Type]])),"",Table4[[#This Row],[Type]]),Table4[[#This Row],[Type]])</f>
        <v/>
      </c>
      <c r="I1151">
        <v>44</v>
      </c>
      <c r="L1151" t="s">
        <v>77</v>
      </c>
      <c r="N1151" t="s">
        <v>106</v>
      </c>
      <c r="O1151" t="s">
        <v>290</v>
      </c>
      <c r="P1151" t="s">
        <v>85</v>
      </c>
    </row>
    <row r="1152" spans="1:16" x14ac:dyDescent="0.25">
      <c r="A1152" t="s">
        <v>2341</v>
      </c>
      <c r="B1152" t="s">
        <v>77</v>
      </c>
      <c r="C1152" t="str">
        <f>IF(ISBLANK(Table4[[#This Row],[Region]]),Table4[[#This Row],[Node Type]],Table4[[#This Row],[Region]])</f>
        <v/>
      </c>
      <c r="E1152" t="str">
        <f>IF(ISERROR(SEARCH("Node",Table4[[#This Row],[Type]])),IF(ISERROR(SEARCH("Iliac",Table4[[#This Row],[Type]])),"",Table4[[#This Row],[Type]]),Table4[[#This Row],[Type]])</f>
        <v/>
      </c>
      <c r="I1152">
        <v>44</v>
      </c>
      <c r="L1152" t="s">
        <v>77</v>
      </c>
      <c r="N1152" t="s">
        <v>106</v>
      </c>
      <c r="O1152" t="s">
        <v>292</v>
      </c>
      <c r="P1152" t="s">
        <v>85</v>
      </c>
    </row>
    <row r="1153" spans="1:16" x14ac:dyDescent="0.25">
      <c r="A1153" t="s">
        <v>2342</v>
      </c>
      <c r="B1153" t="s">
        <v>77</v>
      </c>
      <c r="C1153" t="str">
        <f>IF(ISBLANK(Table4[[#This Row],[Region]]),Table4[[#This Row],[Node Type]],Table4[[#This Row],[Region]])</f>
        <v/>
      </c>
      <c r="E1153" t="str">
        <f>IF(ISERROR(SEARCH("Node",Table4[[#This Row],[Type]])),IF(ISERROR(SEARCH("Iliac",Table4[[#This Row],[Type]])),"",Table4[[#This Row],[Type]]),Table4[[#This Row],[Type]])</f>
        <v/>
      </c>
      <c r="I1153">
        <v>44</v>
      </c>
      <c r="L1153" t="s">
        <v>77</v>
      </c>
    </row>
    <row r="1154" spans="1:16" x14ac:dyDescent="0.25">
      <c r="A1154" t="s">
        <v>2347</v>
      </c>
      <c r="B1154" t="s">
        <v>48</v>
      </c>
      <c r="C1154" t="str">
        <f>IF(ISBLANK(Table4[[#This Row],[Region]]),Table4[[#This Row],[Node Type]],Table4[[#This Row],[Region]])</f>
        <v>Nodes</v>
      </c>
      <c r="E1154" t="str">
        <f>IF(ISERROR(SEARCH("Node",Table4[[#This Row],[Type]])),IF(ISERROR(SEARCH("Iliac",Table4[[#This Row],[Type]])),"",Table4[[#This Row],[Type]]),Table4[[#This Row],[Type]])</f>
        <v>Nodes</v>
      </c>
      <c r="J1154" t="s">
        <v>8</v>
      </c>
      <c r="L1154" t="s">
        <v>48</v>
      </c>
    </row>
    <row r="1155" spans="1:16" x14ac:dyDescent="0.25">
      <c r="A1155" t="s">
        <v>2353</v>
      </c>
      <c r="B1155" t="s">
        <v>77</v>
      </c>
      <c r="C1155" t="str">
        <f>IF(ISBLANK(Table4[[#This Row],[Region]]),Table4[[#This Row],[Node Type]],Table4[[#This Row],[Region]])</f>
        <v/>
      </c>
      <c r="E1155" t="str">
        <f>IF(ISERROR(SEARCH("Node",Table4[[#This Row],[Type]])),IF(ISERROR(SEARCH("Iliac",Table4[[#This Row],[Type]])),"",Table4[[#This Row],[Type]]),Table4[[#This Row],[Type]])</f>
        <v/>
      </c>
      <c r="I1155">
        <v>64</v>
      </c>
      <c r="L1155" t="s">
        <v>77</v>
      </c>
    </row>
    <row r="1156" spans="1:16" x14ac:dyDescent="0.25">
      <c r="A1156" t="s">
        <v>2355</v>
      </c>
      <c r="B1156" t="s">
        <v>77</v>
      </c>
      <c r="C1156" t="str">
        <f>IF(ISBLANK(Table4[[#This Row],[Region]]),Table4[[#This Row],[Node Type]],Table4[[#This Row],[Region]])</f>
        <v/>
      </c>
      <c r="E1156" t="str">
        <f>IF(ISERROR(SEARCH("Node",Table4[[#This Row],[Type]])),IF(ISERROR(SEARCH("Iliac",Table4[[#This Row],[Type]])),"",Table4[[#This Row],[Type]]),Table4[[#This Row],[Type]])</f>
        <v/>
      </c>
      <c r="I1156">
        <v>54</v>
      </c>
      <c r="L1156" t="s">
        <v>77</v>
      </c>
      <c r="O1156" t="s">
        <v>292</v>
      </c>
      <c r="P1156" t="s">
        <v>85</v>
      </c>
    </row>
    <row r="1157" spans="1:16" x14ac:dyDescent="0.25">
      <c r="A1157" t="s">
        <v>2356</v>
      </c>
      <c r="B1157" t="s">
        <v>77</v>
      </c>
      <c r="C1157" t="str">
        <f>IF(ISBLANK(Table4[[#This Row],[Region]]),Table4[[#This Row],[Node Type]],Table4[[#This Row],[Region]])</f>
        <v/>
      </c>
      <c r="E1157" t="str">
        <f>IF(ISERROR(SEARCH("Node",Table4[[#This Row],[Type]])),IF(ISERROR(SEARCH("Iliac",Table4[[#This Row],[Type]])),"",Table4[[#This Row],[Type]]),Table4[[#This Row],[Type]])</f>
        <v/>
      </c>
      <c r="I1157">
        <v>54</v>
      </c>
      <c r="L1157" t="s">
        <v>77</v>
      </c>
      <c r="O1157" t="s">
        <v>290</v>
      </c>
      <c r="P1157" t="s">
        <v>85</v>
      </c>
    </row>
    <row r="1158" spans="1:16" x14ac:dyDescent="0.25">
      <c r="A1158" t="s">
        <v>2365</v>
      </c>
      <c r="B1158" t="s">
        <v>46</v>
      </c>
      <c r="C1158" t="str">
        <f>IF(ISBLANK(Table4[[#This Row],[Region]]),Table4[[#This Row],[Node Type]],Table4[[#This Row],[Region]])</f>
        <v/>
      </c>
      <c r="E1158" t="str">
        <f>IF(ISERROR(SEARCH("Node",Table4[[#This Row],[Type]])),IF(ISERROR(SEARCH("Iliac",Table4[[#This Row],[Type]])),"",Table4[[#This Row],[Type]]),Table4[[#This Row],[Type]])</f>
        <v/>
      </c>
      <c r="L1158" t="s">
        <v>46</v>
      </c>
      <c r="N1158" t="s">
        <v>873</v>
      </c>
    </row>
    <row r="1159" spans="1:16" x14ac:dyDescent="0.25">
      <c r="A1159" t="s">
        <v>2366</v>
      </c>
      <c r="B1159" t="s">
        <v>20</v>
      </c>
      <c r="C1159" t="str">
        <f>IF(ISBLANK(Table4[[#This Row],[Region]]),Table4[[#This Row],[Node Type]],Table4[[#This Row],[Region]])</f>
        <v/>
      </c>
      <c r="E1159" t="str">
        <f>IF(ISERROR(SEARCH("Node",Table4[[#This Row],[Type]])),IF(ISERROR(SEARCH("Iliac",Table4[[#This Row],[Type]])),"",Table4[[#This Row],[Type]]),Table4[[#This Row],[Type]])</f>
        <v/>
      </c>
      <c r="L1159" t="s">
        <v>20</v>
      </c>
      <c r="N1159" t="s">
        <v>873</v>
      </c>
    </row>
    <row r="1160" spans="1:16" x14ac:dyDescent="0.25">
      <c r="A1160" t="s">
        <v>2367</v>
      </c>
      <c r="B1160" t="s">
        <v>20</v>
      </c>
      <c r="C1160" t="str">
        <f>IF(ISBLANK(Table4[[#This Row],[Region]]),Table4[[#This Row],[Node Type]],Table4[[#This Row],[Region]])</f>
        <v/>
      </c>
      <c r="E1160" t="str">
        <f>IF(ISERROR(SEARCH("Node",Table4[[#This Row],[Type]])),IF(ISERROR(SEARCH("Iliac",Table4[[#This Row],[Type]])),"",Table4[[#This Row],[Type]]),Table4[[#This Row],[Type]])</f>
        <v/>
      </c>
      <c r="L1160" t="s">
        <v>20</v>
      </c>
      <c r="N1160" t="s">
        <v>878</v>
      </c>
    </row>
    <row r="1161" spans="1:16" x14ac:dyDescent="0.25">
      <c r="A1161" t="s">
        <v>2368</v>
      </c>
      <c r="B1161" t="s">
        <v>46</v>
      </c>
      <c r="C1161" t="str">
        <f>IF(ISBLANK(Table4[[#This Row],[Region]]),Table4[[#This Row],[Node Type]],Table4[[#This Row],[Region]])</f>
        <v/>
      </c>
      <c r="E1161" t="str">
        <f>IF(ISERROR(SEARCH("Node",Table4[[#This Row],[Type]])),IF(ISERROR(SEARCH("Iliac",Table4[[#This Row],[Type]])),"",Table4[[#This Row],[Type]]),Table4[[#This Row],[Type]])</f>
        <v/>
      </c>
      <c r="L1161" t="s">
        <v>46</v>
      </c>
      <c r="N1161" t="s">
        <v>878</v>
      </c>
    </row>
    <row r="1162" spans="1:16" x14ac:dyDescent="0.25">
      <c r="A1162" t="s">
        <v>2372</v>
      </c>
      <c r="B1162" t="s">
        <v>46</v>
      </c>
      <c r="C1162" t="str">
        <f>IF(ISBLANK(Table4[[#This Row],[Region]]),Table4[[#This Row],[Node Type]],Table4[[#This Row],[Region]])</f>
        <v/>
      </c>
      <c r="E1162" t="str">
        <f>IF(ISERROR(SEARCH("Node",Table4[[#This Row],[Type]])),IF(ISERROR(SEARCH("Iliac",Table4[[#This Row],[Type]])),"",Table4[[#This Row],[Type]]),Table4[[#This Row],[Type]])</f>
        <v/>
      </c>
      <c r="I1162">
        <v>63</v>
      </c>
      <c r="L1162" t="s">
        <v>46</v>
      </c>
      <c r="N1162" t="s">
        <v>106</v>
      </c>
    </row>
    <row r="1163" spans="1:16" x14ac:dyDescent="0.25">
      <c r="A1163" t="s">
        <v>2373</v>
      </c>
      <c r="B1163" t="s">
        <v>46</v>
      </c>
      <c r="C1163" t="str">
        <f>IF(ISBLANK(Table4[[#This Row],[Region]]),Table4[[#This Row],[Node Type]],Table4[[#This Row],[Region]])</f>
        <v/>
      </c>
      <c r="E1163" t="str">
        <f>IF(ISERROR(SEARCH("Node",Table4[[#This Row],[Type]])),IF(ISERROR(SEARCH("Iliac",Table4[[#This Row],[Type]])),"",Table4[[#This Row],[Type]]),Table4[[#This Row],[Type]])</f>
        <v/>
      </c>
      <c r="I1163">
        <v>56</v>
      </c>
      <c r="L1163" t="s">
        <v>46</v>
      </c>
      <c r="N1163" t="s">
        <v>108</v>
      </c>
    </row>
    <row r="1164" spans="1:16" x14ac:dyDescent="0.25">
      <c r="A1164" t="s">
        <v>2374</v>
      </c>
      <c r="B1164" t="s">
        <v>46</v>
      </c>
      <c r="C1164" t="str">
        <f>IF(ISBLANK(Table4[[#This Row],[Region]]),Table4[[#This Row],[Node Type]],Table4[[#This Row],[Region]])</f>
        <v/>
      </c>
      <c r="E1164" t="str">
        <f>IF(ISERROR(SEARCH("Node",Table4[[#This Row],[Type]])),IF(ISERROR(SEARCH("Iliac",Table4[[#This Row],[Type]])),"",Table4[[#This Row],[Type]]),Table4[[#This Row],[Type]])</f>
        <v/>
      </c>
      <c r="I1164">
        <v>63</v>
      </c>
      <c r="L1164" t="s">
        <v>46</v>
      </c>
      <c r="N1164" t="s">
        <v>108</v>
      </c>
    </row>
    <row r="1165" spans="1:16" x14ac:dyDescent="0.25">
      <c r="A1165" t="s">
        <v>2375</v>
      </c>
      <c r="B1165" t="s">
        <v>77</v>
      </c>
      <c r="C1165" t="str">
        <f>IF(ISBLANK(Table4[[#This Row],[Region]]),Table4[[#This Row],[Node Type]],Table4[[#This Row],[Region]])</f>
        <v/>
      </c>
      <c r="E1165" t="str">
        <f>IF(ISERROR(SEARCH("Node",Table4[[#This Row],[Type]])),IF(ISERROR(SEARCH("Iliac",Table4[[#This Row],[Type]])),"",Table4[[#This Row],[Type]]),Table4[[#This Row],[Type]])</f>
        <v/>
      </c>
      <c r="I1165">
        <v>56</v>
      </c>
      <c r="L1165" t="s">
        <v>77</v>
      </c>
      <c r="N1165" t="s">
        <v>108</v>
      </c>
    </row>
    <row r="1166" spans="1:16" x14ac:dyDescent="0.25">
      <c r="A1166" t="s">
        <v>2376</v>
      </c>
      <c r="B1166" t="s">
        <v>77</v>
      </c>
      <c r="C1166" t="str">
        <f>IF(ISBLANK(Table4[[#This Row],[Region]]),Table4[[#This Row],[Node Type]],Table4[[#This Row],[Region]])</f>
        <v/>
      </c>
      <c r="E1166" t="str">
        <f>IF(ISERROR(SEARCH("Node",Table4[[#This Row],[Type]])),IF(ISERROR(SEARCH("Iliac",Table4[[#This Row],[Type]])),"",Table4[[#This Row],[Type]]),Table4[[#This Row],[Type]])</f>
        <v/>
      </c>
      <c r="I1166">
        <v>63</v>
      </c>
      <c r="J1166" t="s">
        <v>1380</v>
      </c>
      <c r="L1166" t="s">
        <v>77</v>
      </c>
    </row>
    <row r="1167" spans="1:16" x14ac:dyDescent="0.25">
      <c r="A1167" t="s">
        <v>2377</v>
      </c>
      <c r="B1167" t="s">
        <v>20</v>
      </c>
      <c r="C1167" t="str">
        <f>IF(ISBLANK(Table4[[#This Row],[Region]]),Table4[[#This Row],[Node Type]],Table4[[#This Row],[Region]])</f>
        <v/>
      </c>
      <c r="E1167" t="str">
        <f>IF(ISERROR(SEARCH("Node",Table4[[#This Row],[Type]])),IF(ISERROR(SEARCH("Iliac",Table4[[#This Row],[Type]])),"",Table4[[#This Row],[Type]]),Table4[[#This Row],[Type]])</f>
        <v/>
      </c>
      <c r="H1167">
        <v>2</v>
      </c>
      <c r="I1167">
        <v>32.5</v>
      </c>
      <c r="L1167" t="s">
        <v>20</v>
      </c>
    </row>
    <row r="1168" spans="1:16" x14ac:dyDescent="0.25">
      <c r="A1168" t="s">
        <v>2378</v>
      </c>
      <c r="B1168" t="s">
        <v>77</v>
      </c>
      <c r="C1168" t="str">
        <f>IF(ISBLANK(Table4[[#This Row],[Region]]),Table4[[#This Row],[Node Type]],Table4[[#This Row],[Region]])</f>
        <v/>
      </c>
      <c r="E1168" t="str">
        <f>IF(ISERROR(SEARCH("Node",Table4[[#This Row],[Type]])),IF(ISERROR(SEARCH("Iliac",Table4[[#This Row],[Type]])),"",Table4[[#This Row],[Type]]),Table4[[#This Row],[Type]])</f>
        <v/>
      </c>
      <c r="H1168">
        <v>2</v>
      </c>
      <c r="I1168">
        <v>32.5</v>
      </c>
      <c r="L1168" t="s">
        <v>77</v>
      </c>
    </row>
    <row r="1169" spans="1:16" x14ac:dyDescent="0.25">
      <c r="A1169" t="s">
        <v>2384</v>
      </c>
      <c r="B1169" t="s">
        <v>48</v>
      </c>
      <c r="C1169" t="str">
        <f>IF(ISBLANK(Table4[[#This Row],[Region]]),Table4[[#This Row],[Node Type]],Table4[[#This Row],[Region]])</f>
        <v>Nodes</v>
      </c>
      <c r="E1169" t="str">
        <f>IF(ISERROR(SEARCH("Node",Table4[[#This Row],[Type]])),IF(ISERROR(SEARCH("Iliac",Table4[[#This Row],[Type]])),"",Table4[[#This Row],[Type]]),Table4[[#This Row],[Type]])</f>
        <v>Nodes</v>
      </c>
      <c r="J1169" t="s">
        <v>2385</v>
      </c>
      <c r="L1169" t="s">
        <v>48</v>
      </c>
    </row>
    <row r="1170" spans="1:16" x14ac:dyDescent="0.25">
      <c r="A1170" t="s">
        <v>2060</v>
      </c>
      <c r="B1170" t="s">
        <v>46</v>
      </c>
      <c r="C1170" t="str">
        <f>IF(ISBLANK(Table4[[#This Row],[Region]]),Table4[[#This Row],[Node Type]],Table4[[#This Row],[Region]])</f>
        <v/>
      </c>
      <c r="E1170" t="str">
        <f>IF(ISERROR(SEARCH("Node",Table4[[#This Row],[Type]])),IF(ISERROR(SEARCH("Iliac",Table4[[#This Row],[Type]])),"",Table4[[#This Row],[Type]]),Table4[[#This Row],[Type]])</f>
        <v/>
      </c>
      <c r="I1170">
        <v>36</v>
      </c>
      <c r="L1170" t="s">
        <v>46</v>
      </c>
    </row>
    <row r="1171" spans="1:16" x14ac:dyDescent="0.25">
      <c r="A1171" t="s">
        <v>2061</v>
      </c>
      <c r="B1171" t="s">
        <v>46</v>
      </c>
      <c r="C1171" t="str">
        <f>IF(ISBLANK(Table4[[#This Row],[Region]]),Table4[[#This Row],[Node Type]],Table4[[#This Row],[Region]])</f>
        <v/>
      </c>
      <c r="E1171" t="str">
        <f>IF(ISERROR(SEARCH("Node",Table4[[#This Row],[Type]])),IF(ISERROR(SEARCH("Iliac",Table4[[#This Row],[Type]])),"",Table4[[#This Row],[Type]]),Table4[[#This Row],[Type]])</f>
        <v/>
      </c>
      <c r="I1171">
        <v>40</v>
      </c>
      <c r="L1171" t="s">
        <v>46</v>
      </c>
    </row>
    <row r="1172" spans="1:16" x14ac:dyDescent="0.25">
      <c r="A1172" t="s">
        <v>2062</v>
      </c>
      <c r="B1172" t="s">
        <v>77</v>
      </c>
      <c r="C1172" t="str">
        <f>IF(ISBLANK(Table4[[#This Row],[Region]]),Table4[[#This Row],[Node Type]],Table4[[#This Row],[Region]])</f>
        <v/>
      </c>
      <c r="E1172" t="str">
        <f>IF(ISERROR(SEARCH("Node",Table4[[#This Row],[Type]])),IF(ISERROR(SEARCH("Iliac",Table4[[#This Row],[Type]])),"",Table4[[#This Row],[Type]]),Table4[[#This Row],[Type]])</f>
        <v/>
      </c>
      <c r="I1172">
        <v>40</v>
      </c>
      <c r="L1172" t="s">
        <v>77</v>
      </c>
    </row>
    <row r="1173" spans="1:16" x14ac:dyDescent="0.25">
      <c r="A1173" t="s">
        <v>2387</v>
      </c>
      <c r="B1173" t="s">
        <v>77</v>
      </c>
      <c r="C1173" t="str">
        <f>IF(ISBLANK(Table4[[#This Row],[Region]]),Table4[[#This Row],[Node Type]],Table4[[#This Row],[Region]])</f>
        <v/>
      </c>
      <c r="E1173" t="str">
        <f>IF(ISERROR(SEARCH("Node",Table4[[#This Row],[Type]])),IF(ISERROR(SEARCH("Iliac",Table4[[#This Row],[Type]])),"",Table4[[#This Row],[Type]]),Table4[[#This Row],[Type]])</f>
        <v/>
      </c>
      <c r="I1173">
        <v>36</v>
      </c>
      <c r="L1173" t="s">
        <v>77</v>
      </c>
      <c r="O1173" t="s">
        <v>290</v>
      </c>
      <c r="P1173" t="s">
        <v>85</v>
      </c>
    </row>
    <row r="1174" spans="1:16" x14ac:dyDescent="0.25">
      <c r="A1174" t="s">
        <v>2388</v>
      </c>
      <c r="B1174" t="s">
        <v>77</v>
      </c>
      <c r="C1174" t="str">
        <f>IF(ISBLANK(Table4[[#This Row],[Region]]),Table4[[#This Row],[Node Type]],Table4[[#This Row],[Region]])</f>
        <v/>
      </c>
      <c r="E1174" t="str">
        <f>IF(ISERROR(SEARCH("Node",Table4[[#This Row],[Type]])),IF(ISERROR(SEARCH("Iliac",Table4[[#This Row],[Type]])),"",Table4[[#This Row],[Type]]),Table4[[#This Row],[Type]])</f>
        <v/>
      </c>
      <c r="I1174">
        <v>36</v>
      </c>
      <c r="L1174" t="s">
        <v>77</v>
      </c>
      <c r="O1174" t="s">
        <v>292</v>
      </c>
      <c r="P1174" t="s">
        <v>85</v>
      </c>
    </row>
    <row r="1175" spans="1:16" x14ac:dyDescent="0.25">
      <c r="A1175" t="s">
        <v>2393</v>
      </c>
      <c r="B1175" t="s">
        <v>46</v>
      </c>
      <c r="C1175" t="str">
        <f>IF(ISBLANK(Table4[[#This Row],[Region]]),Table4[[#This Row],[Node Type]],Table4[[#This Row],[Region]])</f>
        <v/>
      </c>
      <c r="E1175" t="str">
        <f>IF(ISERROR(SEARCH("Node",Table4[[#This Row],[Type]])),IF(ISERROR(SEARCH("Iliac",Table4[[#This Row],[Type]])),"",Table4[[#This Row],[Type]]),Table4[[#This Row],[Type]])</f>
        <v/>
      </c>
      <c r="J1175" t="s">
        <v>2394</v>
      </c>
      <c r="L1175" t="s">
        <v>46</v>
      </c>
    </row>
    <row r="1176" spans="1:16" x14ac:dyDescent="0.25">
      <c r="A1176" t="s">
        <v>2396</v>
      </c>
      <c r="B1176" t="s">
        <v>173</v>
      </c>
      <c r="C1176" t="str">
        <f>IF(ISBLANK(Table4[[#This Row],[Region]]),Table4[[#This Row],[Node Type]],Table4[[#This Row],[Region]])</f>
        <v/>
      </c>
      <c r="E1176" t="str">
        <f>IF(ISERROR(SEARCH("Node",Table4[[#This Row],[Type]])),IF(ISERROR(SEARCH("Iliac",Table4[[#This Row],[Type]])),"",Table4[[#This Row],[Type]]),Table4[[#This Row],[Type]])</f>
        <v/>
      </c>
      <c r="H1176">
        <v>3</v>
      </c>
      <c r="J1176" t="s">
        <v>2397</v>
      </c>
      <c r="L1176" t="s">
        <v>77</v>
      </c>
    </row>
    <row r="1177" spans="1:16" x14ac:dyDescent="0.25">
      <c r="A1177" t="s">
        <v>2398</v>
      </c>
      <c r="B1177" t="s">
        <v>173</v>
      </c>
      <c r="C1177" t="str">
        <f>IF(ISBLANK(Table4[[#This Row],[Region]]),Table4[[#This Row],[Node Type]],Table4[[#This Row],[Region]])</f>
        <v/>
      </c>
      <c r="E1177" t="str">
        <f>IF(ISERROR(SEARCH("Node",Table4[[#This Row],[Type]])),IF(ISERROR(SEARCH("Iliac",Table4[[#This Row],[Type]])),"",Table4[[#This Row],[Type]]),Table4[[#This Row],[Type]])</f>
        <v/>
      </c>
      <c r="H1177">
        <v>2</v>
      </c>
      <c r="J1177" t="s">
        <v>2399</v>
      </c>
      <c r="L1177" t="s">
        <v>77</v>
      </c>
    </row>
    <row r="1178" spans="1:16" x14ac:dyDescent="0.25">
      <c r="A1178" t="s">
        <v>2400</v>
      </c>
      <c r="B1178" t="s">
        <v>173</v>
      </c>
      <c r="C1178" t="str">
        <f>IF(ISBLANK(Table4[[#This Row],[Region]]),Table4[[#This Row],[Node Type]],Table4[[#This Row],[Region]])</f>
        <v/>
      </c>
      <c r="E1178" t="str">
        <f>IF(ISERROR(SEARCH("Node",Table4[[#This Row],[Type]])),IF(ISERROR(SEARCH("Iliac",Table4[[#This Row],[Type]])),"",Table4[[#This Row],[Type]]),Table4[[#This Row],[Type]])</f>
        <v/>
      </c>
      <c r="H1178">
        <v>1</v>
      </c>
      <c r="J1178" t="s">
        <v>2401</v>
      </c>
      <c r="L1178" t="s">
        <v>77</v>
      </c>
    </row>
    <row r="1179" spans="1:16" x14ac:dyDescent="0.25">
      <c r="A1179" t="s">
        <v>2402</v>
      </c>
      <c r="B1179" t="s">
        <v>46</v>
      </c>
      <c r="C1179" t="str">
        <f>IF(ISBLANK(Table4[[#This Row],[Region]]),Table4[[#This Row],[Node Type]],Table4[[#This Row],[Region]])</f>
        <v/>
      </c>
      <c r="E1179" t="str">
        <f>IF(ISERROR(SEARCH("Node",Table4[[#This Row],[Type]])),IF(ISERROR(SEARCH("Iliac",Table4[[#This Row],[Type]])),"",Table4[[#This Row],[Type]]),Table4[[#This Row],[Type]])</f>
        <v/>
      </c>
      <c r="H1179">
        <v>1</v>
      </c>
      <c r="J1179" t="s">
        <v>2401</v>
      </c>
      <c r="L1179" t="s">
        <v>45</v>
      </c>
    </row>
    <row r="1180" spans="1:16" x14ac:dyDescent="0.25">
      <c r="A1180" t="s">
        <v>2403</v>
      </c>
      <c r="B1180" t="s">
        <v>20</v>
      </c>
      <c r="C1180" t="str">
        <f>IF(ISBLANK(Table4[[#This Row],[Region]]),Table4[[#This Row],[Node Type]],Table4[[#This Row],[Region]])</f>
        <v/>
      </c>
      <c r="E1180" t="str">
        <f>IF(ISERROR(SEARCH("Node",Table4[[#This Row],[Type]])),IF(ISERROR(SEARCH("Iliac",Table4[[#This Row],[Type]])),"",Table4[[#This Row],[Type]]),Table4[[#This Row],[Type]])</f>
        <v/>
      </c>
      <c r="H1180">
        <v>1</v>
      </c>
      <c r="J1180" t="s">
        <v>2401</v>
      </c>
      <c r="L1180" t="s">
        <v>20</v>
      </c>
    </row>
    <row r="1181" spans="1:16" x14ac:dyDescent="0.25">
      <c r="A1181" t="s">
        <v>2404</v>
      </c>
      <c r="B1181" t="s">
        <v>20</v>
      </c>
      <c r="C1181" t="str">
        <f>IF(ISBLANK(Table4[[#This Row],[Region]]),Table4[[#This Row],[Node Type]],Table4[[#This Row],[Region]])</f>
        <v/>
      </c>
      <c r="E1181" t="str">
        <f>IF(ISERROR(SEARCH("Node",Table4[[#This Row],[Type]])),IF(ISERROR(SEARCH("Iliac",Table4[[#This Row],[Type]])),"",Table4[[#This Row],[Type]]),Table4[[#This Row],[Type]])</f>
        <v/>
      </c>
      <c r="H1181">
        <v>2</v>
      </c>
      <c r="J1181" t="s">
        <v>2399</v>
      </c>
      <c r="L1181" t="s">
        <v>20</v>
      </c>
    </row>
    <row r="1182" spans="1:16" x14ac:dyDescent="0.25">
      <c r="A1182" t="s">
        <v>2405</v>
      </c>
      <c r="B1182" t="s">
        <v>20</v>
      </c>
      <c r="C1182" t="str">
        <f>IF(ISBLANK(Table4[[#This Row],[Region]]),Table4[[#This Row],[Node Type]],Table4[[#This Row],[Region]])</f>
        <v/>
      </c>
      <c r="E1182" t="str">
        <f>IF(ISERROR(SEARCH("Node",Table4[[#This Row],[Type]])),IF(ISERROR(SEARCH("Iliac",Table4[[#This Row],[Type]])),"",Table4[[#This Row],[Type]]),Table4[[#This Row],[Type]])</f>
        <v/>
      </c>
      <c r="H1182">
        <v>3</v>
      </c>
      <c r="J1182" t="s">
        <v>2397</v>
      </c>
      <c r="L1182" t="s">
        <v>20</v>
      </c>
    </row>
    <row r="1183" spans="1:16" x14ac:dyDescent="0.25">
      <c r="A1183" t="s">
        <v>2406</v>
      </c>
      <c r="B1183" t="s">
        <v>20</v>
      </c>
      <c r="C1183" t="str">
        <f>IF(ISBLANK(Table4[[#This Row],[Region]]),Table4[[#This Row],[Node Type]],Table4[[#This Row],[Region]])</f>
        <v/>
      </c>
      <c r="E1183" t="str">
        <f>IF(ISERROR(SEARCH("Node",Table4[[#This Row],[Type]])),IF(ISERROR(SEARCH("Iliac",Table4[[#This Row],[Type]])),"",Table4[[#This Row],[Type]]),Table4[[#This Row],[Type]])</f>
        <v/>
      </c>
      <c r="F1183" t="s">
        <v>204</v>
      </c>
      <c r="L1183" t="s">
        <v>20</v>
      </c>
    </row>
    <row r="1184" spans="1:16" x14ac:dyDescent="0.25">
      <c r="A1184" t="s">
        <v>2407</v>
      </c>
      <c r="B1184" t="s">
        <v>20</v>
      </c>
      <c r="C1184" t="str">
        <f>IF(ISBLANK(Table4[[#This Row],[Region]]),Table4[[#This Row],[Node Type]],Table4[[#This Row],[Region]])</f>
        <v/>
      </c>
      <c r="E1184" t="str">
        <f>IF(ISERROR(SEARCH("Node",Table4[[#This Row],[Type]])),IF(ISERROR(SEARCH("Iliac",Table4[[#This Row],[Type]])),"",Table4[[#This Row],[Type]]),Table4[[#This Row],[Type]])</f>
        <v/>
      </c>
      <c r="F1184" t="s">
        <v>204</v>
      </c>
      <c r="L1184" t="s">
        <v>20</v>
      </c>
    </row>
    <row r="1185" spans="1:16" x14ac:dyDescent="0.25">
      <c r="A1185" t="s">
        <v>2408</v>
      </c>
      <c r="B1185" t="s">
        <v>20</v>
      </c>
      <c r="C1185" t="str">
        <f>IF(ISBLANK(Table4[[#This Row],[Region]]),Table4[[#This Row],[Node Type]],Table4[[#This Row],[Region]])</f>
        <v/>
      </c>
      <c r="E1185" t="str">
        <f>IF(ISERROR(SEARCH("Node",Table4[[#This Row],[Type]])),IF(ISERROR(SEARCH("Iliac",Table4[[#This Row],[Type]])),"",Table4[[#This Row],[Type]]),Table4[[#This Row],[Type]])</f>
        <v/>
      </c>
      <c r="F1185" t="s">
        <v>204</v>
      </c>
      <c r="L1185" t="s">
        <v>20</v>
      </c>
    </row>
    <row r="1186" spans="1:16" x14ac:dyDescent="0.25">
      <c r="A1186" t="s">
        <v>2409</v>
      </c>
      <c r="B1186" t="s">
        <v>87</v>
      </c>
      <c r="C1186" t="str">
        <f>IF(ISBLANK(Table4[[#This Row],[Region]]),Table4[[#This Row],[Node Type]],Table4[[#This Row],[Region]])</f>
        <v/>
      </c>
      <c r="E1186" t="str">
        <f>IF(ISERROR(SEARCH("Node",Table4[[#This Row],[Type]])),IF(ISERROR(SEARCH("Iliac",Table4[[#This Row],[Type]])),"",Table4[[#This Row],[Type]]),Table4[[#This Row],[Type]])</f>
        <v/>
      </c>
      <c r="J1186" t="s">
        <v>2401</v>
      </c>
      <c r="L1186" t="s">
        <v>77</v>
      </c>
    </row>
    <row r="1187" spans="1:16" x14ac:dyDescent="0.25">
      <c r="A1187" t="s">
        <v>2410</v>
      </c>
      <c r="B1187" t="s">
        <v>173</v>
      </c>
      <c r="C1187" t="str">
        <f>IF(ISBLANK(Table4[[#This Row],[Region]]),Table4[[#This Row],[Node Type]],Table4[[#This Row],[Region]])</f>
        <v/>
      </c>
      <c r="E1187" t="str">
        <f>IF(ISERROR(SEARCH("Node",Table4[[#This Row],[Type]])),IF(ISERROR(SEARCH("Iliac",Table4[[#This Row],[Type]])),"",Table4[[#This Row],[Type]]),Table4[[#This Row],[Type]])</f>
        <v/>
      </c>
      <c r="H1187">
        <v>2</v>
      </c>
      <c r="J1187" t="s">
        <v>2399</v>
      </c>
      <c r="L1187" t="s">
        <v>45</v>
      </c>
    </row>
    <row r="1188" spans="1:16" x14ac:dyDescent="0.25">
      <c r="A1188" t="s">
        <v>2411</v>
      </c>
      <c r="B1188" t="s">
        <v>173</v>
      </c>
      <c r="C1188" t="str">
        <f>IF(ISBLANK(Table4[[#This Row],[Region]]),Table4[[#This Row],[Node Type]],Table4[[#This Row],[Region]])</f>
        <v/>
      </c>
      <c r="E1188" t="str">
        <f>IF(ISERROR(SEARCH("Node",Table4[[#This Row],[Type]])),IF(ISERROR(SEARCH("Iliac",Table4[[#This Row],[Type]])),"",Table4[[#This Row],[Type]]),Table4[[#This Row],[Type]])</f>
        <v/>
      </c>
      <c r="H1188">
        <v>3</v>
      </c>
      <c r="J1188" t="s">
        <v>2397</v>
      </c>
      <c r="L1188" t="s">
        <v>45</v>
      </c>
    </row>
    <row r="1189" spans="1:16" x14ac:dyDescent="0.25">
      <c r="A1189" t="s">
        <v>2412</v>
      </c>
      <c r="B1189" t="s">
        <v>173</v>
      </c>
      <c r="C1189" t="str">
        <f>IF(ISBLANK(Table4[[#This Row],[Region]]),Table4[[#This Row],[Node Type]],Table4[[#This Row],[Region]])</f>
        <v/>
      </c>
      <c r="E1189" t="str">
        <f>IF(ISERROR(SEARCH("Node",Table4[[#This Row],[Type]])),IF(ISERROR(SEARCH("Iliac",Table4[[#This Row],[Type]])),"",Table4[[#This Row],[Type]]),Table4[[#This Row],[Type]])</f>
        <v/>
      </c>
      <c r="J1189" t="s">
        <v>2399</v>
      </c>
      <c r="L1189" t="s">
        <v>77</v>
      </c>
      <c r="O1189" t="s">
        <v>1642</v>
      </c>
    </row>
    <row r="1190" spans="1:16" x14ac:dyDescent="0.25">
      <c r="A1190" t="s">
        <v>2413</v>
      </c>
      <c r="B1190" t="s">
        <v>77</v>
      </c>
      <c r="C1190" t="str">
        <f>IF(ISBLANK(Table4[[#This Row],[Region]]),Table4[[#This Row],[Node Type]],Table4[[#This Row],[Region]])</f>
        <v/>
      </c>
      <c r="E1190" t="str">
        <f>IF(ISERROR(SEARCH("Node",Table4[[#This Row],[Type]])),IF(ISERROR(SEARCH("Iliac",Table4[[#This Row],[Type]])),"",Table4[[#This Row],[Type]]),Table4[[#This Row],[Type]])</f>
        <v/>
      </c>
      <c r="J1190" t="s">
        <v>2399</v>
      </c>
      <c r="L1190" t="s">
        <v>77</v>
      </c>
      <c r="P1190" t="s">
        <v>85</v>
      </c>
    </row>
    <row r="1191" spans="1:16" x14ac:dyDescent="0.25">
      <c r="A1191" t="s">
        <v>2415</v>
      </c>
      <c r="B1191" t="s">
        <v>173</v>
      </c>
      <c r="C1191" t="str">
        <f>IF(ISBLANK(Table4[[#This Row],[Region]]),Table4[[#This Row],[Node Type]],Table4[[#This Row],[Region]])</f>
        <v/>
      </c>
      <c r="E1191" t="str">
        <f>IF(ISERROR(SEARCH("Node",Table4[[#This Row],[Type]])),IF(ISERROR(SEARCH("Iliac",Table4[[#This Row],[Type]])),"",Table4[[#This Row],[Type]]),Table4[[#This Row],[Type]])</f>
        <v/>
      </c>
      <c r="J1191" t="s">
        <v>2399</v>
      </c>
      <c r="L1191" t="s">
        <v>45</v>
      </c>
      <c r="O1191" t="s">
        <v>1642</v>
      </c>
    </row>
    <row r="1192" spans="1:16" x14ac:dyDescent="0.25">
      <c r="A1192" t="s">
        <v>2416</v>
      </c>
      <c r="B1192" t="s">
        <v>20</v>
      </c>
      <c r="C1192" t="str">
        <f>IF(ISBLANK(Table4[[#This Row],[Region]]),Table4[[#This Row],[Node Type]],Table4[[#This Row],[Region]])</f>
        <v/>
      </c>
      <c r="E1192" t="str">
        <f>IF(ISERROR(SEARCH("Node",Table4[[#This Row],[Type]])),IF(ISERROR(SEARCH("Iliac",Table4[[#This Row],[Type]])),"",Table4[[#This Row],[Type]]),Table4[[#This Row],[Type]])</f>
        <v/>
      </c>
      <c r="L1192" t="s">
        <v>20</v>
      </c>
      <c r="M1192" t="s">
        <v>249</v>
      </c>
    </row>
    <row r="1193" spans="1:16" x14ac:dyDescent="0.25">
      <c r="A1193" t="s">
        <v>2417</v>
      </c>
      <c r="B1193" t="s">
        <v>77</v>
      </c>
      <c r="C1193" t="str">
        <f>IF(ISBLANK(Table4[[#This Row],[Region]]),Table4[[#This Row],[Node Type]],Table4[[#This Row],[Region]])</f>
        <v/>
      </c>
      <c r="E1193" t="str">
        <f>IF(ISERROR(SEARCH("Node",Table4[[#This Row],[Type]])),IF(ISERROR(SEARCH("Iliac",Table4[[#This Row],[Type]])),"",Table4[[#This Row],[Type]]),Table4[[#This Row],[Type]])</f>
        <v/>
      </c>
      <c r="I1193">
        <v>20</v>
      </c>
      <c r="L1193" t="s">
        <v>77</v>
      </c>
    </row>
    <row r="1194" spans="1:16" x14ac:dyDescent="0.25">
      <c r="A1194" t="s">
        <v>2419</v>
      </c>
      <c r="B1194" t="s">
        <v>77</v>
      </c>
      <c r="C1194" t="str">
        <f>IF(ISBLANK(Table4[[#This Row],[Region]]),Table4[[#This Row],[Node Type]],Table4[[#This Row],[Region]])</f>
        <v/>
      </c>
      <c r="E1194" t="str">
        <f>IF(ISERROR(SEARCH("Node",Table4[[#This Row],[Type]])),IF(ISERROR(SEARCH("Iliac",Table4[[#This Row],[Type]])),"",Table4[[#This Row],[Type]]),Table4[[#This Row],[Type]])</f>
        <v/>
      </c>
      <c r="I1194">
        <v>18</v>
      </c>
      <c r="L1194" t="s">
        <v>77</v>
      </c>
    </row>
    <row r="1195" spans="1:16" x14ac:dyDescent="0.25">
      <c r="A1195" t="s">
        <v>2420</v>
      </c>
      <c r="B1195" t="s">
        <v>77</v>
      </c>
      <c r="C1195" t="str">
        <f>IF(ISBLANK(Table4[[#This Row],[Region]]),Table4[[#This Row],[Node Type]],Table4[[#This Row],[Region]])</f>
        <v/>
      </c>
      <c r="E1195" t="str">
        <f>IF(ISERROR(SEARCH("Node",Table4[[#This Row],[Type]])),IF(ISERROR(SEARCH("Iliac",Table4[[#This Row],[Type]])),"",Table4[[#This Row],[Type]]),Table4[[#This Row],[Type]])</f>
        <v/>
      </c>
      <c r="I1195">
        <v>46</v>
      </c>
      <c r="L1195" t="s">
        <v>77</v>
      </c>
      <c r="M1195" t="s">
        <v>79</v>
      </c>
    </row>
    <row r="1196" spans="1:16" x14ac:dyDescent="0.25">
      <c r="A1196" t="s">
        <v>2422</v>
      </c>
      <c r="B1196" t="s">
        <v>77</v>
      </c>
      <c r="C1196" t="str">
        <f>IF(ISBLANK(Table4[[#This Row],[Region]]),Table4[[#This Row],[Node Type]],Table4[[#This Row],[Region]])</f>
        <v/>
      </c>
      <c r="E1196" t="str">
        <f>IF(ISERROR(SEARCH("Node",Table4[[#This Row],[Type]])),IF(ISERROR(SEARCH("Iliac",Table4[[#This Row],[Type]])),"",Table4[[#This Row],[Type]]),Table4[[#This Row],[Type]])</f>
        <v/>
      </c>
      <c r="I1196">
        <v>50</v>
      </c>
      <c r="L1196" t="s">
        <v>77</v>
      </c>
    </row>
    <row r="1197" spans="1:16" x14ac:dyDescent="0.25">
      <c r="A1197" t="s">
        <v>2424</v>
      </c>
      <c r="B1197" t="s">
        <v>77</v>
      </c>
      <c r="C1197" t="str">
        <f>IF(ISBLANK(Table4[[#This Row],[Region]]),Table4[[#This Row],[Node Type]],Table4[[#This Row],[Region]])</f>
        <v/>
      </c>
      <c r="E1197" t="str">
        <f>IF(ISERROR(SEARCH("Node",Table4[[#This Row],[Type]])),IF(ISERROR(SEARCH("Iliac",Table4[[#This Row],[Type]])),"",Table4[[#This Row],[Type]]),Table4[[#This Row],[Type]])</f>
        <v/>
      </c>
      <c r="I1197">
        <v>46</v>
      </c>
      <c r="L1197" t="s">
        <v>77</v>
      </c>
      <c r="N1197" t="s">
        <v>108</v>
      </c>
      <c r="O1197" t="s">
        <v>290</v>
      </c>
      <c r="P1197" t="s">
        <v>85</v>
      </c>
    </row>
    <row r="1198" spans="1:16" x14ac:dyDescent="0.25">
      <c r="A1198" t="s">
        <v>2425</v>
      </c>
      <c r="B1198" t="s">
        <v>77</v>
      </c>
      <c r="C1198" t="str">
        <f>IF(ISBLANK(Table4[[#This Row],[Region]]),Table4[[#This Row],[Node Type]],Table4[[#This Row],[Region]])</f>
        <v/>
      </c>
      <c r="E1198" t="str">
        <f>IF(ISERROR(SEARCH("Node",Table4[[#This Row],[Type]])),IF(ISERROR(SEARCH("Iliac",Table4[[#This Row],[Type]])),"",Table4[[#This Row],[Type]]),Table4[[#This Row],[Type]])</f>
        <v/>
      </c>
      <c r="I1198">
        <v>46</v>
      </c>
      <c r="L1198" t="s">
        <v>77</v>
      </c>
      <c r="N1198" t="s">
        <v>108</v>
      </c>
      <c r="O1198" t="s">
        <v>292</v>
      </c>
      <c r="P1198" t="s">
        <v>85</v>
      </c>
    </row>
    <row r="1199" spans="1:16" x14ac:dyDescent="0.25">
      <c r="A1199" t="s">
        <v>2452</v>
      </c>
      <c r="B1199" t="s">
        <v>173</v>
      </c>
      <c r="C1199" t="str">
        <f>IF(ISBLANK(Table4[[#This Row],[Region]]),Table4[[#This Row],[Node Type]],Table4[[#This Row],[Region]])</f>
        <v/>
      </c>
      <c r="E1199" t="str">
        <f>IF(ISERROR(SEARCH("Node",Table4[[#This Row],[Type]])),IF(ISERROR(SEARCH("Iliac",Table4[[#This Row],[Type]])),"",Table4[[#This Row],[Type]]),Table4[[#This Row],[Type]])</f>
        <v/>
      </c>
      <c r="F1199" t="s">
        <v>204</v>
      </c>
      <c r="L1199" t="s">
        <v>20</v>
      </c>
    </row>
    <row r="1200" spans="1:16" x14ac:dyDescent="0.25">
      <c r="A1200" t="s">
        <v>2458</v>
      </c>
      <c r="B1200" t="s">
        <v>20</v>
      </c>
      <c r="C1200" t="str">
        <f>IF(ISBLANK(Table4[[#This Row],[Region]]),Table4[[#This Row],[Node Type]],Table4[[#This Row],[Region]])</f>
        <v/>
      </c>
      <c r="E1200" t="str">
        <f>IF(ISERROR(SEARCH("Node",Table4[[#This Row],[Type]])),IF(ISERROR(SEARCH("Iliac",Table4[[#This Row],[Type]])),"",Table4[[#This Row],[Type]]),Table4[[#This Row],[Type]])</f>
        <v/>
      </c>
      <c r="H1200">
        <v>2</v>
      </c>
      <c r="I1200">
        <v>21</v>
      </c>
      <c r="L1200" t="s">
        <v>20</v>
      </c>
    </row>
    <row r="1201" spans="1:16" x14ac:dyDescent="0.25">
      <c r="A1201" t="s">
        <v>2459</v>
      </c>
      <c r="B1201" t="s">
        <v>46</v>
      </c>
      <c r="C1201" t="str">
        <f>IF(ISBLANK(Table4[[#This Row],[Region]]),Table4[[#This Row],[Node Type]],Table4[[#This Row],[Region]])</f>
        <v/>
      </c>
      <c r="E1201" t="str">
        <f>IF(ISERROR(SEARCH("Node",Table4[[#This Row],[Type]])),IF(ISERROR(SEARCH("Iliac",Table4[[#This Row],[Type]])),"",Table4[[#This Row],[Type]]),Table4[[#This Row],[Type]])</f>
        <v/>
      </c>
      <c r="H1201">
        <v>1</v>
      </c>
      <c r="L1201" t="s">
        <v>46</v>
      </c>
    </row>
    <row r="1202" spans="1:16" x14ac:dyDescent="0.25">
      <c r="A1202" t="s">
        <v>842</v>
      </c>
      <c r="B1202" t="s">
        <v>214</v>
      </c>
      <c r="C1202" t="str">
        <f>IF(ISBLANK(Table4[[#This Row],[Region]]),Table4[[#This Row],[Node Type]],Table4[[#This Row],[Region]])</f>
        <v/>
      </c>
      <c r="E1202" t="str">
        <f>IF(ISERROR(SEARCH("Node",Table4[[#This Row],[Type]])),IF(ISERROR(SEARCH("Iliac",Table4[[#This Row],[Type]])),"",Table4[[#This Row],[Type]]),Table4[[#This Row],[Type]])</f>
        <v/>
      </c>
      <c r="J1202" t="s">
        <v>83</v>
      </c>
      <c r="L1202" t="s">
        <v>77</v>
      </c>
    </row>
    <row r="1203" spans="1:16" x14ac:dyDescent="0.25">
      <c r="A1203" t="s">
        <v>2152</v>
      </c>
      <c r="B1203" t="s">
        <v>173</v>
      </c>
      <c r="C1203" t="str">
        <f>IF(ISBLANK(Table4[[#This Row],[Region]]),Table4[[#This Row],[Node Type]],Table4[[#This Row],[Region]])</f>
        <v/>
      </c>
      <c r="E1203" t="str">
        <f>IF(ISERROR(SEARCH("Node",Table4[[#This Row],[Type]])),IF(ISERROR(SEARCH("Iliac",Table4[[#This Row],[Type]])),"",Table4[[#This Row],[Type]]),Table4[[#This Row],[Type]])</f>
        <v/>
      </c>
      <c r="L1203" t="s">
        <v>77</v>
      </c>
      <c r="M1203" t="s">
        <v>137</v>
      </c>
      <c r="N1203" t="s">
        <v>873</v>
      </c>
    </row>
    <row r="1204" spans="1:16" x14ac:dyDescent="0.25">
      <c r="A1204" t="s">
        <v>2468</v>
      </c>
      <c r="B1204" t="s">
        <v>77</v>
      </c>
      <c r="C1204" t="str">
        <f>IF(ISBLANK(Table4[[#This Row],[Region]]),Table4[[#This Row],[Node Type]],Table4[[#This Row],[Region]])</f>
        <v/>
      </c>
      <c r="E1204" t="str">
        <f>IF(ISERROR(SEARCH("Node",Table4[[#This Row],[Type]])),IF(ISERROR(SEARCH("Iliac",Table4[[#This Row],[Type]])),"",Table4[[#This Row],[Type]]),Table4[[#This Row],[Type]])</f>
        <v/>
      </c>
      <c r="L1204" t="s">
        <v>77</v>
      </c>
      <c r="M1204" t="s">
        <v>137</v>
      </c>
      <c r="N1204" t="s">
        <v>878</v>
      </c>
    </row>
    <row r="1205" spans="1:16" x14ac:dyDescent="0.25">
      <c r="A1205" t="s">
        <v>2151</v>
      </c>
      <c r="B1205" t="s">
        <v>173</v>
      </c>
      <c r="C1205" t="str">
        <f>IF(ISBLANK(Table4[[#This Row],[Region]]),Table4[[#This Row],[Node Type]],Table4[[#This Row],[Region]])</f>
        <v/>
      </c>
      <c r="E1205" t="str">
        <f>IF(ISERROR(SEARCH("Node",Table4[[#This Row],[Type]])),IF(ISERROR(SEARCH("Iliac",Table4[[#This Row],[Type]])),"",Table4[[#This Row],[Type]]),Table4[[#This Row],[Type]])</f>
        <v/>
      </c>
      <c r="J1205" t="s">
        <v>83</v>
      </c>
      <c r="L1205" t="s">
        <v>77</v>
      </c>
    </row>
    <row r="1206" spans="1:16" x14ac:dyDescent="0.25">
      <c r="A1206" t="s">
        <v>2469</v>
      </c>
      <c r="B1206" t="s">
        <v>77</v>
      </c>
      <c r="C1206" t="str">
        <f>IF(ISBLANK(Table4[[#This Row],[Region]]),Table4[[#This Row],[Node Type]],Table4[[#This Row],[Region]])</f>
        <v/>
      </c>
      <c r="E1206" t="str">
        <f>IF(ISERROR(SEARCH("Node",Table4[[#This Row],[Type]])),IF(ISERROR(SEARCH("Iliac",Table4[[#This Row],[Type]])),"",Table4[[#This Row],[Type]]),Table4[[#This Row],[Type]])</f>
        <v/>
      </c>
      <c r="J1206" t="s">
        <v>83</v>
      </c>
      <c r="L1206" t="s">
        <v>77</v>
      </c>
    </row>
    <row r="1207" spans="1:16" x14ac:dyDescent="0.25">
      <c r="A1207" t="s">
        <v>2472</v>
      </c>
      <c r="B1207" t="s">
        <v>173</v>
      </c>
      <c r="C1207" t="str">
        <f>IF(ISBLANK(Table4[[#This Row],[Region]]),Table4[[#This Row],[Node Type]],Table4[[#This Row],[Region]])</f>
        <v/>
      </c>
      <c r="E1207" t="str">
        <f>IF(ISERROR(SEARCH("Node",Table4[[#This Row],[Type]])),IF(ISERROR(SEARCH("Iliac",Table4[[#This Row],[Type]])),"",Table4[[#This Row],[Type]]),Table4[[#This Row],[Type]])</f>
        <v/>
      </c>
      <c r="I1207">
        <v>55</v>
      </c>
      <c r="L1207" t="s">
        <v>77</v>
      </c>
    </row>
    <row r="1208" spans="1:16" x14ac:dyDescent="0.25">
      <c r="A1208" t="s">
        <v>2473</v>
      </c>
      <c r="B1208" t="s">
        <v>173</v>
      </c>
      <c r="C1208" t="str">
        <f>IF(ISBLANK(Table4[[#This Row],[Region]]),Table4[[#This Row],[Node Type]],Table4[[#This Row],[Region]])</f>
        <v/>
      </c>
      <c r="E1208" t="str">
        <f>IF(ISERROR(SEARCH("Node",Table4[[#This Row],[Type]])),IF(ISERROR(SEARCH("Iliac",Table4[[#This Row],[Type]])),"",Table4[[#This Row],[Type]]),Table4[[#This Row],[Type]])</f>
        <v/>
      </c>
      <c r="I1208">
        <v>55</v>
      </c>
      <c r="L1208" t="s">
        <v>46</v>
      </c>
    </row>
    <row r="1209" spans="1:16" x14ac:dyDescent="0.25">
      <c r="A1209" t="s">
        <v>2485</v>
      </c>
      <c r="B1209" t="s">
        <v>46</v>
      </c>
      <c r="C1209" t="str">
        <f>IF(ISBLANK(Table4[[#This Row],[Region]]),Table4[[#This Row],[Node Type]],Table4[[#This Row],[Region]])</f>
        <v/>
      </c>
      <c r="E1209" t="str">
        <f>IF(ISERROR(SEARCH("Node",Table4[[#This Row],[Type]])),IF(ISERROR(SEARCH("Iliac",Table4[[#This Row],[Type]])),"",Table4[[#This Row],[Type]]),Table4[[#This Row],[Type]])</f>
        <v/>
      </c>
      <c r="J1209" t="s">
        <v>2015</v>
      </c>
      <c r="L1209" t="s">
        <v>46</v>
      </c>
    </row>
    <row r="1210" spans="1:16" x14ac:dyDescent="0.25">
      <c r="A1210" t="s">
        <v>2486</v>
      </c>
      <c r="B1210" t="s">
        <v>20</v>
      </c>
      <c r="C1210" t="str">
        <f>IF(ISBLANK(Table4[[#This Row],[Region]]),Table4[[#This Row],[Node Type]],Table4[[#This Row],[Region]])</f>
        <v/>
      </c>
      <c r="E1210" t="str">
        <f>IF(ISERROR(SEARCH("Node",Table4[[#This Row],[Type]])),IF(ISERROR(SEARCH("Iliac",Table4[[#This Row],[Type]])),"",Table4[[#This Row],[Type]]),Table4[[#This Row],[Type]])</f>
        <v/>
      </c>
      <c r="J1210" t="s">
        <v>2015</v>
      </c>
      <c r="L1210" t="s">
        <v>20</v>
      </c>
    </row>
    <row r="1211" spans="1:16" x14ac:dyDescent="0.25">
      <c r="A1211" t="s">
        <v>2490</v>
      </c>
      <c r="B1211" t="s">
        <v>77</v>
      </c>
      <c r="C1211" t="str">
        <f>IF(ISBLANK(Table4[[#This Row],[Region]]),Table4[[#This Row],[Node Type]],Table4[[#This Row],[Region]])</f>
        <v/>
      </c>
      <c r="E1211" t="str">
        <f>IF(ISERROR(SEARCH("Node",Table4[[#This Row],[Type]])),IF(ISERROR(SEARCH("Iliac",Table4[[#This Row],[Type]])),"",Table4[[#This Row],[Type]]),Table4[[#This Row],[Type]])</f>
        <v/>
      </c>
      <c r="I1211">
        <v>45</v>
      </c>
      <c r="L1211" t="s">
        <v>77</v>
      </c>
      <c r="N1211" t="s">
        <v>108</v>
      </c>
    </row>
    <row r="1212" spans="1:16" x14ac:dyDescent="0.25">
      <c r="A1212" t="s">
        <v>2492</v>
      </c>
      <c r="B1212" t="s">
        <v>77</v>
      </c>
      <c r="C1212" t="str">
        <f>IF(ISBLANK(Table4[[#This Row],[Region]]),Table4[[#This Row],[Node Type]],Table4[[#This Row],[Region]])</f>
        <v/>
      </c>
      <c r="E1212" t="str">
        <f>IF(ISERROR(SEARCH("Node",Table4[[#This Row],[Type]])),IF(ISERROR(SEARCH("Iliac",Table4[[#This Row],[Type]])),"",Table4[[#This Row],[Type]]),Table4[[#This Row],[Type]])</f>
        <v/>
      </c>
      <c r="H1212">
        <v>3</v>
      </c>
      <c r="I1212">
        <v>24</v>
      </c>
      <c r="L1212" t="s">
        <v>77</v>
      </c>
    </row>
    <row r="1213" spans="1:16" x14ac:dyDescent="0.25">
      <c r="A1213" t="s">
        <v>2495</v>
      </c>
      <c r="B1213" t="s">
        <v>77</v>
      </c>
      <c r="C1213" t="str">
        <f>IF(ISBLANK(Table4[[#This Row],[Region]]),Table4[[#This Row],[Node Type]],Table4[[#This Row],[Region]])</f>
        <v/>
      </c>
      <c r="E1213" t="str">
        <f>IF(ISERROR(SEARCH("Node",Table4[[#This Row],[Type]])),IF(ISERROR(SEARCH("Iliac",Table4[[#This Row],[Type]])),"",Table4[[#This Row],[Type]]),Table4[[#This Row],[Type]])</f>
        <v/>
      </c>
      <c r="K1213" t="s">
        <v>552</v>
      </c>
      <c r="L1213" t="s">
        <v>77</v>
      </c>
      <c r="P1213" t="s">
        <v>85</v>
      </c>
    </row>
    <row r="1214" spans="1:16" x14ac:dyDescent="0.25">
      <c r="A1214" t="s">
        <v>2496</v>
      </c>
      <c r="B1214" t="s">
        <v>77</v>
      </c>
      <c r="C1214" t="str">
        <f>IF(ISBLANK(Table4[[#This Row],[Region]]),Table4[[#This Row],[Node Type]],Table4[[#This Row],[Region]])</f>
        <v/>
      </c>
      <c r="E1214" t="str">
        <f>IF(ISERROR(SEARCH("Node",Table4[[#This Row],[Type]])),IF(ISERROR(SEARCH("Iliac",Table4[[#This Row],[Type]])),"",Table4[[#This Row],[Type]]),Table4[[#This Row],[Type]])</f>
        <v/>
      </c>
      <c r="H1214">
        <v>1</v>
      </c>
      <c r="L1214" t="s">
        <v>77</v>
      </c>
      <c r="P1214" t="s">
        <v>83</v>
      </c>
    </row>
    <row r="1215" spans="1:16" x14ac:dyDescent="0.25">
      <c r="A1215" t="s">
        <v>2497</v>
      </c>
      <c r="B1215" t="s">
        <v>77</v>
      </c>
      <c r="C1215" t="str">
        <f>IF(ISBLANK(Table4[[#This Row],[Region]]),Table4[[#This Row],[Node Type]],Table4[[#This Row],[Region]])</f>
        <v/>
      </c>
      <c r="E1215" t="str">
        <f>IF(ISERROR(SEARCH("Node",Table4[[#This Row],[Type]])),IF(ISERROR(SEARCH("Iliac",Table4[[#This Row],[Type]])),"",Table4[[#This Row],[Type]]),Table4[[#This Row],[Type]])</f>
        <v/>
      </c>
      <c r="H1215">
        <v>2</v>
      </c>
      <c r="L1215" t="s">
        <v>77</v>
      </c>
      <c r="P1215" t="s">
        <v>83</v>
      </c>
    </row>
    <row r="1216" spans="1:16" x14ac:dyDescent="0.25">
      <c r="A1216" t="s">
        <v>2498</v>
      </c>
      <c r="B1216" t="s">
        <v>77</v>
      </c>
      <c r="C1216" t="str">
        <f>IF(ISBLANK(Table4[[#This Row],[Region]]),Table4[[#This Row],[Node Type]],Table4[[#This Row],[Region]])</f>
        <v/>
      </c>
      <c r="E1216" t="str">
        <f>IF(ISERROR(SEARCH("Node",Table4[[#This Row],[Type]])),IF(ISERROR(SEARCH("Iliac",Table4[[#This Row],[Type]])),"",Table4[[#This Row],[Type]]),Table4[[#This Row],[Type]])</f>
        <v/>
      </c>
      <c r="J1216" t="s">
        <v>83</v>
      </c>
      <c r="K1216" t="s">
        <v>350</v>
      </c>
      <c r="L1216" t="s">
        <v>77</v>
      </c>
    </row>
    <row r="1217" spans="1:14" x14ac:dyDescent="0.25">
      <c r="A1217" t="s">
        <v>2499</v>
      </c>
      <c r="B1217" t="s">
        <v>20</v>
      </c>
      <c r="C1217" t="str">
        <f>IF(ISBLANK(Table4[[#This Row],[Region]]),Table4[[#This Row],[Node Type]],Table4[[#This Row],[Region]])</f>
        <v/>
      </c>
      <c r="E1217" t="str">
        <f>IF(ISERROR(SEARCH("Node",Table4[[#This Row],[Type]])),IF(ISERROR(SEARCH("Iliac",Table4[[#This Row],[Type]])),"",Table4[[#This Row],[Type]]),Table4[[#This Row],[Type]])</f>
        <v/>
      </c>
      <c r="H1217">
        <v>3</v>
      </c>
      <c r="L1217" t="s">
        <v>20</v>
      </c>
    </row>
    <row r="1218" spans="1:14" x14ac:dyDescent="0.25">
      <c r="A1218" t="s">
        <v>2500</v>
      </c>
      <c r="B1218" t="s">
        <v>77</v>
      </c>
      <c r="C1218" t="str">
        <f>IF(ISBLANK(Table4[[#This Row],[Region]]),Table4[[#This Row],[Node Type]],Table4[[#This Row],[Region]])</f>
        <v/>
      </c>
      <c r="E1218" t="str">
        <f>IF(ISERROR(SEARCH("Node",Table4[[#This Row],[Type]])),IF(ISERROR(SEARCH("Iliac",Table4[[#This Row],[Type]])),"",Table4[[#This Row],[Type]]),Table4[[#This Row],[Type]])</f>
        <v/>
      </c>
      <c r="I1218">
        <v>35</v>
      </c>
      <c r="L1218" t="s">
        <v>77</v>
      </c>
    </row>
    <row r="1219" spans="1:14" x14ac:dyDescent="0.25">
      <c r="A1219" t="s">
        <v>2508</v>
      </c>
      <c r="B1219" t="s">
        <v>77</v>
      </c>
      <c r="C1219" t="str">
        <f>IF(ISBLANK(Table4[[#This Row],[Region]]),Table4[[#This Row],[Node Type]],Table4[[#This Row],[Region]])</f>
        <v/>
      </c>
      <c r="E1219" t="str">
        <f>IF(ISERROR(SEARCH("Node",Table4[[#This Row],[Type]])),IF(ISERROR(SEARCH("Iliac",Table4[[#This Row],[Type]])),"",Table4[[#This Row],[Type]]),Table4[[#This Row],[Type]])</f>
        <v/>
      </c>
      <c r="I1219">
        <v>70</v>
      </c>
      <c r="L1219" t="s">
        <v>77</v>
      </c>
    </row>
    <row r="1220" spans="1:14" x14ac:dyDescent="0.25">
      <c r="A1220" t="s">
        <v>2510</v>
      </c>
      <c r="B1220" t="s">
        <v>46</v>
      </c>
      <c r="C1220" t="str">
        <f>IF(ISBLANK(Table4[[#This Row],[Region]]),Table4[[#This Row],[Node Type]],Table4[[#This Row],[Region]])</f>
        <v/>
      </c>
      <c r="E1220" t="str">
        <f>IF(ISERROR(SEARCH("Node",Table4[[#This Row],[Type]])),IF(ISERROR(SEARCH("Iliac",Table4[[#This Row],[Type]])),"",Table4[[#This Row],[Type]]),Table4[[#This Row],[Type]])</f>
        <v/>
      </c>
      <c r="I1220">
        <v>70</v>
      </c>
      <c r="L1220" t="s">
        <v>46</v>
      </c>
    </row>
    <row r="1221" spans="1:14" x14ac:dyDescent="0.25">
      <c r="A1221" t="s">
        <v>2512</v>
      </c>
      <c r="B1221" t="s">
        <v>46</v>
      </c>
      <c r="C1221" t="str">
        <f>IF(ISBLANK(Table4[[#This Row],[Region]]),Table4[[#This Row],[Node Type]],Table4[[#This Row],[Region]])</f>
        <v/>
      </c>
      <c r="E1221" t="str">
        <f>IF(ISERROR(SEARCH("Node",Table4[[#This Row],[Type]])),IF(ISERROR(SEARCH("Iliac",Table4[[#This Row],[Type]])),"",Table4[[#This Row],[Type]]),Table4[[#This Row],[Type]])</f>
        <v/>
      </c>
      <c r="I1221">
        <v>70</v>
      </c>
      <c r="L1221" t="s">
        <v>46</v>
      </c>
      <c r="M1221" t="s">
        <v>79</v>
      </c>
    </row>
    <row r="1222" spans="1:14" x14ac:dyDescent="0.25">
      <c r="A1222" t="s">
        <v>2513</v>
      </c>
      <c r="B1222" t="s">
        <v>46</v>
      </c>
      <c r="C1222" t="str">
        <f>IF(ISBLANK(Table4[[#This Row],[Region]]),Table4[[#This Row],[Node Type]],Table4[[#This Row],[Region]])</f>
        <v/>
      </c>
      <c r="E1222" t="str">
        <f>IF(ISERROR(SEARCH("Node",Table4[[#This Row],[Type]])),IF(ISERROR(SEARCH("Iliac",Table4[[#This Row],[Type]])),"",Table4[[#This Row],[Type]]),Table4[[#This Row],[Type]])</f>
        <v/>
      </c>
      <c r="I1222">
        <v>56</v>
      </c>
      <c r="L1222" t="s">
        <v>46</v>
      </c>
      <c r="M1222" t="s">
        <v>79</v>
      </c>
      <c r="N1222" t="s">
        <v>108</v>
      </c>
    </row>
    <row r="1223" spans="1:14" x14ac:dyDescent="0.25">
      <c r="A1223" t="s">
        <v>2514</v>
      </c>
      <c r="B1223" t="s">
        <v>46</v>
      </c>
      <c r="C1223" t="str">
        <f>IF(ISBLANK(Table4[[#This Row],[Region]]),Table4[[#This Row],[Node Type]],Table4[[#This Row],[Region]])</f>
        <v/>
      </c>
      <c r="E1223" t="str">
        <f>IF(ISERROR(SEARCH("Node",Table4[[#This Row],[Type]])),IF(ISERROR(SEARCH("Iliac",Table4[[#This Row],[Type]])),"",Table4[[#This Row],[Type]]),Table4[[#This Row],[Type]])</f>
        <v/>
      </c>
      <c r="I1223">
        <v>56</v>
      </c>
      <c r="L1223" t="s">
        <v>46</v>
      </c>
      <c r="M1223" t="s">
        <v>79</v>
      </c>
      <c r="N1223" t="s">
        <v>106</v>
      </c>
    </row>
    <row r="1224" spans="1:14" x14ac:dyDescent="0.25">
      <c r="A1224" t="s">
        <v>2515</v>
      </c>
      <c r="B1224" t="s">
        <v>77</v>
      </c>
      <c r="C1224" t="str">
        <f>IF(ISBLANK(Table4[[#This Row],[Region]]),Table4[[#This Row],[Node Type]],Table4[[#This Row],[Region]])</f>
        <v/>
      </c>
      <c r="E1224" t="str">
        <f>IF(ISERROR(SEARCH("Node",Table4[[#This Row],[Type]])),IF(ISERROR(SEARCH("Iliac",Table4[[#This Row],[Type]])),"",Table4[[#This Row],[Type]]),Table4[[#This Row],[Type]])</f>
        <v/>
      </c>
      <c r="I1224">
        <v>56</v>
      </c>
      <c r="L1224" t="s">
        <v>77</v>
      </c>
      <c r="M1224" t="s">
        <v>79</v>
      </c>
      <c r="N1224" t="s">
        <v>108</v>
      </c>
    </row>
    <row r="1225" spans="1:14" x14ac:dyDescent="0.25">
      <c r="A1225" t="s">
        <v>2516</v>
      </c>
      <c r="B1225" t="s">
        <v>77</v>
      </c>
      <c r="C1225" t="str">
        <f>IF(ISBLANK(Table4[[#This Row],[Region]]),Table4[[#This Row],[Node Type]],Table4[[#This Row],[Region]])</f>
        <v/>
      </c>
      <c r="E1225" t="str">
        <f>IF(ISERROR(SEARCH("Node",Table4[[#This Row],[Type]])),IF(ISERROR(SEARCH("Iliac",Table4[[#This Row],[Type]])),"",Table4[[#This Row],[Type]]),Table4[[#This Row],[Type]])</f>
        <v/>
      </c>
      <c r="I1225">
        <v>56</v>
      </c>
      <c r="L1225" t="s">
        <v>77</v>
      </c>
      <c r="M1225" t="s">
        <v>79</v>
      </c>
      <c r="N1225" t="s">
        <v>106</v>
      </c>
    </row>
    <row r="1226" spans="1:14" x14ac:dyDescent="0.25">
      <c r="A1226" t="s">
        <v>2517</v>
      </c>
      <c r="B1226" t="s">
        <v>77</v>
      </c>
      <c r="C1226" t="str">
        <f>IF(ISBLANK(Table4[[#This Row],[Region]]),Table4[[#This Row],[Node Type]],Table4[[#This Row],[Region]])</f>
        <v/>
      </c>
      <c r="E1226" t="str">
        <f>IF(ISERROR(SEARCH("Node",Table4[[#This Row],[Type]])),IF(ISERROR(SEARCH("Iliac",Table4[[#This Row],[Type]])),"",Table4[[#This Row],[Type]]),Table4[[#This Row],[Type]])</f>
        <v/>
      </c>
      <c r="I1226">
        <v>70</v>
      </c>
      <c r="K1226" t="s">
        <v>605</v>
      </c>
      <c r="L1226" t="s">
        <v>77</v>
      </c>
    </row>
    <row r="1227" spans="1:14" x14ac:dyDescent="0.25">
      <c r="A1227" t="s">
        <v>2518</v>
      </c>
      <c r="B1227" t="s">
        <v>46</v>
      </c>
      <c r="C1227" t="str">
        <f>IF(ISBLANK(Table4[[#This Row],[Region]]),Table4[[#This Row],[Node Type]],Table4[[#This Row],[Region]])</f>
        <v/>
      </c>
      <c r="E1227" t="str">
        <f>IF(ISERROR(SEARCH("Node",Table4[[#This Row],[Type]])),IF(ISERROR(SEARCH("Iliac",Table4[[#This Row],[Type]])),"",Table4[[#This Row],[Type]]),Table4[[#This Row],[Type]])</f>
        <v/>
      </c>
      <c r="I1227">
        <v>70</v>
      </c>
      <c r="K1227" t="s">
        <v>605</v>
      </c>
      <c r="L1227" t="s">
        <v>46</v>
      </c>
    </row>
    <row r="1228" spans="1:14" x14ac:dyDescent="0.25">
      <c r="A1228" t="s">
        <v>2524</v>
      </c>
      <c r="B1228" t="s">
        <v>77</v>
      </c>
      <c r="C1228" t="str">
        <f>IF(ISBLANK(Table4[[#This Row],[Region]]),Table4[[#This Row],[Node Type]],Table4[[#This Row],[Region]])</f>
        <v/>
      </c>
      <c r="E1228" t="str">
        <f>IF(ISERROR(SEARCH("Node",Table4[[#This Row],[Type]])),IF(ISERROR(SEARCH("Iliac",Table4[[#This Row],[Type]])),"",Table4[[#This Row],[Type]]),Table4[[#This Row],[Type]])</f>
        <v/>
      </c>
      <c r="H1228">
        <v>5</v>
      </c>
      <c r="L1228" t="s">
        <v>77</v>
      </c>
      <c r="M1228" t="s">
        <v>249</v>
      </c>
    </row>
    <row r="1229" spans="1:14" x14ac:dyDescent="0.25">
      <c r="A1229" t="s">
        <v>2525</v>
      </c>
      <c r="B1229" t="s">
        <v>48</v>
      </c>
      <c r="C1229" t="str">
        <f>IF(ISBLANK(Table4[[#This Row],[Region]]),Table4[[#This Row],[Node Type]],Table4[[#This Row],[Region]])</f>
        <v/>
      </c>
      <c r="E1229" t="str">
        <f>IF(ISERROR(SEARCH("Node",Table4[[#This Row],[Type]])),IF(ISERROR(SEARCH("Iliac",Table4[[#This Row],[Type]])),"",Table4[[#This Row],[Type]]),Table4[[#This Row],[Type]])</f>
        <v/>
      </c>
      <c r="I1229">
        <v>25</v>
      </c>
      <c r="L1229" t="s">
        <v>20</v>
      </c>
    </row>
    <row r="1230" spans="1:14" x14ac:dyDescent="0.25">
      <c r="A1230" t="s">
        <v>2526</v>
      </c>
      <c r="B1230" t="s">
        <v>46</v>
      </c>
      <c r="C1230" t="str">
        <f>IF(ISBLANK(Table4[[#This Row],[Region]]),Table4[[#This Row],[Node Type]],Table4[[#This Row],[Region]])</f>
        <v/>
      </c>
      <c r="E1230" t="str">
        <f>IF(ISERROR(SEARCH("Node",Table4[[#This Row],[Type]])),IF(ISERROR(SEARCH("Iliac",Table4[[#This Row],[Type]])),"",Table4[[#This Row],[Type]]),Table4[[#This Row],[Type]])</f>
        <v/>
      </c>
      <c r="I1230">
        <v>25</v>
      </c>
      <c r="L1230" t="s">
        <v>46</v>
      </c>
    </row>
    <row r="1231" spans="1:14" x14ac:dyDescent="0.25">
      <c r="A1231" t="s">
        <v>2527</v>
      </c>
      <c r="B1231" t="s">
        <v>77</v>
      </c>
      <c r="C1231" t="str">
        <f>IF(ISBLANK(Table4[[#This Row],[Region]]),Table4[[#This Row],[Node Type]],Table4[[#This Row],[Region]])</f>
        <v/>
      </c>
      <c r="E1231" t="str">
        <f>IF(ISERROR(SEARCH("Node",Table4[[#This Row],[Type]])),IF(ISERROR(SEARCH("Iliac",Table4[[#This Row],[Type]])),"",Table4[[#This Row],[Type]]),Table4[[#This Row],[Type]])</f>
        <v/>
      </c>
      <c r="I1231">
        <v>25</v>
      </c>
      <c r="L1231" t="s">
        <v>77</v>
      </c>
    </row>
    <row r="1232" spans="1:14" x14ac:dyDescent="0.25">
      <c r="A1232" t="s">
        <v>229</v>
      </c>
      <c r="B1232" t="s">
        <v>173</v>
      </c>
      <c r="C1232" t="str">
        <f>IF(ISBLANK(Table4[[#This Row],[Region]]),Table4[[#This Row],[Node Type]],Table4[[#This Row],[Region]])</f>
        <v/>
      </c>
      <c r="E1232" t="str">
        <f>IF(ISERROR(SEARCH("Node",Table4[[#This Row],[Type]])),IF(ISERROR(SEARCH("Iliac",Table4[[#This Row],[Type]])),"",Table4[[#This Row],[Type]]),Table4[[#This Row],[Type]])</f>
        <v/>
      </c>
      <c r="F1232" t="s">
        <v>230</v>
      </c>
      <c r="L1232" t="s">
        <v>20</v>
      </c>
    </row>
    <row r="1233" spans="1:17" x14ac:dyDescent="0.25">
      <c r="A1233" t="s">
        <v>2529</v>
      </c>
      <c r="B1233" t="s">
        <v>46</v>
      </c>
      <c r="C1233" t="str">
        <f>IF(ISBLANK(Table4[[#This Row],[Region]]),Table4[[#This Row],[Node Type]],Table4[[#This Row],[Region]])</f>
        <v/>
      </c>
      <c r="E1233" t="str">
        <f>IF(ISERROR(SEARCH("Node",Table4[[#This Row],[Type]])),IF(ISERROR(SEARCH("Iliac",Table4[[#This Row],[Type]])),"",Table4[[#This Row],[Type]]),Table4[[#This Row],[Type]])</f>
        <v/>
      </c>
      <c r="I1233">
        <v>50</v>
      </c>
      <c r="L1233" t="s">
        <v>46</v>
      </c>
      <c r="O1233" t="s">
        <v>1136</v>
      </c>
    </row>
    <row r="1234" spans="1:17" x14ac:dyDescent="0.25">
      <c r="A1234" t="s">
        <v>2530</v>
      </c>
      <c r="B1234" t="s">
        <v>77</v>
      </c>
      <c r="C1234" t="str">
        <f>IF(ISBLANK(Table4[[#This Row],[Region]]),Table4[[#This Row],[Node Type]],Table4[[#This Row],[Region]])</f>
        <v/>
      </c>
      <c r="E1234" t="str">
        <f>IF(ISERROR(SEARCH("Node",Table4[[#This Row],[Type]])),IF(ISERROR(SEARCH("Iliac",Table4[[#This Row],[Type]])),"",Table4[[#This Row],[Type]]),Table4[[#This Row],[Type]])</f>
        <v/>
      </c>
      <c r="I1234">
        <v>60</v>
      </c>
      <c r="J1234" t="s">
        <v>2531</v>
      </c>
      <c r="L1234" t="s">
        <v>77</v>
      </c>
      <c r="O1234" t="s">
        <v>2532</v>
      </c>
    </row>
    <row r="1235" spans="1:17" x14ac:dyDescent="0.25">
      <c r="A1235" t="s">
        <v>2533</v>
      </c>
      <c r="B1235" t="s">
        <v>77</v>
      </c>
      <c r="C1235" t="str">
        <f>IF(ISBLANK(Table4[[#This Row],[Region]]),Table4[[#This Row],[Node Type]],Table4[[#This Row],[Region]])</f>
        <v/>
      </c>
      <c r="E1235" t="str">
        <f>IF(ISERROR(SEARCH("Node",Table4[[#This Row],[Type]])),IF(ISERROR(SEARCH("Iliac",Table4[[#This Row],[Type]])),"",Table4[[#This Row],[Type]]),Table4[[#This Row],[Type]])</f>
        <v/>
      </c>
      <c r="I1235">
        <v>50</v>
      </c>
      <c r="J1235" t="s">
        <v>2531</v>
      </c>
      <c r="L1235" t="s">
        <v>77</v>
      </c>
      <c r="O1235" t="s">
        <v>2532</v>
      </c>
    </row>
    <row r="1236" spans="1:17" x14ac:dyDescent="0.25">
      <c r="A1236" t="s">
        <v>2535</v>
      </c>
      <c r="B1236" t="s">
        <v>46</v>
      </c>
      <c r="C1236" t="str">
        <f>IF(ISBLANK(Table4[[#This Row],[Region]]),Table4[[#This Row],[Node Type]],Table4[[#This Row],[Region]])</f>
        <v/>
      </c>
      <c r="E1236" t="str">
        <f>IF(ISERROR(SEARCH("Node",Table4[[#This Row],[Type]])),IF(ISERROR(SEARCH("Iliac",Table4[[#This Row],[Type]])),"",Table4[[#This Row],[Type]]),Table4[[#This Row],[Type]])</f>
        <v/>
      </c>
      <c r="I1236">
        <v>50</v>
      </c>
      <c r="K1236" t="s">
        <v>605</v>
      </c>
      <c r="L1236" t="s">
        <v>46</v>
      </c>
    </row>
    <row r="1237" spans="1:17" x14ac:dyDescent="0.25">
      <c r="A1237" t="s">
        <v>2536</v>
      </c>
      <c r="B1237" t="s">
        <v>46</v>
      </c>
      <c r="C1237" t="str">
        <f>IF(ISBLANK(Table4[[#This Row],[Region]]),Table4[[#This Row],[Node Type]],Table4[[#This Row],[Region]])</f>
        <v/>
      </c>
      <c r="E1237" t="str">
        <f>IF(ISERROR(SEARCH("Node",Table4[[#This Row],[Type]])),IF(ISERROR(SEARCH("Iliac",Table4[[#This Row],[Type]])),"",Table4[[#This Row],[Type]]),Table4[[#This Row],[Type]])</f>
        <v/>
      </c>
      <c r="I1237">
        <v>60</v>
      </c>
      <c r="J1237" t="s">
        <v>2531</v>
      </c>
      <c r="L1237" t="s">
        <v>46</v>
      </c>
      <c r="O1237" t="s">
        <v>2532</v>
      </c>
    </row>
    <row r="1238" spans="1:17" x14ac:dyDescent="0.25">
      <c r="A1238" t="s">
        <v>2537</v>
      </c>
      <c r="B1238" t="s">
        <v>46</v>
      </c>
      <c r="C1238" t="str">
        <f>IF(ISBLANK(Table4[[#This Row],[Region]]),Table4[[#This Row],[Node Type]],Table4[[#This Row],[Region]])</f>
        <v/>
      </c>
      <c r="E1238" t="str">
        <f>IF(ISERROR(SEARCH("Node",Table4[[#This Row],[Type]])),IF(ISERROR(SEARCH("Iliac",Table4[[#This Row],[Type]])),"",Table4[[#This Row],[Type]]),Table4[[#This Row],[Type]])</f>
        <v/>
      </c>
      <c r="I1238">
        <v>54</v>
      </c>
      <c r="L1238" t="s">
        <v>46</v>
      </c>
      <c r="P1238" t="s">
        <v>1159</v>
      </c>
    </row>
    <row r="1239" spans="1:17" x14ac:dyDescent="0.25">
      <c r="A1239" t="s">
        <v>184</v>
      </c>
      <c r="B1239" t="s">
        <v>173</v>
      </c>
      <c r="C1239" t="str">
        <f>IF(ISBLANK(Table4[[#This Row],[Region]]),Table4[[#This Row],[Node Type]],Table4[[#This Row],[Region]])</f>
        <v/>
      </c>
      <c r="E1239" t="str">
        <f>IF(ISERROR(SEARCH("Node",Table4[[#This Row],[Type]])),IF(ISERROR(SEARCH("Iliac",Table4[[#This Row],[Type]])),"",Table4[[#This Row],[Type]]),Table4[[#This Row],[Type]])</f>
        <v/>
      </c>
      <c r="L1239" t="s">
        <v>77</v>
      </c>
      <c r="P1239" t="s">
        <v>85</v>
      </c>
    </row>
    <row r="1240" spans="1:17" x14ac:dyDescent="0.25">
      <c r="A1240" t="s">
        <v>2539</v>
      </c>
      <c r="B1240" t="s">
        <v>77</v>
      </c>
      <c r="C1240" t="str">
        <f>IF(ISBLANK(Table4[[#This Row],[Region]]),Table4[[#This Row],[Node Type]],Table4[[#This Row],[Region]])</f>
        <v/>
      </c>
      <c r="E1240" t="str">
        <f>IF(ISERROR(SEARCH("Node",Table4[[#This Row],[Type]])),IF(ISERROR(SEARCH("Iliac",Table4[[#This Row],[Type]])),"",Table4[[#This Row],[Type]]),Table4[[#This Row],[Type]])</f>
        <v/>
      </c>
      <c r="I1240">
        <v>27</v>
      </c>
      <c r="L1240" t="s">
        <v>77</v>
      </c>
    </row>
    <row r="1241" spans="1:17" x14ac:dyDescent="0.25">
      <c r="A1241" t="s">
        <v>2473</v>
      </c>
      <c r="B1241" t="s">
        <v>48</v>
      </c>
      <c r="C1241" t="str">
        <f>IF(ISBLANK(Table4[[#This Row],[Region]]),Table4[[#This Row],[Node Type]],Table4[[#This Row],[Region]])</f>
        <v/>
      </c>
      <c r="E1241" t="str">
        <f>IF(ISERROR(SEARCH("Node",Table4[[#This Row],[Type]])),IF(ISERROR(SEARCH("Iliac",Table4[[#This Row],[Type]])),"",Table4[[#This Row],[Type]]),Table4[[#This Row],[Type]])</f>
        <v/>
      </c>
      <c r="I1241">
        <v>55</v>
      </c>
      <c r="L1241" t="s">
        <v>46</v>
      </c>
    </row>
    <row r="1242" spans="1:17" x14ac:dyDescent="0.25">
      <c r="A1242" t="s">
        <v>2472</v>
      </c>
      <c r="B1242" t="s">
        <v>16</v>
      </c>
      <c r="C1242" t="str">
        <f>IF(ISBLANK(Table4[[#This Row],[Region]]),Table4[[#This Row],[Node Type]],Table4[[#This Row],[Region]])</f>
        <v/>
      </c>
      <c r="E1242" t="str">
        <f>IF(ISERROR(SEARCH("Node",Table4[[#This Row],[Type]])),IF(ISERROR(SEARCH("Iliac",Table4[[#This Row],[Type]])),"",Table4[[#This Row],[Type]]),Table4[[#This Row],[Type]])</f>
        <v/>
      </c>
      <c r="I1242">
        <v>55</v>
      </c>
      <c r="L1242" t="s">
        <v>77</v>
      </c>
    </row>
    <row r="1243" spans="1:17" x14ac:dyDescent="0.25">
      <c r="A1243" t="s">
        <v>2544</v>
      </c>
      <c r="B1243" t="s">
        <v>77</v>
      </c>
      <c r="C1243" t="str">
        <f>IF(ISBLANK(Table4[[#This Row],[Region]]),Table4[[#This Row],[Node Type]],Table4[[#This Row],[Region]])</f>
        <v/>
      </c>
      <c r="E1243" t="str">
        <f>IF(ISERROR(SEARCH("Node",Table4[[#This Row],[Type]])),IF(ISERROR(SEARCH("Iliac",Table4[[#This Row],[Type]])),"",Table4[[#This Row],[Type]]),Table4[[#This Row],[Type]])</f>
        <v/>
      </c>
      <c r="L1243" t="s">
        <v>77</v>
      </c>
      <c r="Q1243" t="s">
        <v>2545</v>
      </c>
    </row>
    <row r="1244" spans="1:17" x14ac:dyDescent="0.25">
      <c r="A1244" t="s">
        <v>2546</v>
      </c>
      <c r="B1244" t="s">
        <v>46</v>
      </c>
      <c r="C1244" t="str">
        <f>IF(ISBLANK(Table4[[#This Row],[Region]]),Table4[[#This Row],[Node Type]],Table4[[#This Row],[Region]])</f>
        <v/>
      </c>
      <c r="E1244" t="str">
        <f>IF(ISERROR(SEARCH("Node",Table4[[#This Row],[Type]])),IF(ISERROR(SEARCH("Iliac",Table4[[#This Row],[Type]])),"",Table4[[#This Row],[Type]]),Table4[[#This Row],[Type]])</f>
        <v/>
      </c>
      <c r="L1244" t="s">
        <v>46</v>
      </c>
      <c r="Q1244" t="s">
        <v>2545</v>
      </c>
    </row>
    <row r="1245" spans="1:17" x14ac:dyDescent="0.25">
      <c r="A1245" t="s">
        <v>2547</v>
      </c>
      <c r="B1245" t="s">
        <v>46</v>
      </c>
      <c r="C1245" t="str">
        <f>IF(ISBLANK(Table4[[#This Row],[Region]]),Table4[[#This Row],[Node Type]],Table4[[#This Row],[Region]])</f>
        <v/>
      </c>
      <c r="E1245" t="str">
        <f>IF(ISERROR(SEARCH("Node",Table4[[#This Row],[Type]])),IF(ISERROR(SEARCH("Iliac",Table4[[#This Row],[Type]])),"",Table4[[#This Row],[Type]]),Table4[[#This Row],[Type]])</f>
        <v/>
      </c>
      <c r="L1245" t="s">
        <v>46</v>
      </c>
      <c r="Q1245" t="s">
        <v>2548</v>
      </c>
    </row>
    <row r="1246" spans="1:17" x14ac:dyDescent="0.25">
      <c r="A1246" t="s">
        <v>2549</v>
      </c>
      <c r="B1246" t="s">
        <v>77</v>
      </c>
      <c r="C1246" t="str">
        <f>IF(ISBLANK(Table4[[#This Row],[Region]]),Table4[[#This Row],[Node Type]],Table4[[#This Row],[Region]])</f>
        <v/>
      </c>
      <c r="E1246" t="str">
        <f>IF(ISERROR(SEARCH("Node",Table4[[#This Row],[Type]])),IF(ISERROR(SEARCH("Iliac",Table4[[#This Row],[Type]])),"",Table4[[#This Row],[Type]]),Table4[[#This Row],[Type]])</f>
        <v/>
      </c>
      <c r="L1246" t="s">
        <v>77</v>
      </c>
      <c r="Q1246" t="s">
        <v>2548</v>
      </c>
    </row>
    <row r="1247" spans="1:17" x14ac:dyDescent="0.25">
      <c r="A1247" t="s">
        <v>2550</v>
      </c>
      <c r="B1247" t="s">
        <v>77</v>
      </c>
      <c r="C1247" t="str">
        <f>IF(ISBLANK(Table4[[#This Row],[Region]]),Table4[[#This Row],[Node Type]],Table4[[#This Row],[Region]])</f>
        <v/>
      </c>
      <c r="E1247" t="str">
        <f>IF(ISERROR(SEARCH("Node",Table4[[#This Row],[Type]])),IF(ISERROR(SEARCH("Iliac",Table4[[#This Row],[Type]])),"",Table4[[#This Row],[Type]]),Table4[[#This Row],[Type]])</f>
        <v/>
      </c>
      <c r="L1247" t="s">
        <v>77</v>
      </c>
      <c r="P1247" t="s">
        <v>85</v>
      </c>
      <c r="Q1247" t="s">
        <v>2548</v>
      </c>
    </row>
    <row r="1248" spans="1:17" x14ac:dyDescent="0.25">
      <c r="A1248" t="s">
        <v>2551</v>
      </c>
      <c r="B1248" t="s">
        <v>77</v>
      </c>
      <c r="C1248" t="str">
        <f>IF(ISBLANK(Table4[[#This Row],[Region]]),Table4[[#This Row],[Node Type]],Table4[[#This Row],[Region]])</f>
        <v/>
      </c>
      <c r="E1248" t="str">
        <f>IF(ISERROR(SEARCH("Node",Table4[[#This Row],[Type]])),IF(ISERROR(SEARCH("Iliac",Table4[[#This Row],[Type]])),"",Table4[[#This Row],[Type]]),Table4[[#This Row],[Type]])</f>
        <v/>
      </c>
      <c r="L1248" t="s">
        <v>77</v>
      </c>
      <c r="P1248" t="s">
        <v>85</v>
      </c>
      <c r="Q1248" t="s">
        <v>2545</v>
      </c>
    </row>
    <row r="1249" spans="1:17" x14ac:dyDescent="0.25">
      <c r="A1249" t="s">
        <v>2553</v>
      </c>
      <c r="B1249" t="s">
        <v>173</v>
      </c>
      <c r="C1249" t="str">
        <f>IF(ISBLANK(Table4[[#This Row],[Region]]),Table4[[#This Row],[Node Type]],Table4[[#This Row],[Region]])</f>
        <v/>
      </c>
      <c r="E1249" t="str">
        <f>IF(ISERROR(SEARCH("Node",Table4[[#This Row],[Type]])),IF(ISERROR(SEARCH("Iliac",Table4[[#This Row],[Type]])),"",Table4[[#This Row],[Type]]),Table4[[#This Row],[Type]])</f>
        <v/>
      </c>
      <c r="L1249" t="s">
        <v>77</v>
      </c>
      <c r="P1249" t="s">
        <v>85</v>
      </c>
      <c r="Q1249" t="s">
        <v>605</v>
      </c>
    </row>
    <row r="1250" spans="1:17" x14ac:dyDescent="0.25">
      <c r="A1250" t="s">
        <v>554</v>
      </c>
      <c r="B1250" t="s">
        <v>173</v>
      </c>
      <c r="C1250" t="str">
        <f>IF(ISBLANK(Table4[[#This Row],[Region]]),Table4[[#This Row],[Node Type]],Table4[[#This Row],[Region]])</f>
        <v/>
      </c>
      <c r="E1250" t="str">
        <f>IF(ISERROR(SEARCH("Node",Table4[[#This Row],[Type]])),IF(ISERROR(SEARCH("Iliac",Table4[[#This Row],[Type]])),"",Table4[[#This Row],[Type]]),Table4[[#This Row],[Type]])</f>
        <v/>
      </c>
      <c r="H1250">
        <v>1</v>
      </c>
      <c r="L1250" t="s">
        <v>77</v>
      </c>
      <c r="P1250" t="s">
        <v>85</v>
      </c>
    </row>
    <row r="1251" spans="1:17" x14ac:dyDescent="0.25">
      <c r="A1251" t="s">
        <v>2559</v>
      </c>
      <c r="B1251" t="s">
        <v>77</v>
      </c>
      <c r="C1251" t="str">
        <f>IF(ISBLANK(Table4[[#This Row],[Region]]),Table4[[#This Row],[Node Type]],Table4[[#This Row],[Region]])</f>
        <v/>
      </c>
      <c r="E1251" t="str">
        <f>IF(ISERROR(SEARCH("Node",Table4[[#This Row],[Type]])),IF(ISERROR(SEARCH("Iliac",Table4[[#This Row],[Type]])),"",Table4[[#This Row],[Type]]),Table4[[#This Row],[Type]])</f>
        <v/>
      </c>
      <c r="L1251" t="s">
        <v>77</v>
      </c>
      <c r="O1251" t="s">
        <v>2532</v>
      </c>
    </row>
    <row r="1252" spans="1:17" x14ac:dyDescent="0.25">
      <c r="A1252" t="s">
        <v>2560</v>
      </c>
      <c r="B1252" t="s">
        <v>77</v>
      </c>
      <c r="C1252" t="str">
        <f>IF(ISBLANK(Table4[[#This Row],[Region]]),Table4[[#This Row],[Node Type]],Table4[[#This Row],[Region]])</f>
        <v/>
      </c>
      <c r="E1252" t="str">
        <f>IF(ISERROR(SEARCH("Node",Table4[[#This Row],[Type]])),IF(ISERROR(SEARCH("Iliac",Table4[[#This Row],[Type]])),"",Table4[[#This Row],[Type]]),Table4[[#This Row],[Type]])</f>
        <v/>
      </c>
      <c r="L1252" t="s">
        <v>77</v>
      </c>
    </row>
    <row r="1253" spans="1:17" x14ac:dyDescent="0.25">
      <c r="A1253" t="s">
        <v>2561</v>
      </c>
      <c r="B1253" t="s">
        <v>46</v>
      </c>
      <c r="C1253" t="str">
        <f>IF(ISBLANK(Table4[[#This Row],[Region]]),Table4[[#This Row],[Node Type]],Table4[[#This Row],[Region]])</f>
        <v/>
      </c>
      <c r="E1253" t="str">
        <f>IF(ISERROR(SEARCH("Node",Table4[[#This Row],[Type]])),IF(ISERROR(SEARCH("Iliac",Table4[[#This Row],[Type]])),"",Table4[[#This Row],[Type]]),Table4[[#This Row],[Type]])</f>
        <v/>
      </c>
      <c r="L1253" t="s">
        <v>46</v>
      </c>
      <c r="O1253" t="s">
        <v>2532</v>
      </c>
    </row>
    <row r="1254" spans="1:17" x14ac:dyDescent="0.25">
      <c r="A1254" t="s">
        <v>2562</v>
      </c>
      <c r="B1254" t="s">
        <v>46</v>
      </c>
      <c r="C1254" t="str">
        <f>IF(ISBLANK(Table4[[#This Row],[Region]]),Table4[[#This Row],[Node Type]],Table4[[#This Row],[Region]])</f>
        <v/>
      </c>
      <c r="E1254" t="str">
        <f>IF(ISERROR(SEARCH("Node",Table4[[#This Row],[Type]])),IF(ISERROR(SEARCH("Iliac",Table4[[#This Row],[Type]])),"",Table4[[#This Row],[Type]]),Table4[[#This Row],[Type]])</f>
        <v/>
      </c>
      <c r="L1254" t="s">
        <v>46</v>
      </c>
    </row>
    <row r="1255" spans="1:17" x14ac:dyDescent="0.25">
      <c r="A1255" t="s">
        <v>2564</v>
      </c>
      <c r="B1255" t="s">
        <v>77</v>
      </c>
      <c r="C1255" t="str">
        <f>IF(ISBLANK(Table4[[#This Row],[Region]]),Table4[[#This Row],[Node Type]],Table4[[#This Row],[Region]])</f>
        <v/>
      </c>
      <c r="E1255" t="str">
        <f>IF(ISERROR(SEARCH("Node",Table4[[#This Row],[Type]])),IF(ISERROR(SEARCH("Iliac",Table4[[#This Row],[Type]])),"",Table4[[#This Row],[Type]]),Table4[[#This Row],[Type]])</f>
        <v/>
      </c>
      <c r="J1255" t="s">
        <v>1945</v>
      </c>
      <c r="L1255" t="s">
        <v>77</v>
      </c>
    </row>
    <row r="1256" spans="1:17" x14ac:dyDescent="0.25">
      <c r="A1256" t="s">
        <v>2565</v>
      </c>
      <c r="B1256" t="s">
        <v>77</v>
      </c>
      <c r="C1256" t="str">
        <f>IF(ISBLANK(Table4[[#This Row],[Region]]),Table4[[#This Row],[Node Type]],Table4[[#This Row],[Region]])</f>
        <v/>
      </c>
      <c r="E1256" t="str">
        <f>IF(ISERROR(SEARCH("Node",Table4[[#This Row],[Type]])),IF(ISERROR(SEARCH("Iliac",Table4[[#This Row],[Type]])),"",Table4[[#This Row],[Type]]),Table4[[#This Row],[Type]])</f>
        <v/>
      </c>
      <c r="L1256" t="s">
        <v>77</v>
      </c>
      <c r="O1256" t="s">
        <v>292</v>
      </c>
      <c r="P1256" t="s">
        <v>85</v>
      </c>
    </row>
    <row r="1257" spans="1:17" x14ac:dyDescent="0.25">
      <c r="A1257" t="s">
        <v>2566</v>
      </c>
      <c r="B1257" t="s">
        <v>77</v>
      </c>
      <c r="C1257" t="str">
        <f>IF(ISBLANK(Table4[[#This Row],[Region]]),Table4[[#This Row],[Node Type]],Table4[[#This Row],[Region]])</f>
        <v/>
      </c>
      <c r="E1257" t="str">
        <f>IF(ISERROR(SEARCH("Node",Table4[[#This Row],[Type]])),IF(ISERROR(SEARCH("Iliac",Table4[[#This Row],[Type]])),"",Table4[[#This Row],[Type]]),Table4[[#This Row],[Type]])</f>
        <v/>
      </c>
      <c r="L1257" t="s">
        <v>77</v>
      </c>
      <c r="O1257" t="s">
        <v>290</v>
      </c>
      <c r="P1257" t="s">
        <v>85</v>
      </c>
    </row>
    <row r="1258" spans="1:17" x14ac:dyDescent="0.25">
      <c r="A1258" t="s">
        <v>2567</v>
      </c>
      <c r="B1258" t="s">
        <v>77</v>
      </c>
      <c r="C1258" t="str">
        <f>IF(ISBLANK(Table4[[#This Row],[Region]]),Table4[[#This Row],[Node Type]],Table4[[#This Row],[Region]])</f>
        <v/>
      </c>
      <c r="E1258" t="str">
        <f>IF(ISERROR(SEARCH("Node",Table4[[#This Row],[Type]])),IF(ISERROR(SEARCH("Iliac",Table4[[#This Row],[Type]])),"",Table4[[#This Row],[Type]]),Table4[[#This Row],[Type]])</f>
        <v/>
      </c>
      <c r="L1258" t="s">
        <v>77</v>
      </c>
      <c r="P1258" t="s">
        <v>85</v>
      </c>
    </row>
    <row r="1259" spans="1:17" x14ac:dyDescent="0.25">
      <c r="A1259" t="s">
        <v>2568</v>
      </c>
      <c r="B1259" t="s">
        <v>77</v>
      </c>
      <c r="C1259" t="str">
        <f>IF(ISBLANK(Table4[[#This Row],[Region]]),Table4[[#This Row],[Node Type]],Table4[[#This Row],[Region]])</f>
        <v/>
      </c>
      <c r="E1259" t="str">
        <f>IF(ISERROR(SEARCH("Node",Table4[[#This Row],[Type]])),IF(ISERROR(SEARCH("Iliac",Table4[[#This Row],[Type]])),"",Table4[[#This Row],[Type]]),Table4[[#This Row],[Type]])</f>
        <v/>
      </c>
      <c r="L1259" t="s">
        <v>77</v>
      </c>
      <c r="N1259" t="s">
        <v>2569</v>
      </c>
      <c r="P1259" t="s">
        <v>85</v>
      </c>
    </row>
    <row r="1260" spans="1:17" x14ac:dyDescent="0.25">
      <c r="A1260" t="s">
        <v>2570</v>
      </c>
      <c r="B1260" t="s">
        <v>77</v>
      </c>
      <c r="C1260" t="str">
        <f>IF(ISBLANK(Table4[[#This Row],[Region]]),Table4[[#This Row],[Node Type]],Table4[[#This Row],[Region]])</f>
        <v/>
      </c>
      <c r="E1260" t="str">
        <f>IF(ISERROR(SEARCH("Node",Table4[[#This Row],[Type]])),IF(ISERROR(SEARCH("Iliac",Table4[[#This Row],[Type]])),"",Table4[[#This Row],[Type]]),Table4[[#This Row],[Type]])</f>
        <v/>
      </c>
      <c r="L1260" t="s">
        <v>77</v>
      </c>
      <c r="O1260" t="s">
        <v>292</v>
      </c>
      <c r="P1260" t="s">
        <v>85</v>
      </c>
    </row>
    <row r="1261" spans="1:17" x14ac:dyDescent="0.25">
      <c r="A1261" t="s">
        <v>2571</v>
      </c>
      <c r="B1261" t="s">
        <v>77</v>
      </c>
      <c r="C1261" t="str">
        <f>IF(ISBLANK(Table4[[#This Row],[Region]]),Table4[[#This Row],[Node Type]],Table4[[#This Row],[Region]])</f>
        <v/>
      </c>
      <c r="E1261" t="str">
        <f>IF(ISERROR(SEARCH("Node",Table4[[#This Row],[Type]])),IF(ISERROR(SEARCH("Iliac",Table4[[#This Row],[Type]])),"",Table4[[#This Row],[Type]]),Table4[[#This Row],[Type]])</f>
        <v/>
      </c>
      <c r="L1261" t="s">
        <v>77</v>
      </c>
      <c r="O1261" t="s">
        <v>290</v>
      </c>
      <c r="P1261" t="s">
        <v>85</v>
      </c>
    </row>
    <row r="1262" spans="1:17" x14ac:dyDescent="0.25">
      <c r="A1262" t="s">
        <v>2572</v>
      </c>
      <c r="B1262" t="s">
        <v>77</v>
      </c>
      <c r="C1262" t="str">
        <f>IF(ISBLANK(Table4[[#This Row],[Region]]),Table4[[#This Row],[Node Type]],Table4[[#This Row],[Region]])</f>
        <v/>
      </c>
      <c r="E1262" t="str">
        <f>IF(ISERROR(SEARCH("Node",Table4[[#This Row],[Type]])),IF(ISERROR(SEARCH("Iliac",Table4[[#This Row],[Type]])),"",Table4[[#This Row],[Type]]),Table4[[#This Row],[Type]])</f>
        <v/>
      </c>
      <c r="I1262">
        <v>25</v>
      </c>
      <c r="L1262" t="s">
        <v>77</v>
      </c>
      <c r="P1262" t="s">
        <v>85</v>
      </c>
    </row>
    <row r="1263" spans="1:17" x14ac:dyDescent="0.25">
      <c r="A1263" t="s">
        <v>2583</v>
      </c>
      <c r="B1263" t="s">
        <v>77</v>
      </c>
      <c r="C1263" t="str">
        <f>IF(ISBLANK(Table4[[#This Row],[Region]]),Table4[[#This Row],[Node Type]],Table4[[#This Row],[Region]])</f>
        <v/>
      </c>
      <c r="E1263" t="str">
        <f>IF(ISERROR(SEARCH("Node",Table4[[#This Row],[Type]])),IF(ISERROR(SEARCH("Iliac",Table4[[#This Row],[Type]])),"",Table4[[#This Row],[Type]]),Table4[[#This Row],[Type]])</f>
        <v/>
      </c>
      <c r="I1263">
        <v>66</v>
      </c>
      <c r="L1263" t="s">
        <v>77</v>
      </c>
      <c r="O1263" t="s">
        <v>290</v>
      </c>
      <c r="P1263" t="s">
        <v>85</v>
      </c>
    </row>
    <row r="1264" spans="1:17" x14ac:dyDescent="0.25">
      <c r="A1264" t="s">
        <v>2584</v>
      </c>
      <c r="B1264" t="s">
        <v>77</v>
      </c>
      <c r="C1264" t="str">
        <f>IF(ISBLANK(Table4[[#This Row],[Region]]),Table4[[#This Row],[Node Type]],Table4[[#This Row],[Region]])</f>
        <v/>
      </c>
      <c r="E1264" t="str">
        <f>IF(ISERROR(SEARCH("Node",Table4[[#This Row],[Type]])),IF(ISERROR(SEARCH("Iliac",Table4[[#This Row],[Type]])),"",Table4[[#This Row],[Type]]),Table4[[#This Row],[Type]])</f>
        <v/>
      </c>
      <c r="I1264">
        <v>60</v>
      </c>
      <c r="L1264" t="s">
        <v>77</v>
      </c>
      <c r="O1264" t="s">
        <v>290</v>
      </c>
      <c r="P1264" t="s">
        <v>85</v>
      </c>
    </row>
    <row r="1265" spans="1:17" x14ac:dyDescent="0.25">
      <c r="A1265" t="s">
        <v>2585</v>
      </c>
      <c r="B1265" t="s">
        <v>77</v>
      </c>
      <c r="C1265" t="str">
        <f>IF(ISBLANK(Table4[[#This Row],[Region]]),Table4[[#This Row],[Node Type]],Table4[[#This Row],[Region]])</f>
        <v/>
      </c>
      <c r="E1265" t="str">
        <f>IF(ISERROR(SEARCH("Node",Table4[[#This Row],[Type]])),IF(ISERROR(SEARCH("Iliac",Table4[[#This Row],[Type]])),"",Table4[[#This Row],[Type]]),Table4[[#This Row],[Type]])</f>
        <v/>
      </c>
      <c r="I1265">
        <v>46</v>
      </c>
      <c r="L1265" t="s">
        <v>77</v>
      </c>
      <c r="O1265" t="s">
        <v>292</v>
      </c>
      <c r="P1265" t="s">
        <v>85</v>
      </c>
    </row>
    <row r="1266" spans="1:17" x14ac:dyDescent="0.25">
      <c r="A1266" t="s">
        <v>2586</v>
      </c>
      <c r="B1266" t="s">
        <v>77</v>
      </c>
      <c r="C1266" t="str">
        <f>IF(ISBLANK(Table4[[#This Row],[Region]]),Table4[[#This Row],[Node Type]],Table4[[#This Row],[Region]])</f>
        <v/>
      </c>
      <c r="E1266" t="str">
        <f>IF(ISERROR(SEARCH("Node",Table4[[#This Row],[Type]])),IF(ISERROR(SEARCH("Iliac",Table4[[#This Row],[Type]])),"",Table4[[#This Row],[Type]]),Table4[[#This Row],[Type]])</f>
        <v/>
      </c>
      <c r="I1266">
        <v>46</v>
      </c>
      <c r="L1266" t="s">
        <v>77</v>
      </c>
      <c r="O1266" t="s">
        <v>290</v>
      </c>
      <c r="P1266" t="s">
        <v>85</v>
      </c>
    </row>
    <row r="1267" spans="1:17" x14ac:dyDescent="0.25">
      <c r="A1267" t="s">
        <v>2587</v>
      </c>
      <c r="B1267" t="s">
        <v>77</v>
      </c>
      <c r="C1267" t="str">
        <f>IF(ISBLANK(Table4[[#This Row],[Region]]),Table4[[#This Row],[Node Type]],Table4[[#This Row],[Region]])</f>
        <v/>
      </c>
      <c r="E1267" t="str">
        <f>IF(ISERROR(SEARCH("Node",Table4[[#This Row],[Type]])),IF(ISERROR(SEARCH("Iliac",Table4[[#This Row],[Type]])),"",Table4[[#This Row],[Type]]),Table4[[#This Row],[Type]])</f>
        <v/>
      </c>
      <c r="I1267">
        <v>66</v>
      </c>
      <c r="L1267" t="s">
        <v>77</v>
      </c>
      <c r="O1267" t="s">
        <v>292</v>
      </c>
      <c r="P1267" t="s">
        <v>85</v>
      </c>
    </row>
    <row r="1268" spans="1:17" x14ac:dyDescent="0.25">
      <c r="A1268" t="s">
        <v>2589</v>
      </c>
      <c r="B1268" t="s">
        <v>77</v>
      </c>
      <c r="C1268" t="str">
        <f>IF(ISBLANK(Table4[[#This Row],[Region]]),Table4[[#This Row],[Node Type]],Table4[[#This Row],[Region]])</f>
        <v/>
      </c>
      <c r="E1268" t="str">
        <f>IF(ISERROR(SEARCH("Node",Table4[[#This Row],[Type]])),IF(ISERROR(SEARCH("Iliac",Table4[[#This Row],[Type]])),"",Table4[[#This Row],[Type]]),Table4[[#This Row],[Type]])</f>
        <v/>
      </c>
      <c r="I1268">
        <v>18</v>
      </c>
      <c r="L1268" t="s">
        <v>77</v>
      </c>
    </row>
    <row r="1269" spans="1:17" x14ac:dyDescent="0.25">
      <c r="A1269" t="s">
        <v>2590</v>
      </c>
      <c r="B1269" t="s">
        <v>77</v>
      </c>
      <c r="C1269" t="str">
        <f>IF(ISBLANK(Table4[[#This Row],[Region]]),Table4[[#This Row],[Node Type]],Table4[[#This Row],[Region]])</f>
        <v/>
      </c>
      <c r="E1269" t="str">
        <f>IF(ISERROR(SEARCH("Node",Table4[[#This Row],[Type]])),IF(ISERROR(SEARCH("Iliac",Table4[[#This Row],[Type]])),"",Table4[[#This Row],[Type]]),Table4[[#This Row],[Type]])</f>
        <v/>
      </c>
      <c r="L1269" t="s">
        <v>77</v>
      </c>
      <c r="O1269" t="s">
        <v>1136</v>
      </c>
      <c r="P1269" t="s">
        <v>83</v>
      </c>
    </row>
    <row r="1270" spans="1:17" x14ac:dyDescent="0.25">
      <c r="A1270" t="s">
        <v>2591</v>
      </c>
      <c r="B1270" t="s">
        <v>20</v>
      </c>
      <c r="C1270" t="str">
        <f>IF(ISBLANK(Table4[[#This Row],[Region]]),Table4[[#This Row],[Node Type]],Table4[[#This Row],[Region]])</f>
        <v/>
      </c>
      <c r="E1270" t="str">
        <f>IF(ISERROR(SEARCH("Node",Table4[[#This Row],[Type]])),IF(ISERROR(SEARCH("Iliac",Table4[[#This Row],[Type]])),"",Table4[[#This Row],[Type]]),Table4[[#This Row],[Type]])</f>
        <v/>
      </c>
      <c r="J1270" t="s">
        <v>1380</v>
      </c>
      <c r="L1270" t="s">
        <v>20</v>
      </c>
    </row>
    <row r="1271" spans="1:17" x14ac:dyDescent="0.25">
      <c r="A1271" t="s">
        <v>2592</v>
      </c>
      <c r="B1271" t="s">
        <v>77</v>
      </c>
      <c r="C1271" t="str">
        <f>IF(ISBLANK(Table4[[#This Row],[Region]]),Table4[[#This Row],[Node Type]],Table4[[#This Row],[Region]])</f>
        <v/>
      </c>
      <c r="E1271" t="str">
        <f>IF(ISERROR(SEARCH("Node",Table4[[#This Row],[Type]])),IF(ISERROR(SEARCH("Iliac",Table4[[#This Row],[Type]])),"",Table4[[#This Row],[Type]]),Table4[[#This Row],[Type]])</f>
        <v/>
      </c>
      <c r="L1271" t="s">
        <v>77</v>
      </c>
      <c r="P1271" t="s">
        <v>85</v>
      </c>
      <c r="Q1271" t="s">
        <v>45</v>
      </c>
    </row>
    <row r="1272" spans="1:17" x14ac:dyDescent="0.25">
      <c r="A1272" t="s">
        <v>2593</v>
      </c>
      <c r="B1272" t="s">
        <v>20</v>
      </c>
      <c r="C1272" t="str">
        <f>IF(ISBLANK(Table4[[#This Row],[Region]]),Table4[[#This Row],[Node Type]],Table4[[#This Row],[Region]])</f>
        <v/>
      </c>
      <c r="E1272" t="str">
        <f>IF(ISERROR(SEARCH("Node",Table4[[#This Row],[Type]])),IF(ISERROR(SEARCH("Iliac",Table4[[#This Row],[Type]])),"",Table4[[#This Row],[Type]]),Table4[[#This Row],[Type]])</f>
        <v/>
      </c>
      <c r="H1272">
        <v>2</v>
      </c>
      <c r="I1272">
        <v>32.5</v>
      </c>
      <c r="L1272" t="s">
        <v>20</v>
      </c>
    </row>
    <row r="1273" spans="1:17" x14ac:dyDescent="0.25">
      <c r="A1273" t="s">
        <v>2594</v>
      </c>
      <c r="B1273" t="s">
        <v>20</v>
      </c>
      <c r="C1273" t="str">
        <f>IF(ISBLANK(Table4[[#This Row],[Region]]),Table4[[#This Row],[Node Type]],Table4[[#This Row],[Region]])</f>
        <v/>
      </c>
      <c r="E1273" t="str">
        <f>IF(ISERROR(SEARCH("Node",Table4[[#This Row],[Type]])),IF(ISERROR(SEARCH("Iliac",Table4[[#This Row],[Type]])),"",Table4[[#This Row],[Type]]),Table4[[#This Row],[Type]])</f>
        <v/>
      </c>
      <c r="H1273">
        <v>3</v>
      </c>
      <c r="I1273">
        <v>32.5</v>
      </c>
      <c r="L1273" t="s">
        <v>20</v>
      </c>
    </row>
    <row r="1274" spans="1:17" x14ac:dyDescent="0.25">
      <c r="A1274" t="s">
        <v>2595</v>
      </c>
      <c r="B1274" t="s">
        <v>20</v>
      </c>
      <c r="C1274" t="str">
        <f>IF(ISBLANK(Table4[[#This Row],[Region]]),Table4[[#This Row],[Node Type]],Table4[[#This Row],[Region]])</f>
        <v/>
      </c>
      <c r="E1274" t="str">
        <f>IF(ISERROR(SEARCH("Node",Table4[[#This Row],[Type]])),IF(ISERROR(SEARCH("Iliac",Table4[[#This Row],[Type]])),"",Table4[[#This Row],[Type]]),Table4[[#This Row],[Type]])</f>
        <v/>
      </c>
      <c r="H1274">
        <v>4</v>
      </c>
      <c r="I1274">
        <v>35</v>
      </c>
      <c r="L1274" t="s">
        <v>20</v>
      </c>
    </row>
    <row r="1275" spans="1:17" x14ac:dyDescent="0.25">
      <c r="A1275" t="s">
        <v>2596</v>
      </c>
      <c r="B1275" t="s">
        <v>20</v>
      </c>
      <c r="C1275" t="str">
        <f>IF(ISBLANK(Table4[[#This Row],[Region]]),Table4[[#This Row],[Node Type]],Table4[[#This Row],[Region]])</f>
        <v/>
      </c>
      <c r="E1275" t="str">
        <f>IF(ISERROR(SEARCH("Node",Table4[[#This Row],[Type]])),IF(ISERROR(SEARCH("Iliac",Table4[[#This Row],[Type]])),"",Table4[[#This Row],[Type]]),Table4[[#This Row],[Type]])</f>
        <v/>
      </c>
      <c r="L1275" t="s">
        <v>20</v>
      </c>
      <c r="N1275" t="s">
        <v>2597</v>
      </c>
    </row>
    <row r="1276" spans="1:17" x14ac:dyDescent="0.25">
      <c r="A1276" t="s">
        <v>2598</v>
      </c>
      <c r="B1276" t="s">
        <v>77</v>
      </c>
      <c r="C1276" t="str">
        <f>IF(ISBLANK(Table4[[#This Row],[Region]]),Table4[[#This Row],[Node Type]],Table4[[#This Row],[Region]])</f>
        <v/>
      </c>
      <c r="E1276" t="str">
        <f>IF(ISERROR(SEARCH("Node",Table4[[#This Row],[Type]])),IF(ISERROR(SEARCH("Iliac",Table4[[#This Row],[Type]])),"",Table4[[#This Row],[Type]]),Table4[[#This Row],[Type]])</f>
        <v/>
      </c>
      <c r="H1276">
        <v>2</v>
      </c>
      <c r="I1276">
        <v>32.5</v>
      </c>
      <c r="L1276" t="s">
        <v>77</v>
      </c>
    </row>
    <row r="1277" spans="1:17" x14ac:dyDescent="0.25">
      <c r="A1277" t="s">
        <v>2599</v>
      </c>
      <c r="B1277" t="s">
        <v>77</v>
      </c>
      <c r="C1277" t="str">
        <f>IF(ISBLANK(Table4[[#This Row],[Region]]),Table4[[#This Row],[Node Type]],Table4[[#This Row],[Region]])</f>
        <v/>
      </c>
      <c r="E1277" t="str">
        <f>IF(ISERROR(SEARCH("Node",Table4[[#This Row],[Type]])),IF(ISERROR(SEARCH("Iliac",Table4[[#This Row],[Type]])),"",Table4[[#This Row],[Type]]),Table4[[#This Row],[Type]])</f>
        <v/>
      </c>
      <c r="H1277">
        <v>3</v>
      </c>
      <c r="I1277">
        <v>32.5</v>
      </c>
      <c r="L1277" t="s">
        <v>77</v>
      </c>
    </row>
    <row r="1278" spans="1:17" x14ac:dyDescent="0.25">
      <c r="A1278" t="s">
        <v>2600</v>
      </c>
      <c r="B1278" t="s">
        <v>77</v>
      </c>
      <c r="C1278" t="str">
        <f>IF(ISBLANK(Table4[[#This Row],[Region]]),Table4[[#This Row],[Node Type]],Table4[[#This Row],[Region]])</f>
        <v/>
      </c>
      <c r="E1278" t="str">
        <f>IF(ISERROR(SEARCH("Node",Table4[[#This Row],[Type]])),IF(ISERROR(SEARCH("Iliac",Table4[[#This Row],[Type]])),"",Table4[[#This Row],[Type]]),Table4[[#This Row],[Type]])</f>
        <v/>
      </c>
      <c r="H1278">
        <v>4</v>
      </c>
      <c r="I1278">
        <v>35</v>
      </c>
      <c r="L1278" t="s">
        <v>77</v>
      </c>
    </row>
    <row r="1279" spans="1:17" x14ac:dyDescent="0.25">
      <c r="A1279" t="s">
        <v>2459</v>
      </c>
      <c r="B1279" t="s">
        <v>173</v>
      </c>
      <c r="C1279" t="str">
        <f>IF(ISBLANK(Table4[[#This Row],[Region]]),Table4[[#This Row],[Node Type]],Table4[[#This Row],[Region]])</f>
        <v/>
      </c>
      <c r="E1279" t="str">
        <f>IF(ISERROR(SEARCH("Node",Table4[[#This Row],[Type]])),IF(ISERROR(SEARCH("Iliac",Table4[[#This Row],[Type]])),"",Table4[[#This Row],[Type]]),Table4[[#This Row],[Type]])</f>
        <v/>
      </c>
      <c r="H1279">
        <v>1</v>
      </c>
      <c r="L1279" t="s">
        <v>46</v>
      </c>
    </row>
    <row r="1280" spans="1:17" x14ac:dyDescent="0.25">
      <c r="A1280" t="s">
        <v>579</v>
      </c>
      <c r="B1280" t="s">
        <v>173</v>
      </c>
      <c r="C1280" t="str">
        <f>IF(ISBLANK(Table4[[#This Row],[Region]]),Table4[[#This Row],[Node Type]],Table4[[#This Row],[Region]])</f>
        <v/>
      </c>
      <c r="E1280" t="str">
        <f>IF(ISERROR(SEARCH("Node",Table4[[#This Row],[Type]])),IF(ISERROR(SEARCH("Iliac",Table4[[#This Row],[Type]])),"",Table4[[#This Row],[Type]]),Table4[[#This Row],[Type]])</f>
        <v/>
      </c>
      <c r="H1280">
        <v>3</v>
      </c>
      <c r="L1280" t="s">
        <v>46</v>
      </c>
    </row>
    <row r="1281" spans="1:17" x14ac:dyDescent="0.25">
      <c r="A1281" t="s">
        <v>2602</v>
      </c>
      <c r="B1281" t="s">
        <v>173</v>
      </c>
      <c r="C1281" t="str">
        <f>IF(ISBLANK(Table4[[#This Row],[Region]]),Table4[[#This Row],[Node Type]],Table4[[#This Row],[Region]])</f>
        <v/>
      </c>
      <c r="E1281" t="str">
        <f>IF(ISERROR(SEARCH("Node",Table4[[#This Row],[Type]])),IF(ISERROR(SEARCH("Iliac",Table4[[#This Row],[Type]])),"",Table4[[#This Row],[Type]]),Table4[[#This Row],[Type]])</f>
        <v/>
      </c>
      <c r="J1281" t="s">
        <v>1089</v>
      </c>
      <c r="L1281" t="s">
        <v>46</v>
      </c>
    </row>
    <row r="1282" spans="1:17" x14ac:dyDescent="0.25">
      <c r="A1282" t="s">
        <v>2607</v>
      </c>
      <c r="B1282" t="s">
        <v>173</v>
      </c>
      <c r="C1282" t="str">
        <f>IF(ISBLANK(Table4[[#This Row],[Region]]),Table4[[#This Row],[Node Type]],Table4[[#This Row],[Region]])</f>
        <v>node</v>
      </c>
      <c r="E1282" t="str">
        <f>IF(ISERROR(SEARCH("Node",Table4[[#This Row],[Type]])),IF(ISERROR(SEARCH("Iliac",Table4[[#This Row],[Type]])),"",Table4[[#This Row],[Type]]),Table4[[#This Row],[Type]])</f>
        <v>node</v>
      </c>
      <c r="L1282" t="s">
        <v>2608</v>
      </c>
    </row>
    <row r="1283" spans="1:17" x14ac:dyDescent="0.25">
      <c r="A1283" t="s">
        <v>2610</v>
      </c>
      <c r="B1283" t="s">
        <v>77</v>
      </c>
      <c r="C1283" t="str">
        <f>IF(ISBLANK(Table4[[#This Row],[Region]]),Table4[[#This Row],[Node Type]],Table4[[#This Row],[Region]])</f>
        <v/>
      </c>
      <c r="E1283" t="str">
        <f>IF(ISERROR(SEARCH("Node",Table4[[#This Row],[Type]])),IF(ISERROR(SEARCH("Iliac",Table4[[#This Row],[Type]])),"",Table4[[#This Row],[Type]]),Table4[[#This Row],[Type]])</f>
        <v/>
      </c>
      <c r="J1283" t="s">
        <v>2015</v>
      </c>
      <c r="L1283" t="s">
        <v>77</v>
      </c>
    </row>
    <row r="1284" spans="1:17" x14ac:dyDescent="0.25">
      <c r="A1284" t="s">
        <v>2611</v>
      </c>
      <c r="B1284" t="s">
        <v>77</v>
      </c>
      <c r="C1284" t="str">
        <f>IF(ISBLANK(Table4[[#This Row],[Region]]),Table4[[#This Row],[Node Type]],Table4[[#This Row],[Region]])</f>
        <v/>
      </c>
      <c r="E1284" t="str">
        <f>IF(ISERROR(SEARCH("Node",Table4[[#This Row],[Type]])),IF(ISERROR(SEARCH("Iliac",Table4[[#This Row],[Type]])),"",Table4[[#This Row],[Type]]),Table4[[#This Row],[Type]])</f>
        <v/>
      </c>
      <c r="J1284" t="s">
        <v>2015</v>
      </c>
      <c r="L1284" t="s">
        <v>77</v>
      </c>
      <c r="P1284" t="s">
        <v>85</v>
      </c>
    </row>
    <row r="1285" spans="1:17" x14ac:dyDescent="0.25">
      <c r="A1285" t="s">
        <v>2613</v>
      </c>
      <c r="B1285" t="s">
        <v>77</v>
      </c>
      <c r="C1285" t="str">
        <f>IF(ISBLANK(Table4[[#This Row],[Region]]),Table4[[#This Row],[Node Type]],Table4[[#This Row],[Region]])</f>
        <v/>
      </c>
      <c r="E1285" t="str">
        <f>IF(ISERROR(SEARCH("Node",Table4[[#This Row],[Type]])),IF(ISERROR(SEARCH("Iliac",Table4[[#This Row],[Type]])),"",Table4[[#This Row],[Type]]),Table4[[#This Row],[Type]])</f>
        <v/>
      </c>
      <c r="L1285" t="s">
        <v>77</v>
      </c>
      <c r="Q1285" t="s">
        <v>2531</v>
      </c>
    </row>
    <row r="1286" spans="1:17" x14ac:dyDescent="0.25">
      <c r="A1286" t="s">
        <v>2614</v>
      </c>
      <c r="B1286" t="s">
        <v>77</v>
      </c>
      <c r="C1286" t="str">
        <f>IF(ISBLANK(Table4[[#This Row],[Region]]),Table4[[#This Row],[Node Type]],Table4[[#This Row],[Region]])</f>
        <v/>
      </c>
      <c r="E1286" t="str">
        <f>IF(ISERROR(SEARCH("Node",Table4[[#This Row],[Type]])),IF(ISERROR(SEARCH("Iliac",Table4[[#This Row],[Type]])),"",Table4[[#This Row],[Type]]),Table4[[#This Row],[Type]])</f>
        <v/>
      </c>
      <c r="J1286" t="s">
        <v>83</v>
      </c>
      <c r="L1286" t="s">
        <v>77</v>
      </c>
      <c r="O1286" t="s">
        <v>1136</v>
      </c>
    </row>
    <row r="1287" spans="1:17" x14ac:dyDescent="0.25">
      <c r="A1287" t="s">
        <v>2615</v>
      </c>
      <c r="B1287" t="s">
        <v>77</v>
      </c>
      <c r="C1287" t="str">
        <f>IF(ISBLANK(Table4[[#This Row],[Region]]),Table4[[#This Row],[Node Type]],Table4[[#This Row],[Region]])</f>
        <v/>
      </c>
      <c r="E1287" t="str">
        <f>IF(ISERROR(SEARCH("Node",Table4[[#This Row],[Type]])),IF(ISERROR(SEARCH("Iliac",Table4[[#This Row],[Type]])),"",Table4[[#This Row],[Type]]),Table4[[#This Row],[Type]])</f>
        <v/>
      </c>
      <c r="L1287" t="s">
        <v>77</v>
      </c>
      <c r="M1287" t="s">
        <v>137</v>
      </c>
    </row>
    <row r="1288" spans="1:17" x14ac:dyDescent="0.25">
      <c r="A1288" t="s">
        <v>2616</v>
      </c>
      <c r="B1288" t="s">
        <v>20</v>
      </c>
      <c r="C1288" t="str">
        <f>IF(ISBLANK(Table4[[#This Row],[Region]]),Table4[[#This Row],[Node Type]],Table4[[#This Row],[Region]])</f>
        <v/>
      </c>
      <c r="E1288" t="str">
        <f>IF(ISERROR(SEARCH("Node",Table4[[#This Row],[Type]])),IF(ISERROR(SEARCH("Iliac",Table4[[#This Row],[Type]])),"",Table4[[#This Row],[Type]]),Table4[[#This Row],[Type]])</f>
        <v/>
      </c>
      <c r="J1288" t="s">
        <v>2617</v>
      </c>
      <c r="L1288" t="s">
        <v>137</v>
      </c>
    </row>
    <row r="1289" spans="1:17" x14ac:dyDescent="0.25">
      <c r="A1289" t="s">
        <v>2618</v>
      </c>
      <c r="B1289" t="s">
        <v>77</v>
      </c>
      <c r="C1289" t="str">
        <f>IF(ISBLANK(Table4[[#This Row],[Region]]),Table4[[#This Row],[Node Type]],Table4[[#This Row],[Region]])</f>
        <v/>
      </c>
      <c r="E1289" t="str">
        <f>IF(ISERROR(SEARCH("Node",Table4[[#This Row],[Type]])),IF(ISERROR(SEARCH("Iliac",Table4[[#This Row],[Type]])),"",Table4[[#This Row],[Type]]),Table4[[#This Row],[Type]])</f>
        <v/>
      </c>
      <c r="J1289" t="s">
        <v>83</v>
      </c>
      <c r="L1289" t="s">
        <v>77</v>
      </c>
      <c r="O1289" t="s">
        <v>1136</v>
      </c>
    </row>
    <row r="1290" spans="1:17" x14ac:dyDescent="0.25">
      <c r="A1290" t="s">
        <v>2619</v>
      </c>
      <c r="B1290" t="s">
        <v>77</v>
      </c>
      <c r="C1290" t="str">
        <f>IF(ISBLANK(Table4[[#This Row],[Region]]),Table4[[#This Row],[Node Type]],Table4[[#This Row],[Region]])</f>
        <v/>
      </c>
      <c r="E1290" t="str">
        <f>IF(ISERROR(SEARCH("Node",Table4[[#This Row],[Type]])),IF(ISERROR(SEARCH("Iliac",Table4[[#This Row],[Type]])),"",Table4[[#This Row],[Type]]),Table4[[#This Row],[Type]])</f>
        <v/>
      </c>
      <c r="L1290" t="s">
        <v>77</v>
      </c>
      <c r="M1290" t="s">
        <v>137</v>
      </c>
    </row>
    <row r="1291" spans="1:17" x14ac:dyDescent="0.25">
      <c r="A1291" t="s">
        <v>2620</v>
      </c>
      <c r="B1291" t="s">
        <v>46</v>
      </c>
      <c r="C1291" t="str">
        <f>IF(ISBLANK(Table4[[#This Row],[Region]]),Table4[[#This Row],[Node Type]],Table4[[#This Row],[Region]])</f>
        <v/>
      </c>
      <c r="E1291" t="str">
        <f>IF(ISERROR(SEARCH("Node",Table4[[#This Row],[Type]])),IF(ISERROR(SEARCH("Iliac",Table4[[#This Row],[Type]])),"",Table4[[#This Row],[Type]]),Table4[[#This Row],[Type]])</f>
        <v/>
      </c>
      <c r="J1291" t="s">
        <v>2617</v>
      </c>
      <c r="L1291" t="s">
        <v>46</v>
      </c>
      <c r="M1291" t="s">
        <v>137</v>
      </c>
    </row>
    <row r="1292" spans="1:17" x14ac:dyDescent="0.25">
      <c r="A1292" t="s">
        <v>2621</v>
      </c>
      <c r="B1292" t="s">
        <v>20</v>
      </c>
      <c r="C1292" t="str">
        <f>IF(ISBLANK(Table4[[#This Row],[Region]]),Table4[[#This Row],[Node Type]],Table4[[#This Row],[Region]])</f>
        <v/>
      </c>
      <c r="E1292" t="str">
        <f>IF(ISERROR(SEARCH("Node",Table4[[#This Row],[Type]])),IF(ISERROR(SEARCH("Iliac",Table4[[#This Row],[Type]])),"",Table4[[#This Row],[Type]]),Table4[[#This Row],[Type]])</f>
        <v/>
      </c>
      <c r="J1292" t="s">
        <v>2622</v>
      </c>
      <c r="L1292" t="s">
        <v>137</v>
      </c>
    </row>
    <row r="1293" spans="1:17" x14ac:dyDescent="0.25">
      <c r="A1293" t="s">
        <v>2623</v>
      </c>
      <c r="B1293" t="s">
        <v>48</v>
      </c>
      <c r="C1293" t="str">
        <f>IF(ISBLANK(Table4[[#This Row],[Region]]),Table4[[#This Row],[Node Type]],Table4[[#This Row],[Region]])</f>
        <v/>
      </c>
      <c r="E1293" t="str">
        <f>IF(ISERROR(SEARCH("Node",Table4[[#This Row],[Type]])),IF(ISERROR(SEARCH("Iliac",Table4[[#This Row],[Type]])),"",Table4[[#This Row],[Type]]),Table4[[#This Row],[Type]])</f>
        <v/>
      </c>
      <c r="J1293" t="s">
        <v>2624</v>
      </c>
      <c r="L1293" t="s">
        <v>46</v>
      </c>
    </row>
    <row r="1294" spans="1:17" x14ac:dyDescent="0.25">
      <c r="A1294" t="s">
        <v>2626</v>
      </c>
      <c r="B1294" t="s">
        <v>173</v>
      </c>
      <c r="C1294" t="str">
        <f>IF(ISBLANK(Table4[[#This Row],[Region]]),Table4[[#This Row],[Node Type]],Table4[[#This Row],[Region]])</f>
        <v/>
      </c>
      <c r="E1294" t="str">
        <f>IF(ISERROR(SEARCH("Node",Table4[[#This Row],[Type]])),IF(ISERROR(SEARCH("Iliac",Table4[[#This Row],[Type]])),"",Table4[[#This Row],[Type]]),Table4[[#This Row],[Type]])</f>
        <v/>
      </c>
      <c r="J1294" t="s">
        <v>2624</v>
      </c>
      <c r="L1294" t="s">
        <v>77</v>
      </c>
    </row>
    <row r="1295" spans="1:17" x14ac:dyDescent="0.25">
      <c r="A1295" t="s">
        <v>2627</v>
      </c>
      <c r="B1295" t="s">
        <v>46</v>
      </c>
      <c r="C1295" t="str">
        <f>IF(ISBLANK(Table4[[#This Row],[Region]]),Table4[[#This Row],[Node Type]],Table4[[#This Row],[Region]])</f>
        <v/>
      </c>
      <c r="E1295" t="str">
        <f>IF(ISERROR(SEARCH("Node",Table4[[#This Row],[Type]])),IF(ISERROR(SEARCH("Iliac",Table4[[#This Row],[Type]])),"",Table4[[#This Row],[Type]]),Table4[[#This Row],[Type]])</f>
        <v/>
      </c>
      <c r="J1295" t="s">
        <v>2628</v>
      </c>
      <c r="L1295" t="s">
        <v>46</v>
      </c>
      <c r="M1295" t="s">
        <v>235</v>
      </c>
    </row>
    <row r="1296" spans="1:17" x14ac:dyDescent="0.25">
      <c r="A1296" t="s">
        <v>2630</v>
      </c>
      <c r="B1296" t="s">
        <v>173</v>
      </c>
      <c r="C1296" t="str">
        <f>IF(ISBLANK(Table4[[#This Row],[Region]]),Table4[[#This Row],[Node Type]],Table4[[#This Row],[Region]])</f>
        <v/>
      </c>
      <c r="E1296" t="str">
        <f>IF(ISERROR(SEARCH("Node",Table4[[#This Row],[Type]])),IF(ISERROR(SEARCH("Iliac",Table4[[#This Row],[Type]])),"",Table4[[#This Row],[Type]]),Table4[[#This Row],[Type]])</f>
        <v/>
      </c>
      <c r="J1296" t="s">
        <v>2631</v>
      </c>
      <c r="L1296" t="s">
        <v>20</v>
      </c>
      <c r="M1296" t="s">
        <v>235</v>
      </c>
    </row>
    <row r="1297" spans="1:17" x14ac:dyDescent="0.25">
      <c r="A1297" t="s">
        <v>2635</v>
      </c>
      <c r="B1297" t="s">
        <v>46</v>
      </c>
      <c r="C1297" t="str">
        <f>IF(ISBLANK(Table4[[#This Row],[Region]]),Table4[[#This Row],[Node Type]],Table4[[#This Row],[Region]])</f>
        <v/>
      </c>
      <c r="E1297" t="str">
        <f>IF(ISERROR(SEARCH("Node",Table4[[#This Row],[Type]])),IF(ISERROR(SEARCH("Iliac",Table4[[#This Row],[Type]])),"",Table4[[#This Row],[Type]]),Table4[[#This Row],[Type]])</f>
        <v/>
      </c>
      <c r="I1297">
        <v>2</v>
      </c>
      <c r="L1297" t="s">
        <v>46</v>
      </c>
      <c r="Q1297" t="s">
        <v>1475</v>
      </c>
    </row>
    <row r="1298" spans="1:17" x14ac:dyDescent="0.25">
      <c r="A1298" t="s">
        <v>2637</v>
      </c>
      <c r="B1298" t="s">
        <v>77</v>
      </c>
      <c r="C1298" t="str">
        <f>IF(ISBLANK(Table4[[#This Row],[Region]]),Table4[[#This Row],[Node Type]],Table4[[#This Row],[Region]])</f>
        <v/>
      </c>
      <c r="E1298" t="str">
        <f>IF(ISERROR(SEARCH("Node",Table4[[#This Row],[Type]])),IF(ISERROR(SEARCH("Iliac",Table4[[#This Row],[Type]])),"",Table4[[#This Row],[Type]]),Table4[[#This Row],[Type]])</f>
        <v/>
      </c>
      <c r="I1298">
        <v>76.2</v>
      </c>
      <c r="L1298" t="s">
        <v>77</v>
      </c>
      <c r="P1298" t="s">
        <v>85</v>
      </c>
    </row>
    <row r="1299" spans="1:17" x14ac:dyDescent="0.25">
      <c r="A1299" t="s">
        <v>2638</v>
      </c>
      <c r="B1299" t="s">
        <v>77</v>
      </c>
      <c r="C1299" t="str">
        <f>IF(ISBLANK(Table4[[#This Row],[Region]]),Table4[[#This Row],[Node Type]],Table4[[#This Row],[Region]])</f>
        <v/>
      </c>
      <c r="E1299" t="str">
        <f>IF(ISERROR(SEARCH("Node",Table4[[#This Row],[Type]])),IF(ISERROR(SEARCH("Iliac",Table4[[#This Row],[Type]])),"",Table4[[#This Row],[Type]]),Table4[[#This Row],[Type]])</f>
        <v/>
      </c>
      <c r="I1299">
        <v>71.099999999999994</v>
      </c>
      <c r="L1299" t="s">
        <v>77</v>
      </c>
      <c r="P1299" t="s">
        <v>85</v>
      </c>
    </row>
    <row r="1300" spans="1:17" x14ac:dyDescent="0.25">
      <c r="A1300" t="s">
        <v>2639</v>
      </c>
      <c r="B1300" t="s">
        <v>173</v>
      </c>
      <c r="C1300" t="str">
        <f>IF(ISBLANK(Table4[[#This Row],[Region]]),Table4[[#This Row],[Node Type]],Table4[[#This Row],[Region]])</f>
        <v/>
      </c>
      <c r="E1300" t="str">
        <f>IF(ISERROR(SEARCH("Node",Table4[[#This Row],[Type]])),IF(ISERROR(SEARCH("Iliac",Table4[[#This Row],[Type]])),"",Table4[[#This Row],[Type]]),Table4[[#This Row],[Type]])</f>
        <v/>
      </c>
      <c r="L1300" t="s">
        <v>20</v>
      </c>
      <c r="Q1300" t="s">
        <v>2640</v>
      </c>
    </row>
    <row r="1301" spans="1:17" x14ac:dyDescent="0.25">
      <c r="A1301" t="s">
        <v>2642</v>
      </c>
      <c r="B1301" t="s">
        <v>173</v>
      </c>
      <c r="C1301" t="str">
        <f>IF(ISBLANK(Table4[[#This Row],[Region]]),Table4[[#This Row],[Node Type]],Table4[[#This Row],[Region]])</f>
        <v/>
      </c>
      <c r="E1301" t="str">
        <f>IF(ISERROR(SEARCH("Node",Table4[[#This Row],[Type]])),IF(ISERROR(SEARCH("Iliac",Table4[[#This Row],[Type]])),"",Table4[[#This Row],[Type]]),Table4[[#This Row],[Type]])</f>
        <v/>
      </c>
      <c r="I1301">
        <v>2.6</v>
      </c>
      <c r="L1301" t="s">
        <v>46</v>
      </c>
      <c r="Q1301" t="s">
        <v>1475</v>
      </c>
    </row>
    <row r="1302" spans="1:17" x14ac:dyDescent="0.25">
      <c r="A1302" t="s">
        <v>2644</v>
      </c>
      <c r="B1302" t="s">
        <v>173</v>
      </c>
      <c r="C1302" t="str">
        <f>IF(ISBLANK(Table4[[#This Row],[Region]]),Table4[[#This Row],[Node Type]],Table4[[#This Row],[Region]])</f>
        <v/>
      </c>
      <c r="E1302" t="str">
        <f>IF(ISERROR(SEARCH("Node",Table4[[#This Row],[Type]])),IF(ISERROR(SEARCH("Iliac",Table4[[#This Row],[Type]])),"",Table4[[#This Row],[Type]]),Table4[[#This Row],[Type]])</f>
        <v/>
      </c>
      <c r="I1302">
        <v>2</v>
      </c>
      <c r="L1302" t="s">
        <v>77</v>
      </c>
      <c r="Q1302" t="s">
        <v>1475</v>
      </c>
    </row>
    <row r="1303" spans="1:17" x14ac:dyDescent="0.25">
      <c r="A1303" t="s">
        <v>2645</v>
      </c>
      <c r="B1303" t="s">
        <v>173</v>
      </c>
      <c r="C1303" t="str">
        <f>IF(ISBLANK(Table4[[#This Row],[Region]]),Table4[[#This Row],[Node Type]],Table4[[#This Row],[Region]])</f>
        <v/>
      </c>
      <c r="E1303" t="str">
        <f>IF(ISERROR(SEARCH("Node",Table4[[#This Row],[Type]])),IF(ISERROR(SEARCH("Iliac",Table4[[#This Row],[Type]])),"",Table4[[#This Row],[Type]]),Table4[[#This Row],[Type]])</f>
        <v/>
      </c>
      <c r="I1303">
        <v>2.6</v>
      </c>
      <c r="L1303" t="s">
        <v>77</v>
      </c>
      <c r="Q1303" t="s">
        <v>1475</v>
      </c>
    </row>
    <row r="1304" spans="1:17" x14ac:dyDescent="0.25">
      <c r="A1304" t="s">
        <v>2646</v>
      </c>
      <c r="B1304" t="s">
        <v>173</v>
      </c>
      <c r="C1304" t="str">
        <f>IF(ISBLANK(Table4[[#This Row],[Region]]),Table4[[#This Row],[Node Type]],Table4[[#This Row],[Region]])</f>
        <v/>
      </c>
      <c r="E1304" t="str">
        <f>IF(ISERROR(SEARCH("Node",Table4[[#This Row],[Type]])),IF(ISERROR(SEARCH("Iliac",Table4[[#This Row],[Type]])),"",Table4[[#This Row],[Type]]),Table4[[#This Row],[Type]])</f>
        <v/>
      </c>
      <c r="I1304">
        <v>2.2999999999999998</v>
      </c>
      <c r="L1304" t="s">
        <v>46</v>
      </c>
      <c r="Q1304" t="s">
        <v>1475</v>
      </c>
    </row>
    <row r="1305" spans="1:17" x14ac:dyDescent="0.25">
      <c r="A1305" t="s">
        <v>2648</v>
      </c>
      <c r="B1305" t="s">
        <v>173</v>
      </c>
      <c r="C1305" t="str">
        <f>IF(ISBLANK(Table4[[#This Row],[Region]]),Table4[[#This Row],[Node Type]],Table4[[#This Row],[Region]])</f>
        <v/>
      </c>
      <c r="E1305" t="str">
        <f>IF(ISERROR(SEARCH("Node",Table4[[#This Row],[Type]])),IF(ISERROR(SEARCH("Iliac",Table4[[#This Row],[Type]])),"",Table4[[#This Row],[Type]]),Table4[[#This Row],[Type]])</f>
        <v/>
      </c>
      <c r="I1305">
        <v>2.2999999999999998</v>
      </c>
      <c r="L1305" t="s">
        <v>77</v>
      </c>
      <c r="Q1305" t="s">
        <v>1475</v>
      </c>
    </row>
    <row r="1306" spans="1:17" x14ac:dyDescent="0.25">
      <c r="A1306" t="s">
        <v>2058</v>
      </c>
      <c r="B1306" t="s">
        <v>173</v>
      </c>
      <c r="C1306" t="str">
        <f>IF(ISBLANK(Table4[[#This Row],[Region]]),Table4[[#This Row],[Node Type]],Table4[[#This Row],[Region]])</f>
        <v/>
      </c>
      <c r="E1306" t="str">
        <f>IF(ISERROR(SEARCH("Node",Table4[[#This Row],[Type]])),IF(ISERROR(SEARCH("Iliac",Table4[[#This Row],[Type]])),"",Table4[[#This Row],[Type]]),Table4[[#This Row],[Type]])</f>
        <v/>
      </c>
      <c r="I1306">
        <v>30</v>
      </c>
      <c r="L1306" t="s">
        <v>46</v>
      </c>
    </row>
    <row r="1307" spans="1:17" x14ac:dyDescent="0.25">
      <c r="A1307" t="s">
        <v>2063</v>
      </c>
      <c r="B1307" t="s">
        <v>173</v>
      </c>
      <c r="C1307" t="str">
        <f>IF(ISBLANK(Table4[[#This Row],[Region]]),Table4[[#This Row],[Node Type]],Table4[[#This Row],[Region]])</f>
        <v/>
      </c>
      <c r="E1307" t="str">
        <f>IF(ISERROR(SEARCH("Node",Table4[[#This Row],[Type]])),IF(ISERROR(SEARCH("Iliac",Table4[[#This Row],[Type]])),"",Table4[[#This Row],[Type]]),Table4[[#This Row],[Type]])</f>
        <v/>
      </c>
      <c r="I1307">
        <v>30</v>
      </c>
      <c r="L1307" t="s">
        <v>77</v>
      </c>
    </row>
    <row r="1308" spans="1:17" x14ac:dyDescent="0.25">
      <c r="A1308" t="s">
        <v>2654</v>
      </c>
      <c r="B1308" t="s">
        <v>77</v>
      </c>
      <c r="C1308" t="str">
        <f>IF(ISBLANK(Table4[[#This Row],[Region]]),Table4[[#This Row],[Node Type]],Table4[[#This Row],[Region]])</f>
        <v/>
      </c>
      <c r="E1308" t="str">
        <f>IF(ISERROR(SEARCH("Node",Table4[[#This Row],[Type]])),IF(ISERROR(SEARCH("Iliac",Table4[[#This Row],[Type]])),"",Table4[[#This Row],[Type]]),Table4[[#This Row],[Type]])</f>
        <v/>
      </c>
      <c r="K1308" t="s">
        <v>552</v>
      </c>
      <c r="L1308" t="s">
        <v>77</v>
      </c>
      <c r="P1308" t="s">
        <v>85</v>
      </c>
    </row>
    <row r="1309" spans="1:17" x14ac:dyDescent="0.25">
      <c r="A1309" t="s">
        <v>2655</v>
      </c>
      <c r="B1309" t="s">
        <v>77</v>
      </c>
      <c r="C1309" t="str">
        <f>IF(ISBLANK(Table4[[#This Row],[Region]]),Table4[[#This Row],[Node Type]],Table4[[#This Row],[Region]])</f>
        <v/>
      </c>
      <c r="E1309" t="str">
        <f>IF(ISERROR(SEARCH("Node",Table4[[#This Row],[Type]])),IF(ISERROR(SEARCH("Iliac",Table4[[#This Row],[Type]])),"",Table4[[#This Row],[Type]]),Table4[[#This Row],[Type]])</f>
        <v/>
      </c>
      <c r="L1309" t="s">
        <v>77</v>
      </c>
      <c r="O1309" t="s">
        <v>290</v>
      </c>
      <c r="P1309" t="s">
        <v>85</v>
      </c>
    </row>
    <row r="1310" spans="1:17" x14ac:dyDescent="0.25">
      <c r="A1310" t="s">
        <v>2656</v>
      </c>
      <c r="B1310" t="s">
        <v>77</v>
      </c>
      <c r="C1310" t="str">
        <f>IF(ISBLANK(Table4[[#This Row],[Region]]),Table4[[#This Row],[Node Type]],Table4[[#This Row],[Region]])</f>
        <v/>
      </c>
      <c r="E1310" t="str">
        <f>IF(ISERROR(SEARCH("Node",Table4[[#This Row],[Type]])),IF(ISERROR(SEARCH("Iliac",Table4[[#This Row],[Type]])),"",Table4[[#This Row],[Type]]),Table4[[#This Row],[Type]])</f>
        <v/>
      </c>
      <c r="L1310" t="s">
        <v>77</v>
      </c>
      <c r="O1310" t="s">
        <v>292</v>
      </c>
      <c r="P1310" t="s">
        <v>85</v>
      </c>
    </row>
    <row r="1311" spans="1:17" x14ac:dyDescent="0.25">
      <c r="A1311" t="s">
        <v>2657</v>
      </c>
      <c r="B1311" t="s">
        <v>77</v>
      </c>
      <c r="C1311" t="str">
        <f>IF(ISBLANK(Table4[[#This Row],[Region]]),Table4[[#This Row],[Node Type]],Table4[[#This Row],[Region]])</f>
        <v/>
      </c>
      <c r="E1311" t="str">
        <f>IF(ISERROR(SEARCH("Node",Table4[[#This Row],[Type]])),IF(ISERROR(SEARCH("Iliac",Table4[[#This Row],[Type]])),"",Table4[[#This Row],[Type]]),Table4[[#This Row],[Type]])</f>
        <v/>
      </c>
      <c r="L1311" t="s">
        <v>77</v>
      </c>
      <c r="O1311" t="s">
        <v>294</v>
      </c>
      <c r="P1311" t="s">
        <v>85</v>
      </c>
    </row>
    <row r="1312" spans="1:17" x14ac:dyDescent="0.25">
      <c r="A1312" t="s">
        <v>2658</v>
      </c>
      <c r="B1312" t="s">
        <v>77</v>
      </c>
      <c r="C1312" t="str">
        <f>IF(ISBLANK(Table4[[#This Row],[Region]]),Table4[[#This Row],[Node Type]],Table4[[#This Row],[Region]])</f>
        <v/>
      </c>
      <c r="E1312" t="str">
        <f>IF(ISERROR(SEARCH("Node",Table4[[#This Row],[Type]])),IF(ISERROR(SEARCH("Iliac",Table4[[#This Row],[Type]])),"",Table4[[#This Row],[Type]]),Table4[[#This Row],[Type]])</f>
        <v/>
      </c>
      <c r="L1312" t="s">
        <v>77</v>
      </c>
      <c r="O1312" t="s">
        <v>294</v>
      </c>
      <c r="P1312" t="s">
        <v>85</v>
      </c>
    </row>
    <row r="1313" spans="1:17" x14ac:dyDescent="0.25">
      <c r="A1313" t="s">
        <v>2661</v>
      </c>
      <c r="B1313" t="s">
        <v>77</v>
      </c>
      <c r="C1313" t="str">
        <f>IF(ISBLANK(Table4[[#This Row],[Region]]),Table4[[#This Row],[Node Type]],Table4[[#This Row],[Region]])</f>
        <v/>
      </c>
      <c r="E1313" t="str">
        <f>IF(ISERROR(SEARCH("Node",Table4[[#This Row],[Type]])),IF(ISERROR(SEARCH("Iliac",Table4[[#This Row],[Type]])),"",Table4[[#This Row],[Type]]),Table4[[#This Row],[Type]])</f>
        <v/>
      </c>
      <c r="I1313">
        <v>24</v>
      </c>
      <c r="L1313" t="s">
        <v>77</v>
      </c>
    </row>
    <row r="1314" spans="1:17" x14ac:dyDescent="0.25">
      <c r="A1314" t="s">
        <v>2663</v>
      </c>
      <c r="B1314" t="s">
        <v>77</v>
      </c>
      <c r="C1314" t="str">
        <f>IF(ISBLANK(Table4[[#This Row],[Region]]),Table4[[#This Row],[Node Type]],Table4[[#This Row],[Region]])</f>
        <v/>
      </c>
      <c r="E1314" t="str">
        <f>IF(ISERROR(SEARCH("Node",Table4[[#This Row],[Type]])),IF(ISERROR(SEARCH("Iliac",Table4[[#This Row],[Type]])),"",Table4[[#This Row],[Type]]),Table4[[#This Row],[Type]])</f>
        <v/>
      </c>
      <c r="I1314">
        <v>50</v>
      </c>
      <c r="L1314" t="s">
        <v>77</v>
      </c>
    </row>
    <row r="1315" spans="1:17" x14ac:dyDescent="0.25">
      <c r="A1315" t="s">
        <v>672</v>
      </c>
      <c r="B1315" t="s">
        <v>173</v>
      </c>
      <c r="C1315" t="str">
        <f>IF(ISBLANK(Table4[[#This Row],[Region]]),Table4[[#This Row],[Node Type]],Table4[[#This Row],[Region]])</f>
        <v/>
      </c>
      <c r="E1315" t="str">
        <f>IF(ISERROR(SEARCH("Node",Table4[[#This Row],[Type]])),IF(ISERROR(SEARCH("Iliac",Table4[[#This Row],[Type]])),"",Table4[[#This Row],[Type]]),Table4[[#This Row],[Type]])</f>
        <v/>
      </c>
      <c r="L1315" t="s">
        <v>77</v>
      </c>
      <c r="O1315" t="s">
        <v>292</v>
      </c>
      <c r="P1315" t="s">
        <v>85</v>
      </c>
    </row>
    <row r="1316" spans="1:17" x14ac:dyDescent="0.25">
      <c r="A1316" t="s">
        <v>673</v>
      </c>
      <c r="B1316" t="s">
        <v>173</v>
      </c>
      <c r="C1316" t="str">
        <f>IF(ISBLANK(Table4[[#This Row],[Region]]),Table4[[#This Row],[Node Type]],Table4[[#This Row],[Region]])</f>
        <v/>
      </c>
      <c r="E1316" t="str">
        <f>IF(ISERROR(SEARCH("Node",Table4[[#This Row],[Type]])),IF(ISERROR(SEARCH("Iliac",Table4[[#This Row],[Type]])),"",Table4[[#This Row],[Type]]),Table4[[#This Row],[Type]])</f>
        <v/>
      </c>
      <c r="L1316" t="s">
        <v>77</v>
      </c>
      <c r="O1316" t="s">
        <v>290</v>
      </c>
      <c r="P1316" t="s">
        <v>85</v>
      </c>
    </row>
    <row r="1317" spans="1:17" x14ac:dyDescent="0.25">
      <c r="A1317" t="s">
        <v>2664</v>
      </c>
      <c r="B1317" t="s">
        <v>77</v>
      </c>
      <c r="C1317" t="str">
        <f>IF(ISBLANK(Table4[[#This Row],[Region]]),Table4[[#This Row],[Node Type]],Table4[[#This Row],[Region]])</f>
        <v/>
      </c>
      <c r="E1317" t="str">
        <f>IF(ISERROR(SEARCH("Node",Table4[[#This Row],[Type]])),IF(ISERROR(SEARCH("Iliac",Table4[[#This Row],[Type]])),"",Table4[[#This Row],[Type]]),Table4[[#This Row],[Type]])</f>
        <v/>
      </c>
      <c r="I1317">
        <v>40</v>
      </c>
      <c r="L1317" t="s">
        <v>77</v>
      </c>
    </row>
    <row r="1318" spans="1:17" x14ac:dyDescent="0.25">
      <c r="A1318" t="s">
        <v>2666</v>
      </c>
      <c r="B1318" t="s">
        <v>77</v>
      </c>
      <c r="C1318" t="str">
        <f>IF(ISBLANK(Table4[[#This Row],[Region]]),Table4[[#This Row],[Node Type]],Table4[[#This Row],[Region]])</f>
        <v/>
      </c>
      <c r="E1318" t="str">
        <f>IF(ISERROR(SEARCH("Node",Table4[[#This Row],[Type]])),IF(ISERROR(SEARCH("Iliac",Table4[[#This Row],[Type]])),"",Table4[[#This Row],[Type]]),Table4[[#This Row],[Type]])</f>
        <v/>
      </c>
      <c r="J1318" t="s">
        <v>83</v>
      </c>
      <c r="L1318" t="s">
        <v>77</v>
      </c>
    </row>
    <row r="1319" spans="1:17" x14ac:dyDescent="0.25">
      <c r="A1319" t="s">
        <v>2668</v>
      </c>
      <c r="B1319" t="s">
        <v>77</v>
      </c>
      <c r="C1319" t="str">
        <f>IF(ISBLANK(Table4[[#This Row],[Region]]),Table4[[#This Row],[Node Type]],Table4[[#This Row],[Region]])</f>
        <v/>
      </c>
      <c r="E1319" t="str">
        <f>IF(ISERROR(SEARCH("Node",Table4[[#This Row],[Type]])),IF(ISERROR(SEARCH("Iliac",Table4[[#This Row],[Type]])),"",Table4[[#This Row],[Type]]),Table4[[#This Row],[Type]])</f>
        <v/>
      </c>
      <c r="J1319" t="s">
        <v>1380</v>
      </c>
      <c r="L1319" t="s">
        <v>77</v>
      </c>
      <c r="M1319" t="s">
        <v>137</v>
      </c>
    </row>
    <row r="1320" spans="1:17" x14ac:dyDescent="0.25">
      <c r="A1320" t="s">
        <v>2669</v>
      </c>
      <c r="B1320" t="s">
        <v>46</v>
      </c>
      <c r="C1320" t="str">
        <f>IF(ISBLANK(Table4[[#This Row],[Region]]),Table4[[#This Row],[Node Type]],Table4[[#This Row],[Region]])</f>
        <v/>
      </c>
      <c r="E1320" t="str">
        <f>IF(ISERROR(SEARCH("Node",Table4[[#This Row],[Type]])),IF(ISERROR(SEARCH("Iliac",Table4[[#This Row],[Type]])),"",Table4[[#This Row],[Type]]),Table4[[#This Row],[Type]])</f>
        <v/>
      </c>
      <c r="J1320" t="s">
        <v>1380</v>
      </c>
      <c r="L1320" t="s">
        <v>46</v>
      </c>
      <c r="M1320" t="s">
        <v>137</v>
      </c>
    </row>
    <row r="1321" spans="1:17" x14ac:dyDescent="0.25">
      <c r="A1321" t="s">
        <v>2670</v>
      </c>
      <c r="B1321" t="s">
        <v>20</v>
      </c>
      <c r="C1321" t="str">
        <f>IF(ISBLANK(Table4[[#This Row],[Region]]),Table4[[#This Row],[Node Type]],Table4[[#This Row],[Region]])</f>
        <v/>
      </c>
      <c r="E1321" t="str">
        <f>IF(ISERROR(SEARCH("Node",Table4[[#This Row],[Type]])),IF(ISERROR(SEARCH("Iliac",Table4[[#This Row],[Type]])),"",Table4[[#This Row],[Type]]),Table4[[#This Row],[Type]])</f>
        <v/>
      </c>
      <c r="J1321" t="s">
        <v>1380</v>
      </c>
      <c r="L1321" t="s">
        <v>137</v>
      </c>
    </row>
    <row r="1322" spans="1:17" x14ac:dyDescent="0.25">
      <c r="A1322" t="s">
        <v>2672</v>
      </c>
      <c r="B1322" t="s">
        <v>77</v>
      </c>
      <c r="C1322" t="str">
        <f>IF(ISBLANK(Table4[[#This Row],[Region]]),Table4[[#This Row],[Node Type]],Table4[[#This Row],[Region]])</f>
        <v/>
      </c>
      <c r="E1322" t="str">
        <f>IF(ISERROR(SEARCH("Node",Table4[[#This Row],[Type]])),IF(ISERROR(SEARCH("Iliac",Table4[[#This Row],[Type]])),"",Table4[[#This Row],[Type]]),Table4[[#This Row],[Type]])</f>
        <v/>
      </c>
      <c r="I1322">
        <v>48</v>
      </c>
      <c r="L1322" t="s">
        <v>77</v>
      </c>
    </row>
    <row r="1323" spans="1:17" x14ac:dyDescent="0.25">
      <c r="A1323" t="s">
        <v>2674</v>
      </c>
      <c r="B1323" t="s">
        <v>77</v>
      </c>
      <c r="C1323" t="str">
        <f>IF(ISBLANK(Table4[[#This Row],[Region]]),Table4[[#This Row],[Node Type]],Table4[[#This Row],[Region]])</f>
        <v/>
      </c>
      <c r="E1323" t="str">
        <f>IF(ISERROR(SEARCH("Node",Table4[[#This Row],[Type]])),IF(ISERROR(SEARCH("Iliac",Table4[[#This Row],[Type]])),"",Table4[[#This Row],[Type]]),Table4[[#This Row],[Type]])</f>
        <v/>
      </c>
      <c r="J1323" t="s">
        <v>859</v>
      </c>
      <c r="L1323" t="s">
        <v>77</v>
      </c>
      <c r="M1323" t="s">
        <v>79</v>
      </c>
    </row>
    <row r="1324" spans="1:17" x14ac:dyDescent="0.25">
      <c r="A1324" t="s">
        <v>2675</v>
      </c>
      <c r="B1324" t="s">
        <v>77</v>
      </c>
      <c r="C1324" t="str">
        <f>IF(ISBLANK(Table4[[#This Row],[Region]]),Table4[[#This Row],[Node Type]],Table4[[#This Row],[Region]])</f>
        <v/>
      </c>
      <c r="E1324" t="str">
        <f>IF(ISERROR(SEARCH("Node",Table4[[#This Row],[Type]])),IF(ISERROR(SEARCH("Iliac",Table4[[#This Row],[Type]])),"",Table4[[#This Row],[Type]]),Table4[[#This Row],[Type]])</f>
        <v/>
      </c>
      <c r="I1324">
        <v>54</v>
      </c>
      <c r="L1324" t="s">
        <v>77</v>
      </c>
      <c r="N1324" t="s">
        <v>108</v>
      </c>
      <c r="P1324" t="s">
        <v>85</v>
      </c>
    </row>
    <row r="1325" spans="1:17" x14ac:dyDescent="0.25">
      <c r="A1325" t="s">
        <v>2683</v>
      </c>
      <c r="B1325" t="s">
        <v>173</v>
      </c>
      <c r="C1325" t="str">
        <f>IF(ISBLANK(Table4[[#This Row],[Region]]),Table4[[#This Row],[Node Type]],Table4[[#This Row],[Region]])</f>
        <v/>
      </c>
      <c r="E1325" t="str">
        <f>IF(ISERROR(SEARCH("Node",Table4[[#This Row],[Type]])),IF(ISERROR(SEARCH("Iliac",Table4[[#This Row],[Type]])),"",Table4[[#This Row],[Type]]),Table4[[#This Row],[Type]])</f>
        <v/>
      </c>
      <c r="L1325" t="s">
        <v>77</v>
      </c>
      <c r="Q1325" t="s">
        <v>46</v>
      </c>
    </row>
    <row r="1326" spans="1:17" x14ac:dyDescent="0.25">
      <c r="A1326" t="s">
        <v>2684</v>
      </c>
      <c r="B1326" t="s">
        <v>77</v>
      </c>
      <c r="C1326" t="str">
        <f>IF(ISBLANK(Table4[[#This Row],[Region]]),Table4[[#This Row],[Node Type]],Table4[[#This Row],[Region]])</f>
        <v/>
      </c>
      <c r="E1326" t="str">
        <f>IF(ISERROR(SEARCH("Node",Table4[[#This Row],[Type]])),IF(ISERROR(SEARCH("Iliac",Table4[[#This Row],[Type]])),"",Table4[[#This Row],[Type]]),Table4[[#This Row],[Type]])</f>
        <v/>
      </c>
      <c r="I1326">
        <v>46</v>
      </c>
      <c r="L1326" t="s">
        <v>77</v>
      </c>
    </row>
    <row r="1327" spans="1:17" x14ac:dyDescent="0.25">
      <c r="A1327" t="s">
        <v>2685</v>
      </c>
      <c r="B1327" t="s">
        <v>173</v>
      </c>
      <c r="C1327" t="str">
        <f>IF(ISBLANK(Table4[[#This Row],[Region]]),Table4[[#This Row],[Node Type]],Table4[[#This Row],[Region]])</f>
        <v/>
      </c>
      <c r="E1327" t="str">
        <f>IF(ISERROR(SEARCH("Node",Table4[[#This Row],[Type]])),IF(ISERROR(SEARCH("Iliac",Table4[[#This Row],[Type]])),"",Table4[[#This Row],[Type]]),Table4[[#This Row],[Type]])</f>
        <v/>
      </c>
      <c r="I1327">
        <v>46</v>
      </c>
      <c r="L1327" t="s">
        <v>46</v>
      </c>
    </row>
    <row r="1328" spans="1:17" x14ac:dyDescent="0.25">
      <c r="A1328" t="s">
        <v>2691</v>
      </c>
      <c r="B1328" t="s">
        <v>77</v>
      </c>
      <c r="C1328" t="str">
        <f>IF(ISBLANK(Table4[[#This Row],[Region]]),Table4[[#This Row],[Node Type]],Table4[[#This Row],[Region]])</f>
        <v/>
      </c>
      <c r="E1328" t="str">
        <f>IF(ISERROR(SEARCH("Node",Table4[[#This Row],[Type]])),IF(ISERROR(SEARCH("Iliac",Table4[[#This Row],[Type]])),"",Table4[[#This Row],[Type]]),Table4[[#This Row],[Type]])</f>
        <v/>
      </c>
      <c r="I1328">
        <v>68</v>
      </c>
      <c r="L1328" t="s">
        <v>77</v>
      </c>
      <c r="P1328" t="s">
        <v>85</v>
      </c>
    </row>
    <row r="1329" spans="1:17" x14ac:dyDescent="0.25">
      <c r="A1329" t="s">
        <v>2692</v>
      </c>
      <c r="B1329" t="s">
        <v>46</v>
      </c>
      <c r="C1329" t="str">
        <f>IF(ISBLANK(Table4[[#This Row],[Region]]),Table4[[#This Row],[Node Type]],Table4[[#This Row],[Region]])</f>
        <v/>
      </c>
      <c r="E1329" t="str">
        <f>IF(ISERROR(SEARCH("Node",Table4[[#This Row],[Type]])),IF(ISERROR(SEARCH("Iliac",Table4[[#This Row],[Type]])),"",Table4[[#This Row],[Type]]),Table4[[#This Row],[Type]])</f>
        <v/>
      </c>
      <c r="I1329">
        <v>48</v>
      </c>
      <c r="L1329" t="s">
        <v>46</v>
      </c>
      <c r="P1329" t="s">
        <v>85</v>
      </c>
    </row>
    <row r="1330" spans="1:17" x14ac:dyDescent="0.25">
      <c r="A1330" t="s">
        <v>2696</v>
      </c>
      <c r="B1330" t="s">
        <v>173</v>
      </c>
      <c r="C1330" t="str">
        <f>IF(ISBLANK(Table4[[#This Row],[Region]]),Table4[[#This Row],[Node Type]],Table4[[#This Row],[Region]])</f>
        <v/>
      </c>
      <c r="E1330" t="str">
        <f>IF(ISERROR(SEARCH("Node",Table4[[#This Row],[Type]])),IF(ISERROR(SEARCH("Iliac",Table4[[#This Row],[Type]])),"",Table4[[#This Row],[Type]]),Table4[[#This Row],[Type]])</f>
        <v/>
      </c>
      <c r="J1330" t="s">
        <v>216</v>
      </c>
      <c r="L1330" t="s">
        <v>20</v>
      </c>
    </row>
    <row r="1331" spans="1:17" x14ac:dyDescent="0.25">
      <c r="A1331" t="s">
        <v>2697</v>
      </c>
      <c r="B1331" t="s">
        <v>173</v>
      </c>
      <c r="C1331" t="str">
        <f>IF(ISBLANK(Table4[[#This Row],[Region]]),Table4[[#This Row],[Node Type]],Table4[[#This Row],[Region]])</f>
        <v/>
      </c>
      <c r="E1331" t="str">
        <f>IF(ISERROR(SEARCH("Node",Table4[[#This Row],[Type]])),IF(ISERROR(SEARCH("Iliac",Table4[[#This Row],[Type]])),"",Table4[[#This Row],[Type]]),Table4[[#This Row],[Type]])</f>
        <v/>
      </c>
      <c r="I1331">
        <v>3.3</v>
      </c>
      <c r="L1331" t="s">
        <v>77</v>
      </c>
    </row>
    <row r="1332" spans="1:17" x14ac:dyDescent="0.25">
      <c r="A1332" t="s">
        <v>2699</v>
      </c>
      <c r="B1332" t="s">
        <v>173</v>
      </c>
      <c r="C1332" t="str">
        <f>IF(ISBLANK(Table4[[#This Row],[Region]]),Table4[[#This Row],[Node Type]],Table4[[#This Row],[Region]])</f>
        <v/>
      </c>
      <c r="E1332" t="str">
        <f>IF(ISERROR(SEARCH("Node",Table4[[#This Row],[Type]])),IF(ISERROR(SEARCH("Iliac",Table4[[#This Row],[Type]])),"",Table4[[#This Row],[Type]]),Table4[[#This Row],[Type]])</f>
        <v/>
      </c>
      <c r="I1332">
        <v>3.3</v>
      </c>
      <c r="L1332" t="s">
        <v>46</v>
      </c>
    </row>
    <row r="1333" spans="1:17" x14ac:dyDescent="0.25">
      <c r="A1333" t="s">
        <v>2700</v>
      </c>
      <c r="B1333" t="s">
        <v>77</v>
      </c>
      <c r="C1333" t="str">
        <f>IF(ISBLANK(Table4[[#This Row],[Region]]),Table4[[#This Row],[Node Type]],Table4[[#This Row],[Region]])</f>
        <v/>
      </c>
      <c r="E1333" t="str">
        <f>IF(ISERROR(SEARCH("Node",Table4[[#This Row],[Type]])),IF(ISERROR(SEARCH("Iliac",Table4[[#This Row],[Type]])),"",Table4[[#This Row],[Type]]),Table4[[#This Row],[Type]])</f>
        <v/>
      </c>
      <c r="I1333">
        <v>48</v>
      </c>
      <c r="L1333" t="s">
        <v>77</v>
      </c>
      <c r="N1333" t="s">
        <v>108</v>
      </c>
      <c r="O1333" t="s">
        <v>294</v>
      </c>
      <c r="P1333" t="s">
        <v>85</v>
      </c>
    </row>
    <row r="1334" spans="1:17" x14ac:dyDescent="0.25">
      <c r="A1334" t="s">
        <v>2117</v>
      </c>
      <c r="B1334" t="s">
        <v>173</v>
      </c>
      <c r="C1334" t="str">
        <f>IF(ISBLANK(Table4[[#This Row],[Region]]),Table4[[#This Row],[Node Type]],Table4[[#This Row],[Region]])</f>
        <v/>
      </c>
      <c r="E1334" t="str">
        <f>IF(ISERROR(SEARCH("Node",Table4[[#This Row],[Type]])),IF(ISERROR(SEARCH("Iliac",Table4[[#This Row],[Type]])),"",Table4[[#This Row],[Type]]),Table4[[#This Row],[Type]])</f>
        <v/>
      </c>
      <c r="I1334">
        <v>60</v>
      </c>
      <c r="L1334" t="s">
        <v>77</v>
      </c>
      <c r="O1334" t="s">
        <v>290</v>
      </c>
      <c r="P1334" t="s">
        <v>85</v>
      </c>
    </row>
    <row r="1335" spans="1:17" x14ac:dyDescent="0.25">
      <c r="A1335" t="s">
        <v>301</v>
      </c>
      <c r="B1335" t="s">
        <v>173</v>
      </c>
      <c r="C1335" t="str">
        <f>IF(ISBLANK(Table4[[#This Row],[Region]]),Table4[[#This Row],[Node Type]],Table4[[#This Row],[Region]])</f>
        <v/>
      </c>
      <c r="E1335" t="str">
        <f>IF(ISERROR(SEARCH("Node",Table4[[#This Row],[Type]])),IF(ISERROR(SEARCH("Iliac",Table4[[#This Row],[Type]])),"",Table4[[#This Row],[Type]]),Table4[[#This Row],[Type]])</f>
        <v/>
      </c>
      <c r="I1335">
        <v>60</v>
      </c>
      <c r="L1335" t="s">
        <v>77</v>
      </c>
      <c r="O1335" t="s">
        <v>292</v>
      </c>
      <c r="P1335" t="s">
        <v>85</v>
      </c>
    </row>
    <row r="1336" spans="1:17" x14ac:dyDescent="0.25">
      <c r="A1336" t="s">
        <v>2703</v>
      </c>
      <c r="B1336" t="s">
        <v>77</v>
      </c>
      <c r="C1336" t="str">
        <f>IF(ISBLANK(Table4[[#This Row],[Region]]),Table4[[#This Row],[Node Type]],Table4[[#This Row],[Region]])</f>
        <v/>
      </c>
      <c r="E1336" t="str">
        <f>IF(ISERROR(SEARCH("Node",Table4[[#This Row],[Type]])),IF(ISERROR(SEARCH("Iliac",Table4[[#This Row],[Type]])),"",Table4[[#This Row],[Type]]),Table4[[#This Row],[Type]])</f>
        <v/>
      </c>
      <c r="I1336">
        <v>70</v>
      </c>
      <c r="L1336" t="s">
        <v>77</v>
      </c>
      <c r="P1336" t="s">
        <v>83</v>
      </c>
    </row>
    <row r="1337" spans="1:17" x14ac:dyDescent="0.25">
      <c r="A1337" t="s">
        <v>2704</v>
      </c>
      <c r="B1337" t="s">
        <v>77</v>
      </c>
      <c r="C1337" t="str">
        <f>IF(ISBLANK(Table4[[#This Row],[Region]]),Table4[[#This Row],[Node Type]],Table4[[#This Row],[Region]])</f>
        <v/>
      </c>
      <c r="E1337" t="str">
        <f>IF(ISERROR(SEARCH("Node",Table4[[#This Row],[Type]])),IF(ISERROR(SEARCH("Iliac",Table4[[#This Row],[Type]])),"",Table4[[#This Row],[Type]]),Table4[[#This Row],[Type]])</f>
        <v/>
      </c>
      <c r="I1337">
        <v>60</v>
      </c>
      <c r="L1337" t="s">
        <v>77</v>
      </c>
      <c r="P1337" t="s">
        <v>83</v>
      </c>
    </row>
    <row r="1338" spans="1:17" x14ac:dyDescent="0.25">
      <c r="A1338" t="s">
        <v>2708</v>
      </c>
      <c r="B1338" t="s">
        <v>173</v>
      </c>
      <c r="C1338" t="str">
        <f>IF(ISBLANK(Table4[[#This Row],[Region]]),Table4[[#This Row],[Node Type]],Table4[[#This Row],[Region]])</f>
        <v/>
      </c>
      <c r="E1338" t="str">
        <f>IF(ISERROR(SEARCH("Node",Table4[[#This Row],[Type]])),IF(ISERROR(SEARCH("Iliac",Table4[[#This Row],[Type]])),"",Table4[[#This Row],[Type]]),Table4[[#This Row],[Type]])</f>
        <v/>
      </c>
      <c r="I1338">
        <v>46</v>
      </c>
      <c r="L1338" t="s">
        <v>77</v>
      </c>
      <c r="Q1338" t="s">
        <v>46</v>
      </c>
    </row>
    <row r="1339" spans="1:17" x14ac:dyDescent="0.25">
      <c r="A1339" t="s">
        <v>2709</v>
      </c>
      <c r="B1339" t="s">
        <v>173</v>
      </c>
      <c r="C1339" t="str">
        <f>IF(ISBLANK(Table4[[#This Row],[Region]]),Table4[[#This Row],[Node Type]],Table4[[#This Row],[Region]])</f>
        <v/>
      </c>
      <c r="E1339" t="str">
        <f>IF(ISERROR(SEARCH("Node",Table4[[#This Row],[Type]])),IF(ISERROR(SEARCH("Iliac",Table4[[#This Row],[Type]])),"",Table4[[#This Row],[Type]]),Table4[[#This Row],[Type]])</f>
        <v/>
      </c>
      <c r="I1339">
        <v>66</v>
      </c>
      <c r="L1339" t="s">
        <v>77</v>
      </c>
      <c r="Q1339" t="s">
        <v>46</v>
      </c>
    </row>
    <row r="1340" spans="1:17" x14ac:dyDescent="0.25">
      <c r="A1340" t="s">
        <v>2710</v>
      </c>
      <c r="B1340" t="s">
        <v>173</v>
      </c>
      <c r="C1340" t="str">
        <f>IF(ISBLANK(Table4[[#This Row],[Region]]),Table4[[#This Row],[Node Type]],Table4[[#This Row],[Region]])</f>
        <v/>
      </c>
      <c r="E1340" t="str">
        <f>IF(ISERROR(SEARCH("Node",Table4[[#This Row],[Type]])),IF(ISERROR(SEARCH("Iliac",Table4[[#This Row],[Type]])),"",Table4[[#This Row],[Type]]),Table4[[#This Row],[Type]])</f>
        <v/>
      </c>
      <c r="I1340">
        <v>60</v>
      </c>
      <c r="L1340" t="s">
        <v>77</v>
      </c>
      <c r="Q1340" t="s">
        <v>46</v>
      </c>
    </row>
    <row r="1341" spans="1:17" x14ac:dyDescent="0.25">
      <c r="A1341" t="s">
        <v>2713</v>
      </c>
      <c r="B1341" t="s">
        <v>46</v>
      </c>
      <c r="C1341" t="str">
        <f>IF(ISBLANK(Table4[[#This Row],[Region]]),Table4[[#This Row],[Node Type]],Table4[[#This Row],[Region]])</f>
        <v/>
      </c>
      <c r="E1341" t="str">
        <f>IF(ISERROR(SEARCH("Node",Table4[[#This Row],[Type]])),IF(ISERROR(SEARCH("Iliac",Table4[[#This Row],[Type]])),"",Table4[[#This Row],[Type]]),Table4[[#This Row],[Type]])</f>
        <v/>
      </c>
      <c r="J1341" t="s">
        <v>1263</v>
      </c>
      <c r="L1341" t="s">
        <v>46</v>
      </c>
      <c r="M1341" t="s">
        <v>137</v>
      </c>
    </row>
    <row r="1342" spans="1:17" x14ac:dyDescent="0.25">
      <c r="A1342" t="s">
        <v>2714</v>
      </c>
      <c r="B1342" t="s">
        <v>77</v>
      </c>
      <c r="C1342" t="str">
        <f>IF(ISBLANK(Table4[[#This Row],[Region]]),Table4[[#This Row],[Node Type]],Table4[[#This Row],[Region]])</f>
        <v/>
      </c>
      <c r="E1342" t="str">
        <f>IF(ISERROR(SEARCH("Node",Table4[[#This Row],[Type]])),IF(ISERROR(SEARCH("Iliac",Table4[[#This Row],[Type]])),"",Table4[[#This Row],[Type]]),Table4[[#This Row],[Type]])</f>
        <v/>
      </c>
      <c r="J1342" t="s">
        <v>83</v>
      </c>
      <c r="L1342" t="s">
        <v>77</v>
      </c>
    </row>
    <row r="1343" spans="1:17" x14ac:dyDescent="0.25">
      <c r="A1343" t="s">
        <v>2715</v>
      </c>
      <c r="B1343" t="s">
        <v>77</v>
      </c>
      <c r="C1343" t="str">
        <f>IF(ISBLANK(Table4[[#This Row],[Region]]),Table4[[#This Row],[Node Type]],Table4[[#This Row],[Region]])</f>
        <v/>
      </c>
      <c r="E1343" t="str">
        <f>IF(ISERROR(SEARCH("Node",Table4[[#This Row],[Type]])),IF(ISERROR(SEARCH("Iliac",Table4[[#This Row],[Type]])),"",Table4[[#This Row],[Type]]),Table4[[#This Row],[Type]])</f>
        <v/>
      </c>
      <c r="J1343" t="s">
        <v>1263</v>
      </c>
      <c r="L1343" t="s">
        <v>77</v>
      </c>
      <c r="M1343" t="s">
        <v>137</v>
      </c>
    </row>
    <row r="1344" spans="1:17" x14ac:dyDescent="0.25">
      <c r="A1344" t="s">
        <v>2716</v>
      </c>
      <c r="B1344" t="s">
        <v>77</v>
      </c>
      <c r="C1344" t="str">
        <f>IF(ISBLANK(Table4[[#This Row],[Region]]),Table4[[#This Row],[Node Type]],Table4[[#This Row],[Region]])</f>
        <v/>
      </c>
      <c r="E1344" t="str">
        <f>IF(ISERROR(SEARCH("Node",Table4[[#This Row],[Type]])),IF(ISERROR(SEARCH("Iliac",Table4[[#This Row],[Type]])),"",Table4[[#This Row],[Type]]),Table4[[#This Row],[Type]])</f>
        <v/>
      </c>
      <c r="K1344" t="s">
        <v>552</v>
      </c>
      <c r="L1344" t="s">
        <v>77</v>
      </c>
    </row>
    <row r="1345" spans="1:16" x14ac:dyDescent="0.25">
      <c r="A1345" t="s">
        <v>2717</v>
      </c>
      <c r="B1345" t="s">
        <v>46</v>
      </c>
      <c r="C1345" t="str">
        <f>IF(ISBLANK(Table4[[#This Row],[Region]]),Table4[[#This Row],[Node Type]],Table4[[#This Row],[Region]])</f>
        <v/>
      </c>
      <c r="E1345" t="str">
        <f>IF(ISERROR(SEARCH("Node",Table4[[#This Row],[Type]])),IF(ISERROR(SEARCH("Iliac",Table4[[#This Row],[Type]])),"",Table4[[#This Row],[Type]]),Table4[[#This Row],[Type]])</f>
        <v/>
      </c>
      <c r="H1345">
        <v>1</v>
      </c>
      <c r="I1345">
        <v>35</v>
      </c>
      <c r="L1345" t="s">
        <v>46</v>
      </c>
    </row>
    <row r="1346" spans="1:16" x14ac:dyDescent="0.25">
      <c r="A1346" t="s">
        <v>2719</v>
      </c>
      <c r="B1346" t="s">
        <v>20</v>
      </c>
      <c r="C1346" t="str">
        <f>IF(ISBLANK(Table4[[#This Row],[Region]]),Table4[[#This Row],[Node Type]],Table4[[#This Row],[Region]])</f>
        <v/>
      </c>
      <c r="E1346" t="str">
        <f>IF(ISERROR(SEARCH("Node",Table4[[#This Row],[Type]])),IF(ISERROR(SEARCH("Iliac",Table4[[#This Row],[Type]])),"",Table4[[#This Row],[Type]]),Table4[[#This Row],[Type]])</f>
        <v/>
      </c>
      <c r="H1346">
        <v>1</v>
      </c>
      <c r="I1346">
        <v>35</v>
      </c>
      <c r="L1346" t="s">
        <v>226</v>
      </c>
    </row>
    <row r="1347" spans="1:16" x14ac:dyDescent="0.25">
      <c r="A1347" t="s">
        <v>2720</v>
      </c>
      <c r="B1347" t="s">
        <v>173</v>
      </c>
      <c r="C1347" t="str">
        <f>IF(ISBLANK(Table4[[#This Row],[Region]]),Table4[[#This Row],[Node Type]],Table4[[#This Row],[Region]])</f>
        <v/>
      </c>
      <c r="E1347" t="str">
        <f>IF(ISERROR(SEARCH("Node",Table4[[#This Row],[Type]])),IF(ISERROR(SEARCH("Iliac",Table4[[#This Row],[Type]])),"",Table4[[#This Row],[Type]]),Table4[[#This Row],[Type]])</f>
        <v/>
      </c>
      <c r="J1347" t="s">
        <v>2721</v>
      </c>
      <c r="L1347" t="s">
        <v>77</v>
      </c>
      <c r="P1347" t="s">
        <v>85</v>
      </c>
    </row>
    <row r="1348" spans="1:16" x14ac:dyDescent="0.25">
      <c r="A1348" t="s">
        <v>184</v>
      </c>
      <c r="B1348" t="s">
        <v>46</v>
      </c>
      <c r="C1348" t="str">
        <f>IF(ISBLANK(Table4[[#This Row],[Region]]),Table4[[#This Row],[Node Type]],Table4[[#This Row],[Region]])</f>
        <v/>
      </c>
      <c r="E1348" t="str">
        <f>IF(ISERROR(SEARCH("Node",Table4[[#This Row],[Type]])),IF(ISERROR(SEARCH("Iliac",Table4[[#This Row],[Type]])),"",Table4[[#This Row],[Type]]),Table4[[#This Row],[Type]])</f>
        <v/>
      </c>
      <c r="L1348" t="s">
        <v>77</v>
      </c>
      <c r="P1348" t="s">
        <v>85</v>
      </c>
    </row>
    <row r="1349" spans="1:16" x14ac:dyDescent="0.25">
      <c r="A1349" t="s">
        <v>2726</v>
      </c>
      <c r="B1349" t="s">
        <v>77</v>
      </c>
      <c r="C1349" t="str">
        <f>IF(ISBLANK(Table4[[#This Row],[Region]]),Table4[[#This Row],[Node Type]],Table4[[#This Row],[Region]])</f>
        <v/>
      </c>
      <c r="E1349" t="str">
        <f>IF(ISERROR(SEARCH("Node",Table4[[#This Row],[Type]])),IF(ISERROR(SEARCH("Iliac",Table4[[#This Row],[Type]])),"",Table4[[#This Row],[Type]]),Table4[[#This Row],[Type]])</f>
        <v/>
      </c>
      <c r="I1349">
        <v>45</v>
      </c>
      <c r="J1349" t="s">
        <v>2727</v>
      </c>
      <c r="L1349" t="s">
        <v>77</v>
      </c>
    </row>
    <row r="1350" spans="1:16" x14ac:dyDescent="0.25">
      <c r="A1350" t="s">
        <v>2728</v>
      </c>
      <c r="B1350" t="s">
        <v>46</v>
      </c>
      <c r="C1350" t="str">
        <f>IF(ISBLANK(Table4[[#This Row],[Region]]),Table4[[#This Row],[Node Type]],Table4[[#This Row],[Region]])</f>
        <v/>
      </c>
      <c r="E1350" t="str">
        <f>IF(ISERROR(SEARCH("Node",Table4[[#This Row],[Type]])),IF(ISERROR(SEARCH("Iliac",Table4[[#This Row],[Type]])),"",Table4[[#This Row],[Type]]),Table4[[#This Row],[Type]])</f>
        <v/>
      </c>
      <c r="I1350">
        <v>45</v>
      </c>
      <c r="J1350" t="s">
        <v>2727</v>
      </c>
      <c r="L1350" t="s">
        <v>46</v>
      </c>
    </row>
    <row r="1351" spans="1:16" x14ac:dyDescent="0.25">
      <c r="A1351" t="s">
        <v>2729</v>
      </c>
      <c r="B1351" t="s">
        <v>77</v>
      </c>
      <c r="C1351" t="str">
        <f>IF(ISBLANK(Table4[[#This Row],[Region]]),Table4[[#This Row],[Node Type]],Table4[[#This Row],[Region]])</f>
        <v/>
      </c>
      <c r="E1351" t="str">
        <f>IF(ISERROR(SEARCH("Node",Table4[[#This Row],[Type]])),IF(ISERROR(SEARCH("Iliac",Table4[[#This Row],[Type]])),"",Table4[[#This Row],[Type]]),Table4[[#This Row],[Type]])</f>
        <v/>
      </c>
      <c r="I1351">
        <v>45</v>
      </c>
      <c r="J1351" t="s">
        <v>2727</v>
      </c>
      <c r="L1351" t="s">
        <v>77</v>
      </c>
      <c r="P1351" t="s">
        <v>85</v>
      </c>
    </row>
    <row r="1352" spans="1:16" x14ac:dyDescent="0.25">
      <c r="A1352" t="s">
        <v>2730</v>
      </c>
      <c r="B1352" t="s">
        <v>77</v>
      </c>
      <c r="C1352" t="str">
        <f>IF(ISBLANK(Table4[[#This Row],[Region]]),Table4[[#This Row],[Node Type]],Table4[[#This Row],[Region]])</f>
        <v/>
      </c>
      <c r="E1352" t="str">
        <f>IF(ISERROR(SEARCH("Node",Table4[[#This Row],[Type]])),IF(ISERROR(SEARCH("Iliac",Table4[[#This Row],[Type]])),"",Table4[[#This Row],[Type]]),Table4[[#This Row],[Type]])</f>
        <v/>
      </c>
      <c r="I1352">
        <v>50.4</v>
      </c>
      <c r="L1352" t="s">
        <v>77</v>
      </c>
      <c r="P1352" t="s">
        <v>85</v>
      </c>
    </row>
    <row r="1353" spans="1:16" x14ac:dyDescent="0.25">
      <c r="A1353" t="s">
        <v>2732</v>
      </c>
      <c r="B1353" t="s">
        <v>77</v>
      </c>
      <c r="C1353" t="str">
        <f>IF(ISBLANK(Table4[[#This Row],[Region]]),Table4[[#This Row],[Node Type]],Table4[[#This Row],[Region]])</f>
        <v/>
      </c>
      <c r="E1353" t="str">
        <f>IF(ISERROR(SEARCH("Node",Table4[[#This Row],[Type]])),IF(ISERROR(SEARCH("Iliac",Table4[[#This Row],[Type]])),"",Table4[[#This Row],[Type]]),Table4[[#This Row],[Type]])</f>
        <v/>
      </c>
      <c r="I1353">
        <v>60</v>
      </c>
      <c r="L1353" t="s">
        <v>77</v>
      </c>
    </row>
    <row r="1354" spans="1:16" x14ac:dyDescent="0.25">
      <c r="A1354" t="s">
        <v>2739</v>
      </c>
      <c r="B1354" t="s">
        <v>46</v>
      </c>
      <c r="C1354" t="str">
        <f>IF(ISBLANK(Table4[[#This Row],[Region]]),Table4[[#This Row],[Node Type]],Table4[[#This Row],[Region]])</f>
        <v/>
      </c>
      <c r="E1354" t="str">
        <f>IF(ISERROR(SEARCH("Node",Table4[[#This Row],[Type]])),IF(ISERROR(SEARCH("Iliac",Table4[[#This Row],[Type]])),"",Table4[[#This Row],[Type]]),Table4[[#This Row],[Type]])</f>
        <v/>
      </c>
      <c r="I1354">
        <v>76</v>
      </c>
      <c r="L1354" t="s">
        <v>46</v>
      </c>
    </row>
    <row r="1355" spans="1:16" x14ac:dyDescent="0.25">
      <c r="A1355" t="s">
        <v>2741</v>
      </c>
      <c r="B1355" t="s">
        <v>77</v>
      </c>
      <c r="C1355" t="str">
        <f>IF(ISBLANK(Table4[[#This Row],[Region]]),Table4[[#This Row],[Node Type]],Table4[[#This Row],[Region]])</f>
        <v/>
      </c>
      <c r="E1355" t="str">
        <f>IF(ISERROR(SEARCH("Node",Table4[[#This Row],[Type]])),IF(ISERROR(SEARCH("Iliac",Table4[[#This Row],[Type]])),"",Table4[[#This Row],[Type]]),Table4[[#This Row],[Type]])</f>
        <v/>
      </c>
      <c r="I1355">
        <v>76</v>
      </c>
      <c r="L1355" t="s">
        <v>77</v>
      </c>
    </row>
    <row r="1356" spans="1:16" x14ac:dyDescent="0.25">
      <c r="A1356" t="s">
        <v>2685</v>
      </c>
      <c r="B1356" t="s">
        <v>46</v>
      </c>
      <c r="C1356" t="str">
        <f>IF(ISBLANK(Table4[[#This Row],[Region]]),Table4[[#This Row],[Node Type]],Table4[[#This Row],[Region]])</f>
        <v/>
      </c>
      <c r="E1356" t="str">
        <f>IF(ISERROR(SEARCH("Node",Table4[[#This Row],[Type]])),IF(ISERROR(SEARCH("Iliac",Table4[[#This Row],[Type]])),"",Table4[[#This Row],[Type]]),Table4[[#This Row],[Type]])</f>
        <v/>
      </c>
      <c r="I1356">
        <v>46</v>
      </c>
      <c r="L1356" t="s">
        <v>46</v>
      </c>
    </row>
    <row r="1357" spans="1:16" x14ac:dyDescent="0.25">
      <c r="A1357" t="s">
        <v>2742</v>
      </c>
      <c r="B1357" t="s">
        <v>77</v>
      </c>
      <c r="C1357" t="str">
        <f>IF(ISBLANK(Table4[[#This Row],[Region]]),Table4[[#This Row],[Node Type]],Table4[[#This Row],[Region]])</f>
        <v/>
      </c>
      <c r="E1357" t="str">
        <f>IF(ISERROR(SEARCH("Node",Table4[[#This Row],[Type]])),IF(ISERROR(SEARCH("Iliac",Table4[[#This Row],[Type]])),"",Table4[[#This Row],[Type]]),Table4[[#This Row],[Type]])</f>
        <v/>
      </c>
      <c r="I1357">
        <v>46</v>
      </c>
      <c r="L1357" t="s">
        <v>77</v>
      </c>
      <c r="P1357" t="s">
        <v>83</v>
      </c>
    </row>
    <row r="1358" spans="1:16" x14ac:dyDescent="0.25">
      <c r="A1358" t="s">
        <v>2743</v>
      </c>
      <c r="B1358" t="s">
        <v>77</v>
      </c>
      <c r="C1358" t="str">
        <f>IF(ISBLANK(Table4[[#This Row],[Region]]),Table4[[#This Row],[Node Type]],Table4[[#This Row],[Region]])</f>
        <v/>
      </c>
      <c r="E1358" t="str">
        <f>IF(ISERROR(SEARCH("Node",Table4[[#This Row],[Type]])),IF(ISERROR(SEARCH("Iliac",Table4[[#This Row],[Type]])),"",Table4[[#This Row],[Type]]),Table4[[#This Row],[Type]])</f>
        <v/>
      </c>
      <c r="J1358" t="s">
        <v>2744</v>
      </c>
      <c r="L1358" t="s">
        <v>77</v>
      </c>
    </row>
    <row r="1359" spans="1:16" x14ac:dyDescent="0.25">
      <c r="A1359" t="s">
        <v>2747</v>
      </c>
      <c r="B1359" t="s">
        <v>87</v>
      </c>
      <c r="C1359" t="str">
        <f>IF(ISBLANK(Table4[[#This Row],[Region]]),Table4[[#This Row],[Node Type]],Table4[[#This Row],[Region]])</f>
        <v/>
      </c>
      <c r="E1359" t="str">
        <f>IF(ISERROR(SEARCH("Node",Table4[[#This Row],[Type]])),IF(ISERROR(SEARCH("Iliac",Table4[[#This Row],[Type]])),"",Table4[[#This Row],[Type]]),Table4[[#This Row],[Type]])</f>
        <v/>
      </c>
      <c r="J1359" t="s">
        <v>1461</v>
      </c>
      <c r="L1359" t="s">
        <v>46</v>
      </c>
    </row>
    <row r="1360" spans="1:16" x14ac:dyDescent="0.25">
      <c r="A1360" t="s">
        <v>2749</v>
      </c>
      <c r="B1360" t="s">
        <v>173</v>
      </c>
      <c r="C1360" t="str">
        <f>IF(ISBLANK(Table4[[#This Row],[Region]]),Table4[[#This Row],[Node Type]],Table4[[#This Row],[Region]])</f>
        <v/>
      </c>
      <c r="E1360" t="str">
        <f>IF(ISERROR(SEARCH("Node",Table4[[#This Row],[Type]])),IF(ISERROR(SEARCH("Iliac",Table4[[#This Row],[Type]])),"",Table4[[#This Row],[Type]]),Table4[[#This Row],[Type]])</f>
        <v/>
      </c>
      <c r="J1360" t="s">
        <v>1461</v>
      </c>
      <c r="L1360" t="s">
        <v>20</v>
      </c>
    </row>
    <row r="1361" spans="1:15" x14ac:dyDescent="0.25">
      <c r="A1361" t="s">
        <v>2750</v>
      </c>
      <c r="B1361" t="s">
        <v>173</v>
      </c>
      <c r="C1361" t="str">
        <f>IF(ISBLANK(Table4[[#This Row],[Region]]),Table4[[#This Row],[Node Type]],Table4[[#This Row],[Region]])</f>
        <v/>
      </c>
      <c r="E1361" t="str">
        <f>IF(ISERROR(SEARCH("Node",Table4[[#This Row],[Type]])),IF(ISERROR(SEARCH("Iliac",Table4[[#This Row],[Type]])),"",Table4[[#This Row],[Type]]),Table4[[#This Row],[Type]])</f>
        <v/>
      </c>
      <c r="J1361" t="s">
        <v>1461</v>
      </c>
      <c r="L1361" t="s">
        <v>77</v>
      </c>
    </row>
    <row r="1362" spans="1:15" x14ac:dyDescent="0.25">
      <c r="A1362" t="s">
        <v>2751</v>
      </c>
      <c r="B1362" t="s">
        <v>77</v>
      </c>
      <c r="C1362" t="str">
        <f>IF(ISBLANK(Table4[[#This Row],[Region]]),Table4[[#This Row],[Node Type]],Table4[[#This Row],[Region]])</f>
        <v/>
      </c>
      <c r="E1362" t="str">
        <f>IF(ISERROR(SEARCH("Node",Table4[[#This Row],[Type]])),IF(ISERROR(SEARCH("Iliac",Table4[[#This Row],[Type]])),"",Table4[[#This Row],[Type]]),Table4[[#This Row],[Type]])</f>
        <v/>
      </c>
      <c r="J1362" t="s">
        <v>2003</v>
      </c>
      <c r="L1362" t="s">
        <v>77</v>
      </c>
      <c r="O1362" t="s">
        <v>294</v>
      </c>
    </row>
    <row r="1363" spans="1:15" x14ac:dyDescent="0.25">
      <c r="A1363" t="s">
        <v>2759</v>
      </c>
      <c r="B1363" t="s">
        <v>20</v>
      </c>
      <c r="C1363" t="str">
        <f>IF(ISBLANK(Table4[[#This Row],[Region]]),Table4[[#This Row],[Node Type]],Table4[[#This Row],[Region]])</f>
        <v/>
      </c>
      <c r="E1363" t="str">
        <f>IF(ISERROR(SEARCH("Node",Table4[[#This Row],[Type]])),IF(ISERROR(SEARCH("Iliac",Table4[[#This Row],[Type]])),"",Table4[[#This Row],[Type]]),Table4[[#This Row],[Type]])</f>
        <v/>
      </c>
      <c r="J1363" t="s">
        <v>239</v>
      </c>
      <c r="L1363" t="s">
        <v>20</v>
      </c>
    </row>
    <row r="1364" spans="1:15" x14ac:dyDescent="0.25">
      <c r="A1364" t="s">
        <v>2760</v>
      </c>
      <c r="B1364" t="s">
        <v>77</v>
      </c>
      <c r="C1364" t="str">
        <f>IF(ISBLANK(Table4[[#This Row],[Region]]),Table4[[#This Row],[Node Type]],Table4[[#This Row],[Region]])</f>
        <v/>
      </c>
      <c r="E1364" t="str">
        <f>IF(ISERROR(SEARCH("Node",Table4[[#This Row],[Type]])),IF(ISERROR(SEARCH("Iliac",Table4[[#This Row],[Type]])),"",Table4[[#This Row],[Type]]),Table4[[#This Row],[Type]])</f>
        <v/>
      </c>
      <c r="I1364">
        <v>55.8</v>
      </c>
      <c r="L1364" t="s">
        <v>77</v>
      </c>
    </row>
    <row r="1365" spans="1:15" x14ac:dyDescent="0.25">
      <c r="A1365" t="s">
        <v>2627</v>
      </c>
      <c r="B1365" t="s">
        <v>173</v>
      </c>
      <c r="C1365" t="str">
        <f>IF(ISBLANK(Table4[[#This Row],[Region]]),Table4[[#This Row],[Node Type]],Table4[[#This Row],[Region]])</f>
        <v/>
      </c>
      <c r="E1365" t="str">
        <f>IF(ISERROR(SEARCH("Node",Table4[[#This Row],[Type]])),IF(ISERROR(SEARCH("Iliac",Table4[[#This Row],[Type]])),"",Table4[[#This Row],[Type]]),Table4[[#This Row],[Type]])</f>
        <v/>
      </c>
      <c r="J1365" t="s">
        <v>2628</v>
      </c>
      <c r="L1365" t="s">
        <v>46</v>
      </c>
      <c r="M1365" t="s">
        <v>235</v>
      </c>
    </row>
    <row r="1366" spans="1:15" x14ac:dyDescent="0.25">
      <c r="A1366" t="s">
        <v>2768</v>
      </c>
      <c r="B1366" t="s">
        <v>77</v>
      </c>
      <c r="C1366" t="str">
        <f>IF(ISBLANK(Table4[[#This Row],[Region]]),Table4[[#This Row],[Node Type]],Table4[[#This Row],[Region]])</f>
        <v/>
      </c>
      <c r="E1366" t="str">
        <f>IF(ISERROR(SEARCH("Node",Table4[[#This Row],[Type]])),IF(ISERROR(SEARCH("Iliac",Table4[[#This Row],[Type]])),"",Table4[[#This Row],[Type]]),Table4[[#This Row],[Type]])</f>
        <v/>
      </c>
      <c r="J1366" t="s">
        <v>83</v>
      </c>
      <c r="L1366" t="s">
        <v>77</v>
      </c>
    </row>
    <row r="1367" spans="1:15" x14ac:dyDescent="0.25">
      <c r="A1367" t="s">
        <v>2769</v>
      </c>
      <c r="B1367" t="s">
        <v>173</v>
      </c>
      <c r="C1367" t="str">
        <f>IF(ISBLANK(Table4[[#This Row],[Region]]),Table4[[#This Row],[Node Type]],Table4[[#This Row],[Region]])</f>
        <v/>
      </c>
      <c r="E1367" t="str">
        <f>IF(ISERROR(SEARCH("Node",Table4[[#This Row],[Type]])),IF(ISERROR(SEARCH("Iliac",Table4[[#This Row],[Type]])),"",Table4[[#This Row],[Type]]),Table4[[#This Row],[Type]])</f>
        <v/>
      </c>
      <c r="J1367" t="s">
        <v>2770</v>
      </c>
      <c r="L1367" t="s">
        <v>46</v>
      </c>
      <c r="M1367" t="s">
        <v>79</v>
      </c>
    </row>
    <row r="1368" spans="1:15" x14ac:dyDescent="0.25">
      <c r="A1368" t="s">
        <v>2771</v>
      </c>
      <c r="B1368" t="s">
        <v>46</v>
      </c>
      <c r="C1368" t="str">
        <f>IF(ISBLANK(Table4[[#This Row],[Region]]),Table4[[#This Row],[Node Type]],Table4[[#This Row],[Region]])</f>
        <v/>
      </c>
      <c r="E1368" t="str">
        <f>IF(ISERROR(SEARCH("Node",Table4[[#This Row],[Type]])),IF(ISERROR(SEARCH("Iliac",Table4[[#This Row],[Type]])),"",Table4[[#This Row],[Type]]),Table4[[#This Row],[Type]])</f>
        <v/>
      </c>
      <c r="J1368" t="s">
        <v>2770</v>
      </c>
      <c r="L1368" t="s">
        <v>46</v>
      </c>
    </row>
    <row r="1369" spans="1:15" x14ac:dyDescent="0.25">
      <c r="A1369" t="s">
        <v>2772</v>
      </c>
      <c r="B1369" t="s">
        <v>173</v>
      </c>
      <c r="C1369" t="str">
        <f>IF(ISBLANK(Table4[[#This Row],[Region]]),Table4[[#This Row],[Node Type]],Table4[[#This Row],[Region]])</f>
        <v/>
      </c>
      <c r="E1369" t="str">
        <f>IF(ISERROR(SEARCH("Node",Table4[[#This Row],[Type]])),IF(ISERROR(SEARCH("Iliac",Table4[[#This Row],[Type]])),"",Table4[[#This Row],[Type]]),Table4[[#This Row],[Type]])</f>
        <v/>
      </c>
      <c r="J1369" t="s">
        <v>2770</v>
      </c>
      <c r="L1369" t="s">
        <v>77</v>
      </c>
      <c r="O1369" t="s">
        <v>294</v>
      </c>
    </row>
    <row r="1370" spans="1:15" x14ac:dyDescent="0.25">
      <c r="A1370" t="s">
        <v>2773</v>
      </c>
      <c r="B1370" t="s">
        <v>173</v>
      </c>
      <c r="C1370" t="str">
        <f>IF(ISBLANK(Table4[[#This Row],[Region]]),Table4[[#This Row],[Node Type]],Table4[[#This Row],[Region]])</f>
        <v/>
      </c>
      <c r="E1370" t="str">
        <f>IF(ISERROR(SEARCH("Node",Table4[[#This Row],[Type]])),IF(ISERROR(SEARCH("Iliac",Table4[[#This Row],[Type]])),"",Table4[[#This Row],[Type]]),Table4[[#This Row],[Type]])</f>
        <v/>
      </c>
      <c r="J1370" t="s">
        <v>2770</v>
      </c>
      <c r="L1370" t="s">
        <v>46</v>
      </c>
      <c r="O1370" t="s">
        <v>294</v>
      </c>
    </row>
    <row r="1371" spans="1:15" x14ac:dyDescent="0.25">
      <c r="A1371" t="s">
        <v>1062</v>
      </c>
      <c r="B1371" t="s">
        <v>173</v>
      </c>
      <c r="C1371" t="str">
        <f>IF(ISBLANK(Table4[[#This Row],[Region]]),Table4[[#This Row],[Node Type]],Table4[[#This Row],[Region]])</f>
        <v/>
      </c>
      <c r="E1371" t="str">
        <f>IF(ISERROR(SEARCH("Node",Table4[[#This Row],[Type]])),IF(ISERROR(SEARCH("Iliac",Table4[[#This Row],[Type]])),"",Table4[[#This Row],[Type]]),Table4[[#This Row],[Type]])</f>
        <v/>
      </c>
      <c r="I1371">
        <v>70</v>
      </c>
      <c r="L1371" t="s">
        <v>46</v>
      </c>
    </row>
    <row r="1372" spans="1:15" x14ac:dyDescent="0.25">
      <c r="A1372" t="s">
        <v>1494</v>
      </c>
      <c r="B1372" t="s">
        <v>173</v>
      </c>
      <c r="C1372" t="str">
        <f>IF(ISBLANK(Table4[[#This Row],[Region]]),Table4[[#This Row],[Node Type]],Table4[[#This Row],[Region]])</f>
        <v/>
      </c>
      <c r="E1372" t="str">
        <f>IF(ISERROR(SEARCH("Node",Table4[[#This Row],[Type]])),IF(ISERROR(SEARCH("Iliac",Table4[[#This Row],[Type]])),"",Table4[[#This Row],[Type]]),Table4[[#This Row],[Type]])</f>
        <v/>
      </c>
      <c r="I1372">
        <v>60</v>
      </c>
      <c r="L1372" t="s">
        <v>46</v>
      </c>
    </row>
    <row r="1373" spans="1:15" x14ac:dyDescent="0.25">
      <c r="A1373" t="s">
        <v>399</v>
      </c>
      <c r="B1373" t="s">
        <v>173</v>
      </c>
      <c r="C1373" t="str">
        <f>IF(ISBLANK(Table4[[#This Row],[Region]]),Table4[[#This Row],[Node Type]],Table4[[#This Row],[Region]])</f>
        <v/>
      </c>
      <c r="E1373" t="str">
        <f>IF(ISERROR(SEARCH("Node",Table4[[#This Row],[Type]])),IF(ISERROR(SEARCH("Iliac",Table4[[#This Row],[Type]])),"",Table4[[#This Row],[Type]]),Table4[[#This Row],[Type]])</f>
        <v/>
      </c>
      <c r="I1373">
        <v>70</v>
      </c>
      <c r="L1373" t="s">
        <v>77</v>
      </c>
    </row>
    <row r="1374" spans="1:15" x14ac:dyDescent="0.25">
      <c r="A1374" t="s">
        <v>2779</v>
      </c>
      <c r="B1374" t="s">
        <v>173</v>
      </c>
      <c r="C1374" t="str">
        <f>IF(ISBLANK(Table4[[#This Row],[Region]]),Table4[[#This Row],[Node Type]],Table4[[#This Row],[Region]])</f>
        <v/>
      </c>
      <c r="E1374" t="str">
        <f>IF(ISERROR(SEARCH("Node",Table4[[#This Row],[Type]])),IF(ISERROR(SEARCH("Iliac",Table4[[#This Row],[Type]])),"",Table4[[#This Row],[Type]]),Table4[[#This Row],[Type]])</f>
        <v/>
      </c>
      <c r="L1374" t="s">
        <v>46</v>
      </c>
      <c r="M1374" t="s">
        <v>1309</v>
      </c>
    </row>
    <row r="1375" spans="1:15" x14ac:dyDescent="0.25">
      <c r="A1375" t="s">
        <v>2780</v>
      </c>
      <c r="B1375" t="s">
        <v>46</v>
      </c>
      <c r="C1375" t="str">
        <f>IF(ISBLANK(Table4[[#This Row],[Region]]),Table4[[#This Row],[Node Type]],Table4[[#This Row],[Region]])</f>
        <v/>
      </c>
      <c r="E1375" t="str">
        <f>IF(ISERROR(SEARCH("Node",Table4[[#This Row],[Type]])),IF(ISERROR(SEARCH("Iliac",Table4[[#This Row],[Type]])),"",Table4[[#This Row],[Type]]),Table4[[#This Row],[Type]])</f>
        <v/>
      </c>
      <c r="J1375" t="s">
        <v>1380</v>
      </c>
      <c r="L1375" t="s">
        <v>46</v>
      </c>
      <c r="M1375" t="s">
        <v>235</v>
      </c>
    </row>
    <row r="1376" spans="1:15" x14ac:dyDescent="0.25">
      <c r="A1376" t="s">
        <v>2781</v>
      </c>
      <c r="B1376" t="s">
        <v>46</v>
      </c>
      <c r="C1376" t="str">
        <f>IF(ISBLANK(Table4[[#This Row],[Region]]),Table4[[#This Row],[Node Type]],Table4[[#This Row],[Region]])</f>
        <v/>
      </c>
      <c r="E1376" t="str">
        <f>IF(ISERROR(SEARCH("Node",Table4[[#This Row],[Type]])),IF(ISERROR(SEARCH("Iliac",Table4[[#This Row],[Type]])),"",Table4[[#This Row],[Type]]),Table4[[#This Row],[Type]])</f>
        <v/>
      </c>
      <c r="K1376" t="s">
        <v>605</v>
      </c>
      <c r="L1376" t="s">
        <v>46</v>
      </c>
    </row>
    <row r="1377" spans="1:16" x14ac:dyDescent="0.25">
      <c r="A1377" t="s">
        <v>2783</v>
      </c>
      <c r="B1377" t="s">
        <v>173</v>
      </c>
      <c r="C1377" t="str">
        <f>IF(ISBLANK(Table4[[#This Row],[Region]]),Table4[[#This Row],[Node Type]],Table4[[#This Row],[Region]])</f>
        <v/>
      </c>
      <c r="E1377" t="str">
        <f>IF(ISERROR(SEARCH("Node",Table4[[#This Row],[Type]])),IF(ISERROR(SEARCH("Iliac",Table4[[#This Row],[Type]])),"",Table4[[#This Row],[Type]]),Table4[[#This Row],[Type]])</f>
        <v/>
      </c>
      <c r="J1377" t="s">
        <v>2628</v>
      </c>
      <c r="L1377" t="s">
        <v>77</v>
      </c>
      <c r="M1377" t="s">
        <v>235</v>
      </c>
    </row>
    <row r="1378" spans="1:16" x14ac:dyDescent="0.25">
      <c r="A1378" t="s">
        <v>2785</v>
      </c>
      <c r="B1378" t="s">
        <v>20</v>
      </c>
      <c r="C1378" t="str">
        <f>IF(ISBLANK(Table4[[#This Row],[Region]]),Table4[[#This Row],[Node Type]],Table4[[#This Row],[Region]])</f>
        <v/>
      </c>
      <c r="E1378" t="str">
        <f>IF(ISERROR(SEARCH("Node",Table4[[#This Row],[Type]])),IF(ISERROR(SEARCH("Iliac",Table4[[#This Row],[Type]])),"",Table4[[#This Row],[Type]]),Table4[[#This Row],[Type]])</f>
        <v/>
      </c>
      <c r="H1378">
        <v>2</v>
      </c>
      <c r="I1378">
        <v>27.5</v>
      </c>
      <c r="L1378" t="s">
        <v>20</v>
      </c>
    </row>
    <row r="1379" spans="1:16" x14ac:dyDescent="0.25">
      <c r="A1379" t="s">
        <v>2786</v>
      </c>
      <c r="B1379" t="s">
        <v>20</v>
      </c>
      <c r="C1379" t="str">
        <f>IF(ISBLANK(Table4[[#This Row],[Region]]),Table4[[#This Row],[Node Type]],Table4[[#This Row],[Region]])</f>
        <v/>
      </c>
      <c r="E1379" t="str">
        <f>IF(ISERROR(SEARCH("Node",Table4[[#This Row],[Type]])),IF(ISERROR(SEARCH("Iliac",Table4[[#This Row],[Type]])),"",Table4[[#This Row],[Type]]),Table4[[#This Row],[Type]])</f>
        <v/>
      </c>
      <c r="H1379">
        <v>1</v>
      </c>
      <c r="I1379">
        <v>27.5</v>
      </c>
      <c r="L1379" t="s">
        <v>20</v>
      </c>
    </row>
    <row r="1380" spans="1:16" x14ac:dyDescent="0.25">
      <c r="A1380" t="s">
        <v>2787</v>
      </c>
      <c r="B1380" t="s">
        <v>77</v>
      </c>
      <c r="C1380" t="str">
        <f>IF(ISBLANK(Table4[[#This Row],[Region]]),Table4[[#This Row],[Node Type]],Table4[[#This Row],[Region]])</f>
        <v/>
      </c>
      <c r="E1380" t="str">
        <f>IF(ISERROR(SEARCH("Node",Table4[[#This Row],[Type]])),IF(ISERROR(SEARCH("Iliac",Table4[[#This Row],[Type]])),"",Table4[[#This Row],[Type]]),Table4[[#This Row],[Type]])</f>
        <v/>
      </c>
      <c r="H1380">
        <v>2</v>
      </c>
      <c r="I1380">
        <v>27.5</v>
      </c>
      <c r="L1380" t="s">
        <v>77</v>
      </c>
    </row>
    <row r="1381" spans="1:16" x14ac:dyDescent="0.25">
      <c r="A1381" t="s">
        <v>2788</v>
      </c>
      <c r="B1381" t="s">
        <v>77</v>
      </c>
      <c r="C1381" t="str">
        <f>IF(ISBLANK(Table4[[#This Row],[Region]]),Table4[[#This Row],[Node Type]],Table4[[#This Row],[Region]])</f>
        <v/>
      </c>
      <c r="E1381" t="str">
        <f>IF(ISERROR(SEARCH("Node",Table4[[#This Row],[Type]])),IF(ISERROR(SEARCH("Iliac",Table4[[#This Row],[Type]])),"",Table4[[#This Row],[Type]]),Table4[[#This Row],[Type]])</f>
        <v/>
      </c>
      <c r="H1381">
        <v>2</v>
      </c>
      <c r="L1381" t="s">
        <v>77</v>
      </c>
      <c r="P1381" t="s">
        <v>85</v>
      </c>
    </row>
    <row r="1382" spans="1:16" x14ac:dyDescent="0.25">
      <c r="A1382" t="s">
        <v>2789</v>
      </c>
      <c r="B1382" t="s">
        <v>48</v>
      </c>
      <c r="C1382" t="str">
        <f>IF(ISBLANK(Table4[[#This Row],[Region]]),Table4[[#This Row],[Node Type]],Table4[[#This Row],[Region]])</f>
        <v>Node</v>
      </c>
      <c r="E1382" t="str">
        <f>IF(ISERROR(SEARCH("Node",Table4[[#This Row],[Type]])),IF(ISERROR(SEARCH("Iliac",Table4[[#This Row],[Type]])),"",Table4[[#This Row],[Type]]),Table4[[#This Row],[Type]])</f>
        <v>Node</v>
      </c>
      <c r="L1382" t="s">
        <v>49</v>
      </c>
      <c r="N1382" t="s">
        <v>106</v>
      </c>
    </row>
    <row r="1383" spans="1:16" x14ac:dyDescent="0.25">
      <c r="A1383" t="s">
        <v>2790</v>
      </c>
      <c r="B1383" t="s">
        <v>48</v>
      </c>
      <c r="C1383" t="str">
        <f>IF(ISBLANK(Table4[[#This Row],[Region]]),Table4[[#This Row],[Node Type]],Table4[[#This Row],[Region]])</f>
        <v>Node</v>
      </c>
      <c r="E1383" t="str">
        <f>IF(ISERROR(SEARCH("Node",Table4[[#This Row],[Type]])),IF(ISERROR(SEARCH("Iliac",Table4[[#This Row],[Type]])),"",Table4[[#This Row],[Type]]),Table4[[#This Row],[Type]])</f>
        <v>Node</v>
      </c>
      <c r="L1383" t="s">
        <v>49</v>
      </c>
      <c r="N1383" t="s">
        <v>108</v>
      </c>
    </row>
    <row r="1384" spans="1:16" x14ac:dyDescent="0.25">
      <c r="A1384" t="s">
        <v>141</v>
      </c>
      <c r="B1384" t="s">
        <v>173</v>
      </c>
      <c r="C1384" t="str">
        <f>IF(ISBLANK(Table4[[#This Row],[Region]]),Table4[[#This Row],[Node Type]],Table4[[#This Row],[Region]])</f>
        <v/>
      </c>
      <c r="E1384" t="str">
        <f>IF(ISERROR(SEARCH("Node",Table4[[#This Row],[Type]])),IF(ISERROR(SEARCH("Iliac",Table4[[#This Row],[Type]])),"",Table4[[#This Row],[Type]]),Table4[[#This Row],[Type]])</f>
        <v/>
      </c>
      <c r="L1384" t="s">
        <v>77</v>
      </c>
      <c r="M1384" t="s">
        <v>79</v>
      </c>
    </row>
    <row r="1385" spans="1:16" x14ac:dyDescent="0.25">
      <c r="A1385" t="s">
        <v>2794</v>
      </c>
      <c r="B1385" t="s">
        <v>46</v>
      </c>
      <c r="C1385" t="str">
        <f>IF(ISBLANK(Table4[[#This Row],[Region]]),Table4[[#This Row],[Node Type]],Table4[[#This Row],[Region]])</f>
        <v/>
      </c>
      <c r="E1385" t="str">
        <f>IF(ISERROR(SEARCH("Node",Table4[[#This Row],[Type]])),IF(ISERROR(SEARCH("Iliac",Table4[[#This Row],[Type]])),"",Table4[[#This Row],[Type]]),Table4[[#This Row],[Type]])</f>
        <v/>
      </c>
      <c r="H1385">
        <v>1</v>
      </c>
      <c r="I1385">
        <v>32.5</v>
      </c>
      <c r="L1385" t="s">
        <v>46</v>
      </c>
    </row>
    <row r="1386" spans="1:16" x14ac:dyDescent="0.25">
      <c r="A1386" t="s">
        <v>2796</v>
      </c>
      <c r="B1386" t="s">
        <v>77</v>
      </c>
      <c r="C1386" t="str">
        <f>IF(ISBLANK(Table4[[#This Row],[Region]]),Table4[[#This Row],[Node Type]],Table4[[#This Row],[Region]])</f>
        <v/>
      </c>
      <c r="E1386" t="str">
        <f>IF(ISERROR(SEARCH("Node",Table4[[#This Row],[Type]])),IF(ISERROR(SEARCH("Iliac",Table4[[#This Row],[Type]])),"",Table4[[#This Row],[Type]]),Table4[[#This Row],[Type]])</f>
        <v/>
      </c>
      <c r="I1386">
        <v>55</v>
      </c>
      <c r="L1386" t="s">
        <v>77</v>
      </c>
      <c r="O1386" t="s">
        <v>292</v>
      </c>
      <c r="P1386" t="s">
        <v>85</v>
      </c>
    </row>
    <row r="1387" spans="1:16" x14ac:dyDescent="0.25">
      <c r="A1387" t="s">
        <v>2797</v>
      </c>
      <c r="B1387" t="s">
        <v>77</v>
      </c>
      <c r="C1387" t="str">
        <f>IF(ISBLANK(Table4[[#This Row],[Region]]),Table4[[#This Row],[Node Type]],Table4[[#This Row],[Region]])</f>
        <v/>
      </c>
      <c r="E1387" t="str">
        <f>IF(ISERROR(SEARCH("Node",Table4[[#This Row],[Type]])),IF(ISERROR(SEARCH("Iliac",Table4[[#This Row],[Type]])),"",Table4[[#This Row],[Type]]),Table4[[#This Row],[Type]])</f>
        <v/>
      </c>
      <c r="I1387">
        <v>55</v>
      </c>
      <c r="L1387" t="s">
        <v>77</v>
      </c>
      <c r="O1387" t="s">
        <v>290</v>
      </c>
      <c r="P1387" t="s">
        <v>85</v>
      </c>
    </row>
    <row r="1388" spans="1:16" x14ac:dyDescent="0.25">
      <c r="A1388" t="s">
        <v>2800</v>
      </c>
      <c r="B1388" t="s">
        <v>77</v>
      </c>
      <c r="C1388" t="str">
        <f>IF(ISBLANK(Table4[[#This Row],[Region]]),Table4[[#This Row],[Node Type]],Table4[[#This Row],[Region]])</f>
        <v/>
      </c>
      <c r="E1388" t="str">
        <f>IF(ISERROR(SEARCH("Node",Table4[[#This Row],[Type]])),IF(ISERROR(SEARCH("Iliac",Table4[[#This Row],[Type]])),"",Table4[[#This Row],[Type]]),Table4[[#This Row],[Type]])</f>
        <v/>
      </c>
      <c r="J1388" t="s">
        <v>1159</v>
      </c>
      <c r="L1388" t="s">
        <v>77</v>
      </c>
    </row>
    <row r="1389" spans="1:16" x14ac:dyDescent="0.25">
      <c r="A1389" t="s">
        <v>2803</v>
      </c>
      <c r="B1389" t="s">
        <v>77</v>
      </c>
      <c r="C1389" t="str">
        <f>IF(ISBLANK(Table4[[#This Row],[Region]]),Table4[[#This Row],[Node Type]],Table4[[#This Row],[Region]])</f>
        <v/>
      </c>
      <c r="E1389" t="str">
        <f>IF(ISERROR(SEARCH("Node",Table4[[#This Row],[Type]])),IF(ISERROR(SEARCH("Iliac",Table4[[#This Row],[Type]])),"",Table4[[#This Row],[Type]]),Table4[[#This Row],[Type]])</f>
        <v/>
      </c>
      <c r="L1389" t="s">
        <v>77</v>
      </c>
      <c r="N1389" t="s">
        <v>108</v>
      </c>
    </row>
    <row r="1390" spans="1:16" x14ac:dyDescent="0.25">
      <c r="A1390" t="s">
        <v>2804</v>
      </c>
      <c r="B1390" t="s">
        <v>77</v>
      </c>
      <c r="C1390" t="str">
        <f>IF(ISBLANK(Table4[[#This Row],[Region]]),Table4[[#This Row],[Node Type]],Table4[[#This Row],[Region]])</f>
        <v/>
      </c>
      <c r="E1390" t="str">
        <f>IF(ISERROR(SEARCH("Node",Table4[[#This Row],[Type]])),IF(ISERROR(SEARCH("Iliac",Table4[[#This Row],[Type]])),"",Table4[[#This Row],[Type]]),Table4[[#This Row],[Type]])</f>
        <v/>
      </c>
      <c r="L1390" t="s">
        <v>77</v>
      </c>
      <c r="N1390" t="s">
        <v>106</v>
      </c>
    </row>
    <row r="1391" spans="1:16" x14ac:dyDescent="0.25">
      <c r="A1391" t="s">
        <v>20</v>
      </c>
      <c r="B1391" t="s">
        <v>46</v>
      </c>
      <c r="C1391" t="str">
        <f>IF(ISBLANK(Table4[[#This Row],[Region]]),Table4[[#This Row],[Node Type]],Table4[[#This Row],[Region]])</f>
        <v/>
      </c>
      <c r="E1391" t="str">
        <f>IF(ISERROR(SEARCH("Node",Table4[[#This Row],[Type]])),IF(ISERROR(SEARCH("Iliac",Table4[[#This Row],[Type]])),"",Table4[[#This Row],[Type]]),Table4[[#This Row],[Type]])</f>
        <v/>
      </c>
      <c r="L1391" t="s">
        <v>20</v>
      </c>
    </row>
    <row r="1392" spans="1:16" x14ac:dyDescent="0.25">
      <c r="A1392" t="s">
        <v>2806</v>
      </c>
      <c r="B1392" t="s">
        <v>77</v>
      </c>
      <c r="C1392" t="str">
        <f>IF(ISBLANK(Table4[[#This Row],[Region]]),Table4[[#This Row],[Node Type]],Table4[[#This Row],[Region]])</f>
        <v/>
      </c>
      <c r="E1392" t="str">
        <f>IF(ISERROR(SEARCH("Node",Table4[[#This Row],[Type]])),IF(ISERROR(SEARCH("Iliac",Table4[[#This Row],[Type]])),"",Table4[[#This Row],[Type]]),Table4[[#This Row],[Type]])</f>
        <v/>
      </c>
      <c r="J1392" t="s">
        <v>1161</v>
      </c>
      <c r="L1392" t="s">
        <v>77</v>
      </c>
    </row>
    <row r="1393" spans="1:17" x14ac:dyDescent="0.25">
      <c r="A1393" t="s">
        <v>2807</v>
      </c>
      <c r="B1393" t="s">
        <v>77</v>
      </c>
      <c r="C1393" t="str">
        <f>IF(ISBLANK(Table4[[#This Row],[Region]]),Table4[[#This Row],[Node Type]],Table4[[#This Row],[Region]])</f>
        <v/>
      </c>
      <c r="E1393" t="str">
        <f>IF(ISERROR(SEARCH("Node",Table4[[#This Row],[Type]])),IF(ISERROR(SEARCH("Iliac",Table4[[#This Row],[Type]])),"",Table4[[#This Row],[Type]]),Table4[[#This Row],[Type]])</f>
        <v/>
      </c>
      <c r="J1393" t="s">
        <v>2808</v>
      </c>
      <c r="L1393" t="s">
        <v>77</v>
      </c>
    </row>
    <row r="1394" spans="1:17" x14ac:dyDescent="0.25">
      <c r="A1394" t="s">
        <v>2809</v>
      </c>
      <c r="B1394" t="s">
        <v>20</v>
      </c>
      <c r="C1394" t="str">
        <f>IF(ISBLANK(Table4[[#This Row],[Region]]),Table4[[#This Row],[Node Type]],Table4[[#This Row],[Region]])</f>
        <v/>
      </c>
      <c r="E1394" t="str">
        <f>IF(ISERROR(SEARCH("Node",Table4[[#This Row],[Type]])),IF(ISERROR(SEARCH("Iliac",Table4[[#This Row],[Type]])),"",Table4[[#This Row],[Type]]),Table4[[#This Row],[Type]])</f>
        <v/>
      </c>
      <c r="J1394" t="s">
        <v>2808</v>
      </c>
      <c r="L1394" t="s">
        <v>20</v>
      </c>
    </row>
    <row r="1395" spans="1:17" x14ac:dyDescent="0.25">
      <c r="A1395" t="s">
        <v>2814</v>
      </c>
      <c r="B1395" t="s">
        <v>77</v>
      </c>
      <c r="C1395" t="str">
        <f>IF(ISBLANK(Table4[[#This Row],[Region]]),Table4[[#This Row],[Node Type]],Table4[[#This Row],[Region]])</f>
        <v/>
      </c>
      <c r="E1395" t="str">
        <f>IF(ISERROR(SEARCH("Node",Table4[[#This Row],[Type]])),IF(ISERROR(SEARCH("Iliac",Table4[[#This Row],[Type]])),"",Table4[[#This Row],[Type]]),Table4[[#This Row],[Type]])</f>
        <v/>
      </c>
      <c r="I1395">
        <v>56</v>
      </c>
      <c r="L1395" t="s">
        <v>77</v>
      </c>
      <c r="N1395" t="s">
        <v>108</v>
      </c>
      <c r="P1395" t="s">
        <v>85</v>
      </c>
    </row>
    <row r="1396" spans="1:17" x14ac:dyDescent="0.25">
      <c r="A1396" t="s">
        <v>2815</v>
      </c>
      <c r="B1396" t="s">
        <v>46</v>
      </c>
      <c r="C1396" t="str">
        <f>IF(ISBLANK(Table4[[#This Row],[Region]]),Table4[[#This Row],[Node Type]],Table4[[#This Row],[Region]])</f>
        <v/>
      </c>
      <c r="E1396" t="str">
        <f>IF(ISERROR(SEARCH("Node",Table4[[#This Row],[Type]])),IF(ISERROR(SEARCH("Iliac",Table4[[#This Row],[Type]])),"",Table4[[#This Row],[Type]]),Table4[[#This Row],[Type]])</f>
        <v/>
      </c>
      <c r="L1396" t="s">
        <v>45</v>
      </c>
      <c r="Q1396" t="s">
        <v>2816</v>
      </c>
    </row>
    <row r="1397" spans="1:17" x14ac:dyDescent="0.25">
      <c r="A1397" t="s">
        <v>2817</v>
      </c>
      <c r="B1397" t="s">
        <v>77</v>
      </c>
      <c r="C1397" t="str">
        <f>IF(ISBLANK(Table4[[#This Row],[Region]]),Table4[[#This Row],[Node Type]],Table4[[#This Row],[Region]])</f>
        <v/>
      </c>
      <c r="E1397" t="str">
        <f>IF(ISERROR(SEARCH("Node",Table4[[#This Row],[Type]])),IF(ISERROR(SEARCH("Iliac",Table4[[#This Row],[Type]])),"",Table4[[#This Row],[Type]]),Table4[[#This Row],[Type]])</f>
        <v/>
      </c>
      <c r="L1397" t="s">
        <v>77</v>
      </c>
      <c r="Q1397" t="s">
        <v>2818</v>
      </c>
    </row>
    <row r="1398" spans="1:17" x14ac:dyDescent="0.25">
      <c r="A1398" t="s">
        <v>2819</v>
      </c>
      <c r="B1398" t="s">
        <v>77</v>
      </c>
      <c r="C1398" t="str">
        <f>IF(ISBLANK(Table4[[#This Row],[Region]]),Table4[[#This Row],[Node Type]],Table4[[#This Row],[Region]])</f>
        <v/>
      </c>
      <c r="E1398" t="str">
        <f>IF(ISERROR(SEARCH("Node",Table4[[#This Row],[Type]])),IF(ISERROR(SEARCH("Iliac",Table4[[#This Row],[Type]])),"",Table4[[#This Row],[Type]]),Table4[[#This Row],[Type]])</f>
        <v/>
      </c>
      <c r="I1398">
        <v>45</v>
      </c>
      <c r="L1398" t="s">
        <v>77</v>
      </c>
      <c r="Q1398" t="s">
        <v>2816</v>
      </c>
    </row>
    <row r="1399" spans="1:17" x14ac:dyDescent="0.25">
      <c r="A1399" t="s">
        <v>2822</v>
      </c>
      <c r="B1399" t="s">
        <v>46</v>
      </c>
      <c r="C1399" t="str">
        <f>IF(ISBLANK(Table4[[#This Row],[Region]]),Table4[[#This Row],[Node Type]],Table4[[#This Row],[Region]])</f>
        <v/>
      </c>
      <c r="E1399" t="str">
        <f>IF(ISERROR(SEARCH("Node",Table4[[#This Row],[Type]])),IF(ISERROR(SEARCH("Iliac",Table4[[#This Row],[Type]])),"",Table4[[#This Row],[Type]]),Table4[[#This Row],[Type]])</f>
        <v/>
      </c>
      <c r="J1399" t="s">
        <v>2823</v>
      </c>
      <c r="L1399" t="s">
        <v>46</v>
      </c>
      <c r="Q1399" t="s">
        <v>2816</v>
      </c>
    </row>
    <row r="1400" spans="1:17" x14ac:dyDescent="0.25">
      <c r="A1400" t="s">
        <v>2824</v>
      </c>
      <c r="B1400" t="s">
        <v>20</v>
      </c>
      <c r="C1400" t="str">
        <f>IF(ISBLANK(Table4[[#This Row],[Region]]),Table4[[#This Row],[Node Type]],Table4[[#This Row],[Region]])</f>
        <v/>
      </c>
      <c r="E1400" t="str">
        <f>IF(ISERROR(SEARCH("Node",Table4[[#This Row],[Type]])),IF(ISERROR(SEARCH("Iliac",Table4[[#This Row],[Type]])),"",Table4[[#This Row],[Type]]),Table4[[#This Row],[Type]])</f>
        <v/>
      </c>
      <c r="L1400" t="s">
        <v>20</v>
      </c>
      <c r="Q1400" t="s">
        <v>2816</v>
      </c>
    </row>
    <row r="1401" spans="1:17" x14ac:dyDescent="0.25">
      <c r="A1401" t="s">
        <v>2825</v>
      </c>
      <c r="B1401" t="s">
        <v>46</v>
      </c>
      <c r="C1401" t="str">
        <f>IF(ISBLANK(Table4[[#This Row],[Region]]),Table4[[#This Row],[Node Type]],Table4[[#This Row],[Region]])</f>
        <v/>
      </c>
      <c r="E1401" t="str">
        <f>IF(ISERROR(SEARCH("Node",Table4[[#This Row],[Type]])),IF(ISERROR(SEARCH("Iliac",Table4[[#This Row],[Type]])),"",Table4[[#This Row],[Type]]),Table4[[#This Row],[Type]])</f>
        <v/>
      </c>
      <c r="L1401" t="s">
        <v>46</v>
      </c>
      <c r="Q1401" t="s">
        <v>2826</v>
      </c>
    </row>
    <row r="1402" spans="1:17" x14ac:dyDescent="0.25">
      <c r="A1402" t="s">
        <v>2828</v>
      </c>
      <c r="B1402" t="s">
        <v>77</v>
      </c>
      <c r="C1402" t="str">
        <f>IF(ISBLANK(Table4[[#This Row],[Region]]),Table4[[#This Row],[Node Type]],Table4[[#This Row],[Region]])</f>
        <v/>
      </c>
      <c r="E1402" t="str">
        <f>IF(ISERROR(SEARCH("Node",Table4[[#This Row],[Type]])),IF(ISERROR(SEARCH("Iliac",Table4[[#This Row],[Type]])),"",Table4[[#This Row],[Type]]),Table4[[#This Row],[Type]])</f>
        <v/>
      </c>
      <c r="L1402" t="s">
        <v>77</v>
      </c>
      <c r="M1402" t="s">
        <v>79</v>
      </c>
    </row>
    <row r="1403" spans="1:17" x14ac:dyDescent="0.25">
      <c r="A1403" t="s">
        <v>2829</v>
      </c>
      <c r="B1403" t="s">
        <v>77</v>
      </c>
      <c r="C1403" t="str">
        <f>IF(ISBLANK(Table4[[#This Row],[Region]]),Table4[[#This Row],[Node Type]],Table4[[#This Row],[Region]])</f>
        <v/>
      </c>
      <c r="E1403" t="str">
        <f>IF(ISERROR(SEARCH("Node",Table4[[#This Row],[Type]])),IF(ISERROR(SEARCH("Iliac",Table4[[#This Row],[Type]])),"",Table4[[#This Row],[Type]]),Table4[[#This Row],[Type]])</f>
        <v/>
      </c>
      <c r="L1403" t="s">
        <v>77</v>
      </c>
      <c r="M1403" t="s">
        <v>79</v>
      </c>
    </row>
    <row r="1404" spans="1:17" x14ac:dyDescent="0.25">
      <c r="A1404" t="s">
        <v>2830</v>
      </c>
      <c r="B1404" t="s">
        <v>77</v>
      </c>
      <c r="C1404" t="str">
        <f>IF(ISBLANK(Table4[[#This Row],[Region]]),Table4[[#This Row],[Node Type]],Table4[[#This Row],[Region]])</f>
        <v/>
      </c>
      <c r="E1404" t="str">
        <f>IF(ISERROR(SEARCH("Node",Table4[[#This Row],[Type]])),IF(ISERROR(SEARCH("Iliac",Table4[[#This Row],[Type]])),"",Table4[[#This Row],[Type]]),Table4[[#This Row],[Type]])</f>
        <v/>
      </c>
      <c r="I1404">
        <v>55.8</v>
      </c>
      <c r="L1404" t="s">
        <v>77</v>
      </c>
      <c r="P1404" t="s">
        <v>83</v>
      </c>
    </row>
    <row r="1405" spans="1:17" x14ac:dyDescent="0.25">
      <c r="A1405" t="s">
        <v>2832</v>
      </c>
      <c r="B1405" t="s">
        <v>77</v>
      </c>
      <c r="C1405" t="str">
        <f>IF(ISBLANK(Table4[[#This Row],[Region]]),Table4[[#This Row],[Node Type]],Table4[[#This Row],[Region]])</f>
        <v/>
      </c>
      <c r="E1405" t="str">
        <f>IF(ISERROR(SEARCH("Node",Table4[[#This Row],[Type]])),IF(ISERROR(SEARCH("Iliac",Table4[[#This Row],[Type]])),"",Table4[[#This Row],[Type]]),Table4[[#This Row],[Type]])</f>
        <v/>
      </c>
      <c r="I1405">
        <v>55.8</v>
      </c>
      <c r="L1405" t="s">
        <v>77</v>
      </c>
      <c r="N1405" t="s">
        <v>106</v>
      </c>
      <c r="O1405" t="s">
        <v>290</v>
      </c>
      <c r="P1405" t="s">
        <v>85</v>
      </c>
    </row>
    <row r="1406" spans="1:17" x14ac:dyDescent="0.25">
      <c r="A1406" t="s">
        <v>2833</v>
      </c>
      <c r="B1406" t="s">
        <v>77</v>
      </c>
      <c r="C1406" t="str">
        <f>IF(ISBLANK(Table4[[#This Row],[Region]]),Table4[[#This Row],[Node Type]],Table4[[#This Row],[Region]])</f>
        <v/>
      </c>
      <c r="E1406" t="str">
        <f>IF(ISERROR(SEARCH("Node",Table4[[#This Row],[Type]])),IF(ISERROR(SEARCH("Iliac",Table4[[#This Row],[Type]])),"",Table4[[#This Row],[Type]]),Table4[[#This Row],[Type]])</f>
        <v/>
      </c>
      <c r="I1406">
        <v>55.8</v>
      </c>
      <c r="L1406" t="s">
        <v>77</v>
      </c>
      <c r="N1406" t="s">
        <v>106</v>
      </c>
      <c r="O1406" t="s">
        <v>292</v>
      </c>
      <c r="P1406" t="s">
        <v>85</v>
      </c>
    </row>
    <row r="1407" spans="1:17" x14ac:dyDescent="0.25">
      <c r="A1407" t="s">
        <v>2834</v>
      </c>
      <c r="B1407" t="s">
        <v>77</v>
      </c>
      <c r="C1407" t="str">
        <f>IF(ISBLANK(Table4[[#This Row],[Region]]),Table4[[#This Row],[Node Type]],Table4[[#This Row],[Region]])</f>
        <v/>
      </c>
      <c r="E1407" t="str">
        <f>IF(ISERROR(SEARCH("Node",Table4[[#This Row],[Type]])),IF(ISERROR(SEARCH("Iliac",Table4[[#This Row],[Type]])),"",Table4[[#This Row],[Type]]),Table4[[#This Row],[Type]])</f>
        <v/>
      </c>
      <c r="I1407">
        <v>59.4</v>
      </c>
      <c r="L1407" t="s">
        <v>77</v>
      </c>
      <c r="N1407" t="s">
        <v>108</v>
      </c>
      <c r="O1407" t="s">
        <v>290</v>
      </c>
      <c r="P1407" t="s">
        <v>85</v>
      </c>
    </row>
    <row r="1408" spans="1:17" x14ac:dyDescent="0.25">
      <c r="A1408" t="s">
        <v>2835</v>
      </c>
      <c r="B1408" t="s">
        <v>77</v>
      </c>
      <c r="C1408" t="str">
        <f>IF(ISBLANK(Table4[[#This Row],[Region]]),Table4[[#This Row],[Node Type]],Table4[[#This Row],[Region]])</f>
        <v/>
      </c>
      <c r="E1408" t="str">
        <f>IF(ISERROR(SEARCH("Node",Table4[[#This Row],[Type]])),IF(ISERROR(SEARCH("Iliac",Table4[[#This Row],[Type]])),"",Table4[[#This Row],[Type]]),Table4[[#This Row],[Type]])</f>
        <v/>
      </c>
      <c r="I1408">
        <v>59.4</v>
      </c>
      <c r="L1408" t="s">
        <v>77</v>
      </c>
      <c r="N1408" t="s">
        <v>108</v>
      </c>
      <c r="O1408" t="s">
        <v>292</v>
      </c>
      <c r="P1408" t="s">
        <v>85</v>
      </c>
    </row>
    <row r="1409" spans="1:17" x14ac:dyDescent="0.25">
      <c r="A1409" t="s">
        <v>2837</v>
      </c>
      <c r="B1409" t="s">
        <v>46</v>
      </c>
      <c r="C1409" t="str">
        <f>IF(ISBLANK(Table4[[#This Row],[Region]]),Table4[[#This Row],[Node Type]],Table4[[#This Row],[Region]])</f>
        <v/>
      </c>
      <c r="E1409" t="str">
        <f>IF(ISERROR(SEARCH("Node",Table4[[#This Row],[Type]])),IF(ISERROR(SEARCH("Iliac",Table4[[#This Row],[Type]])),"",Table4[[#This Row],[Type]]),Table4[[#This Row],[Type]])</f>
        <v/>
      </c>
      <c r="J1409" t="s">
        <v>2838</v>
      </c>
      <c r="L1409" t="s">
        <v>46</v>
      </c>
      <c r="M1409" t="s">
        <v>235</v>
      </c>
    </row>
    <row r="1410" spans="1:17" x14ac:dyDescent="0.25">
      <c r="A1410" t="s">
        <v>2839</v>
      </c>
      <c r="B1410" t="s">
        <v>77</v>
      </c>
      <c r="C1410" t="str">
        <f>IF(ISBLANK(Table4[[#This Row],[Region]]),Table4[[#This Row],[Node Type]],Table4[[#This Row],[Region]])</f>
        <v/>
      </c>
      <c r="E1410" t="str">
        <f>IF(ISERROR(SEARCH("Node",Table4[[#This Row],[Type]])),IF(ISERROR(SEARCH("Iliac",Table4[[#This Row],[Type]])),"",Table4[[#This Row],[Type]]),Table4[[#This Row],[Type]])</f>
        <v/>
      </c>
      <c r="J1410" t="s">
        <v>859</v>
      </c>
      <c r="L1410" t="s">
        <v>77</v>
      </c>
      <c r="M1410" t="s">
        <v>79</v>
      </c>
      <c r="P1410" t="s">
        <v>83</v>
      </c>
    </row>
    <row r="1411" spans="1:17" x14ac:dyDescent="0.25">
      <c r="A1411" t="s">
        <v>2840</v>
      </c>
      <c r="B1411" t="s">
        <v>77</v>
      </c>
      <c r="C1411" t="str">
        <f>IF(ISBLANK(Table4[[#This Row],[Region]]),Table4[[#This Row],[Node Type]],Table4[[#This Row],[Region]])</f>
        <v/>
      </c>
      <c r="E1411" t="str">
        <f>IF(ISERROR(SEARCH("Node",Table4[[#This Row],[Type]])),IF(ISERROR(SEARCH("Iliac",Table4[[#This Row],[Type]])),"",Table4[[#This Row],[Type]]),Table4[[#This Row],[Type]])</f>
        <v/>
      </c>
      <c r="J1411" t="s">
        <v>2838</v>
      </c>
      <c r="L1411" t="s">
        <v>77</v>
      </c>
      <c r="M1411" t="s">
        <v>235</v>
      </c>
    </row>
    <row r="1412" spans="1:17" x14ac:dyDescent="0.25">
      <c r="A1412" t="s">
        <v>2842</v>
      </c>
      <c r="B1412" t="s">
        <v>77</v>
      </c>
      <c r="C1412" t="str">
        <f>IF(ISBLANK(Table4[[#This Row],[Region]]),Table4[[#This Row],[Node Type]],Table4[[#This Row],[Region]])</f>
        <v/>
      </c>
      <c r="E1412" t="str">
        <f>IF(ISERROR(SEARCH("Node",Table4[[#This Row],[Type]])),IF(ISERROR(SEARCH("Iliac",Table4[[#This Row],[Type]])),"",Table4[[#This Row],[Type]]),Table4[[#This Row],[Type]])</f>
        <v/>
      </c>
      <c r="I1412">
        <v>50.4</v>
      </c>
      <c r="L1412" t="s">
        <v>77</v>
      </c>
    </row>
    <row r="1413" spans="1:17" x14ac:dyDescent="0.25">
      <c r="A1413" t="s">
        <v>2847</v>
      </c>
      <c r="B1413" t="s">
        <v>46</v>
      </c>
      <c r="C1413" t="str">
        <f>IF(ISBLANK(Table4[[#This Row],[Region]]),Table4[[#This Row],[Node Type]],Table4[[#This Row],[Region]])</f>
        <v/>
      </c>
      <c r="E1413" t="str">
        <f>IF(ISERROR(SEARCH("Node",Table4[[#This Row],[Type]])),IF(ISERROR(SEARCH("Iliac",Table4[[#This Row],[Type]])),"",Table4[[#This Row],[Type]]),Table4[[#This Row],[Type]])</f>
        <v/>
      </c>
      <c r="J1413" t="s">
        <v>1945</v>
      </c>
      <c r="L1413" t="s">
        <v>46</v>
      </c>
      <c r="M1413" t="s">
        <v>137</v>
      </c>
    </row>
    <row r="1414" spans="1:17" x14ac:dyDescent="0.25">
      <c r="A1414" t="s">
        <v>1091</v>
      </c>
      <c r="B1414" t="s">
        <v>173</v>
      </c>
      <c r="C1414" t="str">
        <f>IF(ISBLANK(Table4[[#This Row],[Region]]),Table4[[#This Row],[Node Type]],Table4[[#This Row],[Region]])</f>
        <v/>
      </c>
      <c r="E1414" t="str">
        <f>IF(ISERROR(SEARCH("Node",Table4[[#This Row],[Type]])),IF(ISERROR(SEARCH("Iliac",Table4[[#This Row],[Type]])),"",Table4[[#This Row],[Type]]),Table4[[#This Row],[Type]])</f>
        <v/>
      </c>
      <c r="I1414">
        <v>30</v>
      </c>
      <c r="L1414" t="s">
        <v>77</v>
      </c>
    </row>
    <row r="1415" spans="1:17" x14ac:dyDescent="0.25">
      <c r="A1415" t="s">
        <v>2848</v>
      </c>
      <c r="B1415" t="s">
        <v>77</v>
      </c>
      <c r="C1415" t="str">
        <f>IF(ISBLANK(Table4[[#This Row],[Region]]),Table4[[#This Row],[Node Type]],Table4[[#This Row],[Region]])</f>
        <v/>
      </c>
      <c r="E1415" t="str">
        <f>IF(ISERROR(SEARCH("Node",Table4[[#This Row],[Type]])),IF(ISERROR(SEARCH("Iliac",Table4[[#This Row],[Type]])),"",Table4[[#This Row],[Type]]),Table4[[#This Row],[Type]])</f>
        <v/>
      </c>
      <c r="I1415">
        <v>36</v>
      </c>
      <c r="L1415" t="s">
        <v>77</v>
      </c>
      <c r="P1415" t="s">
        <v>85</v>
      </c>
    </row>
    <row r="1416" spans="1:17" x14ac:dyDescent="0.25">
      <c r="A1416" t="s">
        <v>2849</v>
      </c>
      <c r="B1416" t="s">
        <v>77</v>
      </c>
      <c r="C1416" t="str">
        <f>IF(ISBLANK(Table4[[#This Row],[Region]]),Table4[[#This Row],[Node Type]],Table4[[#This Row],[Region]])</f>
        <v/>
      </c>
      <c r="E1416" t="str">
        <f>IF(ISERROR(SEARCH("Node",Table4[[#This Row],[Type]])),IF(ISERROR(SEARCH("Iliac",Table4[[#This Row],[Type]])),"",Table4[[#This Row],[Type]]),Table4[[#This Row],[Type]])</f>
        <v/>
      </c>
      <c r="I1416">
        <v>30</v>
      </c>
      <c r="L1416" t="s">
        <v>77</v>
      </c>
      <c r="P1416" t="s">
        <v>85</v>
      </c>
    </row>
    <row r="1417" spans="1:17" x14ac:dyDescent="0.25">
      <c r="A1417" t="s">
        <v>2852</v>
      </c>
      <c r="B1417" t="s">
        <v>46</v>
      </c>
      <c r="C1417" t="str">
        <f>IF(ISBLANK(Table4[[#This Row],[Region]]),Table4[[#This Row],[Node Type]],Table4[[#This Row],[Region]])</f>
        <v/>
      </c>
      <c r="E1417" t="str">
        <f>IF(ISERROR(SEARCH("Node",Table4[[#This Row],[Type]])),IF(ISERROR(SEARCH("Iliac",Table4[[#This Row],[Type]])),"",Table4[[#This Row],[Type]]),Table4[[#This Row],[Type]])</f>
        <v/>
      </c>
      <c r="J1417" t="s">
        <v>1292</v>
      </c>
      <c r="L1417" t="s">
        <v>46</v>
      </c>
    </row>
    <row r="1418" spans="1:17" x14ac:dyDescent="0.25">
      <c r="A1418" t="s">
        <v>2856</v>
      </c>
      <c r="B1418" t="s">
        <v>77</v>
      </c>
      <c r="C1418" t="str">
        <f>IF(ISBLANK(Table4[[#This Row],[Region]]),Table4[[#This Row],[Node Type]],Table4[[#This Row],[Region]])</f>
        <v/>
      </c>
      <c r="E1418" t="str">
        <f>IF(ISERROR(SEARCH("Node",Table4[[#This Row],[Type]])),IF(ISERROR(SEARCH("Iliac",Table4[[#This Row],[Type]])),"",Table4[[#This Row],[Type]]),Table4[[#This Row],[Type]])</f>
        <v/>
      </c>
      <c r="I1418">
        <v>50</v>
      </c>
      <c r="L1418" t="s">
        <v>77</v>
      </c>
      <c r="Q1418" t="s">
        <v>46</v>
      </c>
    </row>
    <row r="1419" spans="1:17" x14ac:dyDescent="0.25">
      <c r="A1419" t="s">
        <v>1632</v>
      </c>
      <c r="B1419" t="s">
        <v>173</v>
      </c>
      <c r="C1419" t="str">
        <f>IF(ISBLANK(Table4[[#This Row],[Region]]),Table4[[#This Row],[Node Type]],Table4[[#This Row],[Region]])</f>
        <v/>
      </c>
      <c r="E1419" t="str">
        <f>IF(ISERROR(SEARCH("Node",Table4[[#This Row],[Type]])),IF(ISERROR(SEARCH("Iliac",Table4[[#This Row],[Type]])),"",Table4[[#This Row],[Type]]),Table4[[#This Row],[Type]])</f>
        <v/>
      </c>
      <c r="L1419" t="s">
        <v>77</v>
      </c>
      <c r="P1419" t="s">
        <v>85</v>
      </c>
    </row>
    <row r="1420" spans="1:17" x14ac:dyDescent="0.25">
      <c r="A1420" t="s">
        <v>2859</v>
      </c>
      <c r="B1420" t="s">
        <v>46</v>
      </c>
      <c r="C1420" t="str">
        <f>IF(ISBLANK(Table4[[#This Row],[Region]]),Table4[[#This Row],[Node Type]],Table4[[#This Row],[Region]])</f>
        <v/>
      </c>
      <c r="E1420" t="str">
        <f>IF(ISERROR(SEARCH("Node",Table4[[#This Row],[Type]])),IF(ISERROR(SEARCH("Iliac",Table4[[#This Row],[Type]])),"",Table4[[#This Row],[Type]]),Table4[[#This Row],[Type]])</f>
        <v/>
      </c>
      <c r="I1420">
        <v>24</v>
      </c>
      <c r="L1420" t="s">
        <v>46</v>
      </c>
    </row>
    <row r="1421" spans="1:17" x14ac:dyDescent="0.25">
      <c r="A1421" t="s">
        <v>2860</v>
      </c>
      <c r="B1421" t="s">
        <v>77</v>
      </c>
      <c r="C1421" t="str">
        <f>IF(ISBLANK(Table4[[#This Row],[Region]]),Table4[[#This Row],[Node Type]],Table4[[#This Row],[Region]])</f>
        <v/>
      </c>
      <c r="E1421" t="str">
        <f>IF(ISERROR(SEARCH("Node",Table4[[#This Row],[Type]])),IF(ISERROR(SEARCH("Iliac",Table4[[#This Row],[Type]])),"",Table4[[#This Row],[Type]]),Table4[[#This Row],[Type]])</f>
        <v/>
      </c>
      <c r="I1421">
        <v>24</v>
      </c>
      <c r="L1421" t="s">
        <v>77</v>
      </c>
      <c r="P1421" t="s">
        <v>85</v>
      </c>
    </row>
    <row r="1422" spans="1:17" x14ac:dyDescent="0.25">
      <c r="A1422" t="s">
        <v>2864</v>
      </c>
      <c r="B1422" t="s">
        <v>48</v>
      </c>
      <c r="C1422" t="str">
        <f>IF(ISBLANK(Table4[[#This Row],[Region]]),Table4[[#This Row],[Node Type]],Table4[[#This Row],[Region]])</f>
        <v/>
      </c>
      <c r="E1422" t="str">
        <f>IF(ISERROR(SEARCH("Node",Table4[[#This Row],[Type]])),IF(ISERROR(SEARCH("Iliac",Table4[[#This Row],[Type]])),"",Table4[[#This Row],[Type]]),Table4[[#This Row],[Type]])</f>
        <v/>
      </c>
      <c r="L1422" t="s">
        <v>20</v>
      </c>
      <c r="M1422" t="s">
        <v>79</v>
      </c>
    </row>
    <row r="1423" spans="1:17" x14ac:dyDescent="0.25">
      <c r="A1423" t="s">
        <v>2865</v>
      </c>
      <c r="B1423" t="s">
        <v>20</v>
      </c>
      <c r="C1423" t="str">
        <f>IF(ISBLANK(Table4[[#This Row],[Region]]),Table4[[#This Row],[Node Type]],Table4[[#This Row],[Region]])</f>
        <v/>
      </c>
      <c r="E1423" t="str">
        <f>IF(ISERROR(SEARCH("Node",Table4[[#This Row],[Type]])),IF(ISERROR(SEARCH("Iliac",Table4[[#This Row],[Type]])),"",Table4[[#This Row],[Type]]),Table4[[#This Row],[Type]])</f>
        <v/>
      </c>
      <c r="L1423" t="s">
        <v>20</v>
      </c>
      <c r="M1423" t="s">
        <v>79</v>
      </c>
    </row>
    <row r="1424" spans="1:17" x14ac:dyDescent="0.25">
      <c r="A1424" t="s">
        <v>2061</v>
      </c>
      <c r="B1424" t="s">
        <v>48</v>
      </c>
      <c r="C1424" t="str">
        <f>IF(ISBLANK(Table4[[#This Row],[Region]]),Table4[[#This Row],[Node Type]],Table4[[#This Row],[Region]])</f>
        <v/>
      </c>
      <c r="E1424" t="str">
        <f>IF(ISERROR(SEARCH("Node",Table4[[#This Row],[Type]])),IF(ISERROR(SEARCH("Iliac",Table4[[#This Row],[Type]])),"",Table4[[#This Row],[Type]]),Table4[[#This Row],[Type]])</f>
        <v/>
      </c>
      <c r="I1424">
        <v>40</v>
      </c>
      <c r="L1424" t="s">
        <v>46</v>
      </c>
    </row>
    <row r="1425" spans="1:19" x14ac:dyDescent="0.25">
      <c r="A1425" t="s">
        <v>2879</v>
      </c>
      <c r="B1425" t="s">
        <v>77</v>
      </c>
      <c r="C1425" t="str">
        <f>IF(ISBLANK(Table4[[#This Row],[Region]]),Table4[[#This Row],[Node Type]],Table4[[#This Row],[Region]])</f>
        <v/>
      </c>
      <c r="E1425" t="str">
        <f>IF(ISERROR(SEARCH("Node",Table4[[#This Row],[Type]])),IF(ISERROR(SEARCH("Iliac",Table4[[#This Row],[Type]])),"",Table4[[#This Row],[Type]]),Table4[[#This Row],[Type]])</f>
        <v/>
      </c>
      <c r="I1425">
        <v>56</v>
      </c>
      <c r="L1425" t="s">
        <v>77</v>
      </c>
      <c r="O1425" t="s">
        <v>290</v>
      </c>
      <c r="P1425" t="s">
        <v>85</v>
      </c>
    </row>
    <row r="1426" spans="1:19" x14ac:dyDescent="0.25">
      <c r="A1426" t="s">
        <v>2881</v>
      </c>
      <c r="B1426" t="s">
        <v>20</v>
      </c>
      <c r="C1426" t="str">
        <f>IF(ISBLANK(Table4[[#This Row],[Region]]),Table4[[#This Row],[Node Type]],Table4[[#This Row],[Region]])</f>
        <v/>
      </c>
      <c r="E1426" t="str">
        <f>IF(ISERROR(SEARCH("Node",Table4[[#This Row],[Type]])),IF(ISERROR(SEARCH("Iliac",Table4[[#This Row],[Type]])),"",Table4[[#This Row],[Type]]),Table4[[#This Row],[Type]])</f>
        <v/>
      </c>
      <c r="J1426" t="s">
        <v>2882</v>
      </c>
      <c r="L1426" t="s">
        <v>44</v>
      </c>
    </row>
    <row r="1427" spans="1:19" x14ac:dyDescent="0.25">
      <c r="A1427" t="s">
        <v>2883</v>
      </c>
      <c r="B1427" t="s">
        <v>46</v>
      </c>
      <c r="C1427" t="str">
        <f>IF(ISBLANK(Table4[[#This Row],[Region]]),Table4[[#This Row],[Node Type]],Table4[[#This Row],[Region]])</f>
        <v/>
      </c>
      <c r="E1427" t="str">
        <f>IF(ISERROR(SEARCH("Node",Table4[[#This Row],[Type]])),IF(ISERROR(SEARCH("Iliac",Table4[[#This Row],[Type]])),"",Table4[[#This Row],[Type]]),Table4[[#This Row],[Type]])</f>
        <v/>
      </c>
      <c r="J1427" t="s">
        <v>2882</v>
      </c>
      <c r="L1427" t="s">
        <v>45</v>
      </c>
    </row>
    <row r="1428" spans="1:19" x14ac:dyDescent="0.25">
      <c r="A1428" t="s">
        <v>2884</v>
      </c>
      <c r="B1428" t="s">
        <v>77</v>
      </c>
      <c r="C1428" t="str">
        <f>IF(ISBLANK(Table4[[#This Row],[Region]]),Table4[[#This Row],[Node Type]],Table4[[#This Row],[Region]])</f>
        <v/>
      </c>
      <c r="E1428" t="str">
        <f>IF(ISERROR(SEARCH("Node",Table4[[#This Row],[Type]])),IF(ISERROR(SEARCH("Iliac",Table4[[#This Row],[Type]])),"",Table4[[#This Row],[Type]]),Table4[[#This Row],[Type]])</f>
        <v/>
      </c>
      <c r="J1428" t="s">
        <v>2882</v>
      </c>
      <c r="L1428" t="s">
        <v>77</v>
      </c>
    </row>
    <row r="1429" spans="1:19" x14ac:dyDescent="0.25">
      <c r="A1429" t="s">
        <v>2886</v>
      </c>
      <c r="B1429" t="s">
        <v>46</v>
      </c>
      <c r="C1429" t="str">
        <f>IF(ISBLANK(Table4[[#This Row],[Region]]),Table4[[#This Row],[Node Type]],Table4[[#This Row],[Region]])</f>
        <v/>
      </c>
      <c r="E1429" t="str">
        <f>IF(ISERROR(SEARCH("Node",Table4[[#This Row],[Type]])),IF(ISERROR(SEARCH("Iliac",Table4[[#This Row],[Type]])),"",Table4[[#This Row],[Type]]),Table4[[#This Row],[Type]])</f>
        <v/>
      </c>
      <c r="H1429">
        <v>1</v>
      </c>
      <c r="L1429" t="s">
        <v>46</v>
      </c>
      <c r="R1429" t="s">
        <v>215</v>
      </c>
      <c r="S1429">
        <v>2</v>
      </c>
    </row>
    <row r="1430" spans="1:19" x14ac:dyDescent="0.25">
      <c r="A1430" t="s">
        <v>2888</v>
      </c>
      <c r="B1430" t="s">
        <v>46</v>
      </c>
      <c r="C1430" t="str">
        <f>IF(ISBLANK(Table4[[#This Row],[Region]]),Table4[[#This Row],[Node Type]],Table4[[#This Row],[Region]])</f>
        <v/>
      </c>
      <c r="E1430" t="str">
        <f>IF(ISERROR(SEARCH("Node",Table4[[#This Row],[Type]])),IF(ISERROR(SEARCH("Iliac",Table4[[#This Row],[Type]])),"",Table4[[#This Row],[Type]]),Table4[[#This Row],[Type]])</f>
        <v/>
      </c>
      <c r="L1430" t="s">
        <v>46</v>
      </c>
      <c r="N1430" t="s">
        <v>108</v>
      </c>
    </row>
    <row r="1431" spans="1:19" x14ac:dyDescent="0.25">
      <c r="A1431" t="s">
        <v>2889</v>
      </c>
      <c r="B1431" t="s">
        <v>46</v>
      </c>
      <c r="C1431" t="str">
        <f>IF(ISBLANK(Table4[[#This Row],[Region]]),Table4[[#This Row],[Node Type]],Table4[[#This Row],[Region]])</f>
        <v/>
      </c>
      <c r="E1431" t="str">
        <f>IF(ISERROR(SEARCH("Node",Table4[[#This Row],[Type]])),IF(ISERROR(SEARCH("Iliac",Table4[[#This Row],[Type]])),"",Table4[[#This Row],[Type]]),Table4[[#This Row],[Type]])</f>
        <v/>
      </c>
      <c r="L1431" t="s">
        <v>46</v>
      </c>
      <c r="N1431" t="s">
        <v>106</v>
      </c>
    </row>
    <row r="1432" spans="1:19" x14ac:dyDescent="0.25">
      <c r="A1432" t="s">
        <v>2890</v>
      </c>
      <c r="B1432" t="s">
        <v>77</v>
      </c>
      <c r="C1432" t="str">
        <f>IF(ISBLANK(Table4[[#This Row],[Region]]),Table4[[#This Row],[Node Type]],Table4[[#This Row],[Region]])</f>
        <v/>
      </c>
      <c r="E1432" t="str">
        <f>IF(ISERROR(SEARCH("Node",Table4[[#This Row],[Type]])),IF(ISERROR(SEARCH("Iliac",Table4[[#This Row],[Type]])),"",Table4[[#This Row],[Type]]),Table4[[#This Row],[Type]])</f>
        <v/>
      </c>
      <c r="I1432">
        <v>21</v>
      </c>
      <c r="L1432" t="s">
        <v>77</v>
      </c>
      <c r="P1432" t="s">
        <v>85</v>
      </c>
    </row>
    <row r="1433" spans="1:19" x14ac:dyDescent="0.25">
      <c r="A1433" t="s">
        <v>2891</v>
      </c>
      <c r="B1433" t="s">
        <v>77</v>
      </c>
      <c r="C1433" t="str">
        <f>IF(ISBLANK(Table4[[#This Row],[Region]]),Table4[[#This Row],[Node Type]],Table4[[#This Row],[Region]])</f>
        <v/>
      </c>
      <c r="E1433" t="str">
        <f>IF(ISERROR(SEARCH("Node",Table4[[#This Row],[Type]])),IF(ISERROR(SEARCH("Iliac",Table4[[#This Row],[Type]])),"",Table4[[#This Row],[Type]]),Table4[[#This Row],[Type]])</f>
        <v/>
      </c>
      <c r="I1433">
        <v>21</v>
      </c>
      <c r="L1433" t="s">
        <v>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"/>
  <sheetViews>
    <sheetView workbookViewId="0"/>
  </sheetViews>
  <sheetFormatPr defaultRowHeight="15" x14ac:dyDescent="0.25"/>
  <sheetData>
    <row r="1" spans="1:1" x14ac:dyDescent="0.25">
      <c r="A1" t="s">
        <v>10</v>
      </c>
    </row>
    <row r="2" spans="1:1" x14ac:dyDescent="0.25">
      <c r="A2">
        <v>2</v>
      </c>
    </row>
    <row r="3" spans="1:1" x14ac:dyDescent="0.25">
      <c r="A3">
        <v>2.2999999999999998</v>
      </c>
    </row>
    <row r="4" spans="1:1" x14ac:dyDescent="0.25">
      <c r="A4">
        <v>2.6</v>
      </c>
    </row>
    <row r="5" spans="1:1" x14ac:dyDescent="0.25">
      <c r="A5">
        <v>3.3</v>
      </c>
    </row>
    <row r="6" spans="1:1" x14ac:dyDescent="0.25">
      <c r="A6">
        <v>5.4</v>
      </c>
    </row>
    <row r="7" spans="1:1" x14ac:dyDescent="0.25">
      <c r="A7">
        <v>15</v>
      </c>
    </row>
    <row r="8" spans="1:1" x14ac:dyDescent="0.25">
      <c r="A8">
        <v>16</v>
      </c>
    </row>
    <row r="9" spans="1:1" x14ac:dyDescent="0.25">
      <c r="A9">
        <v>18</v>
      </c>
    </row>
    <row r="10" spans="1:1" x14ac:dyDescent="0.25">
      <c r="A10">
        <v>20</v>
      </c>
    </row>
    <row r="11" spans="1:1" x14ac:dyDescent="0.25">
      <c r="A11">
        <v>21</v>
      </c>
    </row>
    <row r="12" spans="1:1" x14ac:dyDescent="0.25">
      <c r="A12">
        <v>22.5</v>
      </c>
    </row>
    <row r="13" spans="1:1" x14ac:dyDescent="0.25">
      <c r="A13">
        <v>24</v>
      </c>
    </row>
    <row r="14" spans="1:1" x14ac:dyDescent="0.25">
      <c r="A14">
        <v>25</v>
      </c>
    </row>
    <row r="15" spans="1:1" x14ac:dyDescent="0.25">
      <c r="A15">
        <v>27</v>
      </c>
    </row>
    <row r="16" spans="1:1" x14ac:dyDescent="0.25">
      <c r="A16">
        <v>27.5</v>
      </c>
    </row>
    <row r="17" spans="1:1" x14ac:dyDescent="0.25">
      <c r="A17">
        <v>30</v>
      </c>
    </row>
    <row r="18" spans="1:1" x14ac:dyDescent="0.25">
      <c r="A18">
        <v>30.8</v>
      </c>
    </row>
    <row r="19" spans="1:1" x14ac:dyDescent="0.25">
      <c r="A19">
        <v>32.5</v>
      </c>
    </row>
    <row r="20" spans="1:1" x14ac:dyDescent="0.25">
      <c r="A20">
        <v>35</v>
      </c>
    </row>
    <row r="21" spans="1:1" x14ac:dyDescent="0.25">
      <c r="A21">
        <v>36</v>
      </c>
    </row>
    <row r="22" spans="1:1" x14ac:dyDescent="0.25">
      <c r="A22">
        <v>37.5</v>
      </c>
    </row>
    <row r="23" spans="1:1" x14ac:dyDescent="0.25">
      <c r="A23">
        <v>38</v>
      </c>
    </row>
    <row r="24" spans="1:1" x14ac:dyDescent="0.25">
      <c r="A24">
        <v>39</v>
      </c>
    </row>
    <row r="25" spans="1:1" x14ac:dyDescent="0.25">
      <c r="A25">
        <v>40</v>
      </c>
    </row>
    <row r="26" spans="1:1" x14ac:dyDescent="0.25">
      <c r="A26">
        <v>44</v>
      </c>
    </row>
    <row r="27" spans="1:1" x14ac:dyDescent="0.25">
      <c r="A27">
        <v>45</v>
      </c>
    </row>
    <row r="28" spans="1:1" x14ac:dyDescent="0.25">
      <c r="A28">
        <v>46</v>
      </c>
    </row>
    <row r="29" spans="1:1" x14ac:dyDescent="0.25">
      <c r="A29">
        <v>46.75</v>
      </c>
    </row>
    <row r="30" spans="1:1" x14ac:dyDescent="0.25">
      <c r="A30">
        <v>48</v>
      </c>
    </row>
    <row r="31" spans="1:1" x14ac:dyDescent="0.25">
      <c r="A31">
        <v>50</v>
      </c>
    </row>
    <row r="32" spans="1:1" x14ac:dyDescent="0.25">
      <c r="A32">
        <v>50.4</v>
      </c>
    </row>
    <row r="33" spans="1:1" x14ac:dyDescent="0.25">
      <c r="A33">
        <v>52.5</v>
      </c>
    </row>
    <row r="34" spans="1:1" x14ac:dyDescent="0.25">
      <c r="A34">
        <v>54</v>
      </c>
    </row>
    <row r="35" spans="1:1" x14ac:dyDescent="0.25">
      <c r="A35">
        <v>55</v>
      </c>
    </row>
    <row r="36" spans="1:1" x14ac:dyDescent="0.25">
      <c r="A36">
        <v>55.8</v>
      </c>
    </row>
    <row r="37" spans="1:1" x14ac:dyDescent="0.25">
      <c r="A37">
        <v>56</v>
      </c>
    </row>
    <row r="38" spans="1:1" x14ac:dyDescent="0.25">
      <c r="A38">
        <v>59.4</v>
      </c>
    </row>
    <row r="39" spans="1:1" x14ac:dyDescent="0.25">
      <c r="A39">
        <v>60</v>
      </c>
    </row>
    <row r="40" spans="1:1" x14ac:dyDescent="0.25">
      <c r="A40">
        <v>63</v>
      </c>
    </row>
    <row r="41" spans="1:1" x14ac:dyDescent="0.25">
      <c r="A41">
        <v>64</v>
      </c>
    </row>
    <row r="42" spans="1:1" x14ac:dyDescent="0.25">
      <c r="A42">
        <v>66</v>
      </c>
    </row>
    <row r="43" spans="1:1" x14ac:dyDescent="0.25">
      <c r="A43">
        <v>68</v>
      </c>
    </row>
    <row r="44" spans="1:1" x14ac:dyDescent="0.25">
      <c r="A44">
        <v>70</v>
      </c>
    </row>
    <row r="45" spans="1:1" x14ac:dyDescent="0.25">
      <c r="A45">
        <v>71.099999999999994</v>
      </c>
    </row>
    <row r="46" spans="1:1" x14ac:dyDescent="0.25">
      <c r="A46">
        <v>76</v>
      </c>
    </row>
    <row r="47" spans="1:1" x14ac:dyDescent="0.25">
      <c r="A47">
        <v>76.2</v>
      </c>
    </row>
    <row r="48" spans="1:1" x14ac:dyDescent="0.25">
      <c r="A48">
        <v>5250</v>
      </c>
    </row>
    <row r="49" spans="1:1" x14ac:dyDescent="0.25">
      <c r="A49">
        <v>5500</v>
      </c>
    </row>
  </sheetData>
  <sortState ref="A2:A49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workbookViewId="0">
      <selection activeCell="E5" sqref="E5:E8"/>
    </sheetView>
  </sheetViews>
  <sheetFormatPr defaultRowHeight="15" x14ac:dyDescent="0.25"/>
  <cols>
    <col min="1" max="1" width="10.85546875" bestFit="1" customWidth="1"/>
    <col min="2" max="2" width="12.28515625" bestFit="1" customWidth="1"/>
    <col min="3" max="3" width="5.140625" bestFit="1" customWidth="1"/>
    <col min="4" max="4" width="6.85546875" bestFit="1" customWidth="1"/>
    <col min="5" max="5" width="14" bestFit="1" customWidth="1"/>
    <col min="6" max="6" width="10" bestFit="1" customWidth="1"/>
    <col min="7" max="7" width="7.5703125" bestFit="1" customWidth="1"/>
    <col min="8" max="8" width="7.140625" bestFit="1" customWidth="1"/>
    <col min="9" max="9" width="5.7109375" bestFit="1" customWidth="1"/>
    <col min="10" max="10" width="8.7109375" bestFit="1" customWidth="1"/>
    <col min="11" max="11" width="5.42578125" bestFit="1" customWidth="1"/>
    <col min="12" max="12" width="10.140625" bestFit="1" customWidth="1"/>
    <col min="13" max="13" width="10.85546875" bestFit="1" customWidth="1"/>
    <col min="14" max="14" width="14" bestFit="1" customWidth="1"/>
    <col min="15" max="15" width="13.85546875" bestFit="1" customWidth="1"/>
    <col min="16" max="16" width="11.140625" bestFit="1" customWidth="1"/>
    <col min="17" max="17" width="6.28515625" bestFit="1" customWidth="1"/>
    <col min="18" max="18" width="9.28515625" bestFit="1" customWidth="1"/>
    <col min="19" max="19" width="9.85546875" bestFit="1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7" t="s">
        <v>18</v>
      </c>
    </row>
    <row r="2" spans="1:19" x14ac:dyDescent="0.25">
      <c r="A2" s="5" t="s">
        <v>2775</v>
      </c>
      <c r="B2" s="6" t="s">
        <v>173</v>
      </c>
      <c r="C2" s="6"/>
      <c r="D2" s="6" t="s">
        <v>2776</v>
      </c>
      <c r="E2" s="6"/>
      <c r="F2" s="6"/>
      <c r="G2" s="6"/>
      <c r="H2" s="6"/>
      <c r="I2" s="6" t="s">
        <v>249</v>
      </c>
      <c r="J2" s="6"/>
      <c r="K2" s="6"/>
      <c r="L2" s="6" t="s">
        <v>552</v>
      </c>
      <c r="M2" s="6"/>
      <c r="N2" s="6"/>
      <c r="O2" s="6"/>
      <c r="P2" s="6"/>
      <c r="Q2" s="6"/>
      <c r="R2" s="6"/>
      <c r="S2" s="9"/>
    </row>
    <row r="3" spans="1:19" x14ac:dyDescent="0.25">
      <c r="A3" t="s">
        <v>1162</v>
      </c>
      <c r="B3" t="s">
        <v>20</v>
      </c>
      <c r="D3" t="s">
        <v>20</v>
      </c>
      <c r="I3" t="s">
        <v>79</v>
      </c>
      <c r="Q3" t="s">
        <v>1038</v>
      </c>
    </row>
    <row r="4" spans="1:19" x14ac:dyDescent="0.25">
      <c r="A4" t="s">
        <v>857</v>
      </c>
      <c r="B4" t="s">
        <v>48</v>
      </c>
      <c r="D4" t="s">
        <v>46</v>
      </c>
      <c r="I4" t="s">
        <v>858</v>
      </c>
      <c r="Q4" t="s">
        <v>859</v>
      </c>
    </row>
    <row r="5" spans="1:19" x14ac:dyDescent="0.25">
      <c r="A5" s="3" t="s">
        <v>813</v>
      </c>
      <c r="B5" s="4" t="s">
        <v>20</v>
      </c>
      <c r="C5" s="4" t="s">
        <v>3013</v>
      </c>
      <c r="D5" s="4"/>
      <c r="E5" s="4"/>
      <c r="F5" s="4"/>
      <c r="G5" s="4" t="s">
        <v>20</v>
      </c>
      <c r="H5" s="4">
        <v>1</v>
      </c>
      <c r="I5" s="4"/>
      <c r="J5" s="4"/>
      <c r="K5" s="4"/>
      <c r="L5" s="4"/>
      <c r="M5" s="4"/>
      <c r="N5" s="4"/>
      <c r="O5" s="4"/>
      <c r="P5" s="4"/>
      <c r="Q5" s="4"/>
      <c r="R5" s="4"/>
      <c r="S5" s="8"/>
    </row>
    <row r="6" spans="1:19" x14ac:dyDescent="0.25">
      <c r="A6" s="5" t="s">
        <v>814</v>
      </c>
      <c r="B6" s="6" t="s">
        <v>20</v>
      </c>
      <c r="C6" s="6" t="s">
        <v>3013</v>
      </c>
      <c r="D6" s="6"/>
      <c r="E6" s="6"/>
      <c r="F6" s="6"/>
      <c r="G6" s="6" t="s">
        <v>20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9"/>
    </row>
    <row r="7" spans="1:19" x14ac:dyDescent="0.25">
      <c r="A7" s="3" t="s">
        <v>819</v>
      </c>
      <c r="B7" s="4" t="s">
        <v>20</v>
      </c>
      <c r="C7" s="4" t="s">
        <v>3013</v>
      </c>
      <c r="D7" s="4"/>
      <c r="E7" s="4"/>
      <c r="F7" s="4"/>
      <c r="G7" s="4" t="s">
        <v>20</v>
      </c>
      <c r="H7" s="4">
        <v>2</v>
      </c>
      <c r="I7" s="4"/>
      <c r="J7" s="4"/>
      <c r="K7" s="4"/>
      <c r="L7" s="4"/>
      <c r="M7" s="4"/>
      <c r="N7" s="4"/>
      <c r="O7" s="4"/>
      <c r="P7" s="4"/>
      <c r="Q7" s="4"/>
      <c r="R7" s="4"/>
      <c r="S7" s="8"/>
    </row>
    <row r="8" spans="1:19" x14ac:dyDescent="0.25">
      <c r="A8" s="5" t="s">
        <v>820</v>
      </c>
      <c r="B8" s="6" t="s">
        <v>20</v>
      </c>
      <c r="C8" s="6" t="s">
        <v>3013</v>
      </c>
      <c r="D8" s="6"/>
      <c r="E8" s="6"/>
      <c r="F8" s="6"/>
      <c r="G8" s="6" t="s">
        <v>20</v>
      </c>
      <c r="H8" s="6">
        <v>2</v>
      </c>
      <c r="I8" s="6"/>
      <c r="J8" s="6"/>
      <c r="K8" s="6"/>
      <c r="L8" s="6"/>
      <c r="M8" s="6"/>
      <c r="N8" s="6"/>
      <c r="O8" s="6"/>
      <c r="P8" s="6"/>
      <c r="Q8" s="6"/>
      <c r="R8" s="6"/>
      <c r="S8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E52651-BEBC-4659-8A74-A23416A92F26}"/>
</file>

<file path=customXml/itemProps2.xml><?xml version="1.0" encoding="utf-8"?>
<ds:datastoreItem xmlns:ds="http://schemas.openxmlformats.org/officeDocument/2006/customXml" ds:itemID="{2E6778E4-CE6B-45C3-8493-4BF90B7C1B99}"/>
</file>

<file path=customXml/itemProps3.xml><?xml version="1.0" encoding="utf-8"?>
<ds:datastoreItem xmlns:ds="http://schemas.openxmlformats.org/officeDocument/2006/customXml" ds:itemID="{F358DB13-706B-4CB7-B92C-E69F688AB3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Target Match</vt:lpstr>
      <vt:lpstr>OAR Match</vt:lpstr>
      <vt:lpstr>Other Structures</vt:lpstr>
      <vt:lpstr>Target Sorting</vt:lpstr>
      <vt:lpstr>Sheet1</vt:lpstr>
      <vt:lpstr>Target Match Errors</vt:lpstr>
    </vt:vector>
  </TitlesOfParts>
  <Company>Kingston Health Sciences Centre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"gsalomon"</cp:lastModifiedBy>
  <dcterms:created xsi:type="dcterms:W3CDTF">2023-07-08T11:39:06Z</dcterms:created>
  <dcterms:modified xsi:type="dcterms:W3CDTF">2023-07-10T01:56:29Z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