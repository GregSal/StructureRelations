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1.xml" ContentType="application/vnd.openxmlformats-officedocument.spreadsheetml.comments+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queensuca-my.sharepoint.com/personal/gs13_queensu_ca/Documents/Python/Projects/StructureRelations/docs/"/>
    </mc:Choice>
  </mc:AlternateContent>
  <xr:revisionPtr revIDLastSave="166" documentId="13_ncr:1_{A3C18396-5513-4E42-83C5-02222E2D32AC}" xr6:coauthVersionLast="47" xr6:coauthVersionMax="47" xr10:uidLastSave="{86C82BC0-863E-48D3-85F3-DA66270D277D}"/>
  <bookViews>
    <workbookView xWindow="-120" yWindow="-120" windowWidth="29040" windowHeight="15720" activeTab="4" xr2:uid="{00000000-000D-0000-FFFF-FFFF00000000}"/>
  </bookViews>
  <sheets>
    <sheet name="Definitions" sheetId="9" r:id="rId1"/>
    <sheet name="Descision Tree" sheetId="8" r:id="rId2"/>
    <sheet name="Descision Matrix" sheetId="6" r:id="rId3"/>
    <sheet name="DE-9IM Matrixes" sheetId="7" r:id="rId4"/>
    <sheet name="Logic Uniqueness" sheetId="11" r:id="rId5"/>
    <sheet name="Tests To Binaries" sheetId="4" r:id="rId6"/>
    <sheet name="Inverted Relations" sheetId="14" r:id="rId7"/>
    <sheet name="Combined" sheetId="3"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1" l="1"/>
  <c r="AC78" i="11"/>
  <c r="AC80" i="11" s="1"/>
  <c r="AE79" i="11"/>
  <c r="AD79" i="11"/>
  <c r="AC79" i="11"/>
  <c r="AB79" i="11"/>
  <c r="AA79" i="11"/>
  <c r="AA80" i="11" s="1"/>
  <c r="Z79" i="11"/>
  <c r="AE78" i="11"/>
  <c r="AE80" i="11" s="1"/>
  <c r="AD78" i="11"/>
  <c r="AD80" i="11" s="1"/>
  <c r="AB78" i="11"/>
  <c r="AB80" i="11" s="1"/>
  <c r="AA78" i="11"/>
  <c r="Z78" i="11"/>
  <c r="Z80" i="11" s="1"/>
  <c r="X79" i="11"/>
  <c r="W79" i="11"/>
  <c r="X78" i="11"/>
  <c r="X80" i="11" s="1"/>
  <c r="W78" i="11"/>
  <c r="W80" i="11" s="1"/>
  <c r="T79" i="11"/>
  <c r="T78" i="11"/>
  <c r="T80" i="11" s="1"/>
  <c r="R79" i="11"/>
  <c r="Q79" i="11"/>
  <c r="Q80" i="11" s="1"/>
  <c r="P79" i="11"/>
  <c r="R78" i="11"/>
  <c r="R80" i="11" s="1"/>
  <c r="Q78" i="11"/>
  <c r="P78" i="11"/>
  <c r="P80" i="11" s="1"/>
  <c r="N79" i="11"/>
  <c r="M79" i="11"/>
  <c r="N78" i="11"/>
  <c r="N80" i="11" s="1"/>
  <c r="M78" i="11"/>
  <c r="M80" i="11" s="1"/>
  <c r="K79" i="11"/>
  <c r="J79" i="11"/>
  <c r="I79" i="11"/>
  <c r="H79" i="11"/>
  <c r="K78" i="11"/>
  <c r="K80" i="11" s="1"/>
  <c r="J78" i="11"/>
  <c r="J80" i="11" s="1"/>
  <c r="I78" i="11"/>
  <c r="I80" i="11" s="1"/>
  <c r="H78" i="11"/>
  <c r="H80" i="11" s="1"/>
  <c r="F79" i="11"/>
  <c r="E79" i="11"/>
  <c r="F78" i="11"/>
  <c r="F80" i="11" s="1"/>
  <c r="E78" i="11"/>
  <c r="E80" i="11" s="1"/>
  <c r="D79" i="11"/>
  <c r="D78" i="11"/>
  <c r="X76" i="11"/>
  <c r="AE75" i="11"/>
  <c r="AD75" i="11"/>
  <c r="AB75" i="11"/>
  <c r="AA75" i="11"/>
  <c r="AA76" i="11" s="1"/>
  <c r="Z75" i="11"/>
  <c r="X75" i="11"/>
  <c r="W75" i="11"/>
  <c r="AE74" i="11"/>
  <c r="AE76" i="11" s="1"/>
  <c r="AD74" i="11"/>
  <c r="AD76" i="11" s="1"/>
  <c r="AB74" i="11"/>
  <c r="AB76" i="11" s="1"/>
  <c r="AA74" i="11"/>
  <c r="Z74" i="11"/>
  <c r="Z76" i="11" s="1"/>
  <c r="X74" i="11"/>
  <c r="W74" i="11"/>
  <c r="W76" i="11" s="1"/>
  <c r="U75" i="11"/>
  <c r="T75" i="11"/>
  <c r="S75" i="11"/>
  <c r="R75" i="11"/>
  <c r="Q75" i="11"/>
  <c r="P75" i="11"/>
  <c r="O75" i="11"/>
  <c r="N75" i="11"/>
  <c r="U74" i="11"/>
  <c r="U76" i="11" s="1"/>
  <c r="T74" i="11"/>
  <c r="T76" i="11" s="1"/>
  <c r="S74" i="11"/>
  <c r="S76" i="11" s="1"/>
  <c r="R74" i="11"/>
  <c r="R76" i="11" s="1"/>
  <c r="Q74" i="11"/>
  <c r="Q76" i="11" s="1"/>
  <c r="P74" i="11"/>
  <c r="P76" i="11" s="1"/>
  <c r="O74" i="11"/>
  <c r="O76" i="11" s="1"/>
  <c r="N74" i="11"/>
  <c r="N76" i="11" s="1"/>
  <c r="K75" i="11"/>
  <c r="J75" i="11"/>
  <c r="I75" i="11"/>
  <c r="H75" i="11"/>
  <c r="K74" i="11"/>
  <c r="K76" i="11" s="1"/>
  <c r="J74" i="11"/>
  <c r="J76" i="11" s="1"/>
  <c r="I74" i="11"/>
  <c r="I76" i="11" s="1"/>
  <c r="H74" i="11"/>
  <c r="H76" i="11" s="1"/>
  <c r="F75" i="11"/>
  <c r="E75" i="11"/>
  <c r="F74" i="11"/>
  <c r="F76" i="11" s="1"/>
  <c r="E74" i="11"/>
  <c r="E76" i="11" s="1"/>
  <c r="D75" i="11"/>
  <c r="D74" i="11"/>
  <c r="O62" i="11"/>
  <c r="S70" i="11"/>
  <c r="S72" i="11" s="1"/>
  <c r="X72" i="11"/>
  <c r="AE71" i="11"/>
  <c r="AD71" i="11"/>
  <c r="AC71" i="11"/>
  <c r="AB71" i="11"/>
  <c r="AA71" i="11"/>
  <c r="AA72" i="11" s="1"/>
  <c r="Z71" i="11"/>
  <c r="Y71" i="11"/>
  <c r="X71" i="11"/>
  <c r="W71" i="11"/>
  <c r="AE70" i="11"/>
  <c r="AE72" i="11" s="1"/>
  <c r="AD70" i="11"/>
  <c r="AD72" i="11" s="1"/>
  <c r="AC70" i="11"/>
  <c r="AC72" i="11" s="1"/>
  <c r="AB70" i="11"/>
  <c r="AB72" i="11" s="1"/>
  <c r="AA70" i="11"/>
  <c r="Z70" i="11"/>
  <c r="Z72" i="11" s="1"/>
  <c r="Y70" i="11"/>
  <c r="Y72" i="11" s="1"/>
  <c r="X70" i="11"/>
  <c r="W70" i="11"/>
  <c r="W72" i="11" s="1"/>
  <c r="U71" i="11"/>
  <c r="T71" i="11"/>
  <c r="S71" i="11"/>
  <c r="R71" i="11"/>
  <c r="Q71" i="11"/>
  <c r="P71" i="11"/>
  <c r="O71" i="11"/>
  <c r="N71" i="11"/>
  <c r="U70" i="11"/>
  <c r="U72" i="11" s="1"/>
  <c r="T70" i="11"/>
  <c r="T72" i="11" s="1"/>
  <c r="R70" i="11"/>
  <c r="R72" i="11" s="1"/>
  <c r="Q70" i="11"/>
  <c r="Q72" i="11" s="1"/>
  <c r="P70" i="11"/>
  <c r="P72" i="11" s="1"/>
  <c r="O70" i="11"/>
  <c r="O72" i="11" s="1"/>
  <c r="N70" i="11"/>
  <c r="N72" i="11" s="1"/>
  <c r="K71" i="11"/>
  <c r="J71" i="11"/>
  <c r="I71" i="11"/>
  <c r="H71" i="11"/>
  <c r="K70" i="11"/>
  <c r="K72" i="11" s="1"/>
  <c r="J70" i="11"/>
  <c r="J72" i="11" s="1"/>
  <c r="I70" i="11"/>
  <c r="I72" i="11" s="1"/>
  <c r="H70" i="11"/>
  <c r="H72" i="11" s="1"/>
  <c r="F71" i="11"/>
  <c r="E71" i="11"/>
  <c r="F70" i="11"/>
  <c r="F72" i="11" s="1"/>
  <c r="E70" i="11"/>
  <c r="E72" i="11" s="1"/>
  <c r="D71" i="11"/>
  <c r="D70" i="11"/>
  <c r="AE67" i="11"/>
  <c r="AD67" i="11"/>
  <c r="AB67" i="11"/>
  <c r="AA67" i="11"/>
  <c r="Z67" i="11"/>
  <c r="Z68" i="11" s="1"/>
  <c r="X67" i="11"/>
  <c r="W67" i="11"/>
  <c r="AE66" i="11"/>
  <c r="AE68" i="11" s="1"/>
  <c r="AD66" i="11"/>
  <c r="AD68" i="11" s="1"/>
  <c r="AB66" i="11"/>
  <c r="AB68" i="11" s="1"/>
  <c r="AA66" i="11"/>
  <c r="AA68" i="11" s="1"/>
  <c r="Z66" i="11"/>
  <c r="X66" i="11"/>
  <c r="X68" i="11" s="1"/>
  <c r="W66" i="11"/>
  <c r="W68" i="11" s="1"/>
  <c r="O68" i="11"/>
  <c r="N68" i="11"/>
  <c r="U67" i="11"/>
  <c r="T67" i="11"/>
  <c r="S67" i="11"/>
  <c r="R67" i="11"/>
  <c r="R68" i="11" s="1"/>
  <c r="Q67" i="11"/>
  <c r="P67" i="11"/>
  <c r="O67" i="11"/>
  <c r="N67" i="11"/>
  <c r="M67" i="11"/>
  <c r="U66" i="11"/>
  <c r="U68" i="11" s="1"/>
  <c r="T66" i="11"/>
  <c r="T68" i="11" s="1"/>
  <c r="S66" i="11"/>
  <c r="S68" i="11" s="1"/>
  <c r="R66" i="11"/>
  <c r="Q66" i="11"/>
  <c r="Q68" i="11" s="1"/>
  <c r="P66" i="11"/>
  <c r="P68" i="11" s="1"/>
  <c r="O66" i="11"/>
  <c r="N66" i="11"/>
  <c r="M66" i="11"/>
  <c r="M68" i="11" s="1"/>
  <c r="K67" i="11"/>
  <c r="J67" i="11"/>
  <c r="I67" i="11"/>
  <c r="H67" i="11"/>
  <c r="K66" i="11"/>
  <c r="K68" i="11" s="1"/>
  <c r="J66" i="11"/>
  <c r="J68" i="11" s="1"/>
  <c r="I66" i="11"/>
  <c r="I68" i="11" s="1"/>
  <c r="H66" i="11"/>
  <c r="H68" i="11" s="1"/>
  <c r="F67" i="11"/>
  <c r="E67" i="11"/>
  <c r="F66" i="11"/>
  <c r="F68" i="11" s="1"/>
  <c r="E66" i="11"/>
  <c r="E68" i="11" s="1"/>
  <c r="D67" i="11"/>
  <c r="D66" i="11"/>
  <c r="Y64" i="11"/>
  <c r="AE63" i="11"/>
  <c r="AD63" i="11"/>
  <c r="AC63" i="11"/>
  <c r="AB63" i="11"/>
  <c r="AA63" i="11"/>
  <c r="Z63" i="11"/>
  <c r="Z64" i="11" s="1"/>
  <c r="Y63" i="11"/>
  <c r="X63" i="11"/>
  <c r="W63" i="11"/>
  <c r="AE62" i="11"/>
  <c r="AE64" i="11" s="1"/>
  <c r="AD62" i="11"/>
  <c r="AD64" i="11" s="1"/>
  <c r="AC62" i="11"/>
  <c r="AC64" i="11" s="1"/>
  <c r="AB62" i="11"/>
  <c r="AB64" i="11" s="1"/>
  <c r="AA62" i="11"/>
  <c r="AA64" i="11" s="1"/>
  <c r="Z62" i="11"/>
  <c r="Y62" i="11"/>
  <c r="X62" i="11"/>
  <c r="X64" i="11" s="1"/>
  <c r="W62" i="11"/>
  <c r="W64" i="11" s="1"/>
  <c r="U63" i="11"/>
  <c r="T63" i="11"/>
  <c r="S63" i="11"/>
  <c r="R63" i="11"/>
  <c r="Q63" i="11"/>
  <c r="P63" i="11"/>
  <c r="O63" i="11"/>
  <c r="N63" i="11"/>
  <c r="U62" i="11"/>
  <c r="U64" i="11" s="1"/>
  <c r="T62" i="11"/>
  <c r="T64" i="11" s="1"/>
  <c r="S62" i="11"/>
  <c r="S64" i="11" s="1"/>
  <c r="R62" i="11"/>
  <c r="R64" i="11" s="1"/>
  <c r="Q62" i="11"/>
  <c r="Q64" i="11" s="1"/>
  <c r="P62" i="11"/>
  <c r="P64" i="11" s="1"/>
  <c r="O64" i="11"/>
  <c r="N62" i="11"/>
  <c r="N64" i="11" s="1"/>
  <c r="K63" i="11"/>
  <c r="J63" i="11"/>
  <c r="I63" i="11"/>
  <c r="H63" i="11"/>
  <c r="K62" i="11"/>
  <c r="K64" i="11" s="1"/>
  <c r="J62" i="11"/>
  <c r="J64" i="11" s="1"/>
  <c r="I62" i="11"/>
  <c r="I64" i="11" s="1"/>
  <c r="H62" i="11"/>
  <c r="H64" i="11" s="1"/>
  <c r="F63" i="11"/>
  <c r="E63" i="11"/>
  <c r="F62" i="11"/>
  <c r="F64" i="11" s="1"/>
  <c r="E62" i="11"/>
  <c r="E64" i="11" s="1"/>
  <c r="D62" i="11"/>
  <c r="D63" i="11"/>
  <c r="D59" i="11"/>
  <c r="D58" i="11"/>
  <c r="BI41" i="14"/>
  <c r="BO31" i="14"/>
  <c r="BD31" i="14"/>
  <c r="AZ26" i="14"/>
  <c r="BT40" i="14"/>
  <c r="BT30" i="14"/>
  <c r="BT25" i="14"/>
  <c r="BT15" i="14"/>
  <c r="BT10" i="14"/>
  <c r="R47" i="14"/>
  <c r="Q47" i="14"/>
  <c r="AK46" i="14" s="1"/>
  <c r="BN45" i="14" s="1"/>
  <c r="P47" i="14"/>
  <c r="AK45" i="14" s="1"/>
  <c r="BK45" i="14" s="1"/>
  <c r="L47" i="14"/>
  <c r="AE47" i="14" s="1"/>
  <c r="BG45" i="14" s="1"/>
  <c r="K47" i="14"/>
  <c r="J47" i="14"/>
  <c r="BE43" i="14" s="1"/>
  <c r="F47" i="14"/>
  <c r="Y47" i="14" s="1"/>
  <c r="AW45" i="14" s="1"/>
  <c r="E47" i="14"/>
  <c r="Y46" i="14" s="1"/>
  <c r="AT45" i="14" s="1"/>
  <c r="D47" i="14"/>
  <c r="Y45" i="14" s="1"/>
  <c r="AQ45" i="14" s="1"/>
  <c r="R46" i="14"/>
  <c r="BN43" i="14" s="1"/>
  <c r="Q46" i="14"/>
  <c r="AJ46" i="14" s="1"/>
  <c r="BM45" i="14" s="1"/>
  <c r="P46" i="14"/>
  <c r="AJ45" i="14" s="1"/>
  <c r="BJ45" i="14" s="1"/>
  <c r="L46" i="14"/>
  <c r="AD47" i="14" s="1"/>
  <c r="BF45" i="14" s="1"/>
  <c r="K46" i="14"/>
  <c r="AD46" i="14" s="1"/>
  <c r="BC45" i="14" s="1"/>
  <c r="J46" i="14"/>
  <c r="AD45" i="14" s="1"/>
  <c r="AZ45" i="14" s="1"/>
  <c r="F46" i="14"/>
  <c r="X47" i="14" s="1"/>
  <c r="AV45" i="14" s="1"/>
  <c r="E46" i="14"/>
  <c r="X46" i="14" s="1"/>
  <c r="AS45" i="14" s="1"/>
  <c r="D46" i="14"/>
  <c r="X45" i="14" s="1"/>
  <c r="AP45" i="14" s="1"/>
  <c r="R45" i="14"/>
  <c r="AI47" i="14" s="1"/>
  <c r="BO45" i="14" s="1"/>
  <c r="Q45" i="14"/>
  <c r="P45" i="14"/>
  <c r="L45" i="14"/>
  <c r="BA43" i="14" s="1"/>
  <c r="K45" i="14"/>
  <c r="AC46" i="14" s="1"/>
  <c r="BB45" i="14" s="1"/>
  <c r="J45" i="14"/>
  <c r="AC45" i="14" s="1"/>
  <c r="AY45" i="14" s="1"/>
  <c r="F45" i="14"/>
  <c r="E45" i="14"/>
  <c r="W46" i="14" s="1"/>
  <c r="AR45" i="14" s="1"/>
  <c r="D45" i="14"/>
  <c r="W45" i="14" s="1"/>
  <c r="AO45" i="14" s="1"/>
  <c r="BT43" i="14"/>
  <c r="BM43" i="14"/>
  <c r="BM46" i="14" s="1"/>
  <c r="BL43" i="14"/>
  <c r="R42" i="14"/>
  <c r="AK42" i="14" s="1"/>
  <c r="BQ40" i="14" s="1"/>
  <c r="Q42" i="14"/>
  <c r="P42" i="14"/>
  <c r="AK40" i="14" s="1"/>
  <c r="BK40" i="14" s="1"/>
  <c r="L42" i="14"/>
  <c r="K42" i="14"/>
  <c r="AE41" i="14" s="1"/>
  <c r="BD40" i="14" s="1"/>
  <c r="J42" i="14"/>
  <c r="AE40" i="14" s="1"/>
  <c r="BA40" i="14" s="1"/>
  <c r="F42" i="14"/>
  <c r="Y42" i="14" s="1"/>
  <c r="AW40" i="14" s="1"/>
  <c r="E42" i="14"/>
  <c r="Y41" i="14" s="1"/>
  <c r="AT40" i="14" s="1"/>
  <c r="D42" i="14"/>
  <c r="Y40" i="14" s="1"/>
  <c r="AQ40" i="14" s="1"/>
  <c r="R41" i="14"/>
  <c r="AJ42" i="14" s="1"/>
  <c r="BP40" i="14" s="1"/>
  <c r="Q41" i="14"/>
  <c r="AJ41" i="14" s="1"/>
  <c r="BM40" i="14" s="1"/>
  <c r="P41" i="14"/>
  <c r="L41" i="14"/>
  <c r="BD38" i="14" s="1"/>
  <c r="BD41" i="14" s="1"/>
  <c r="K41" i="14"/>
  <c r="AD41" i="14" s="1"/>
  <c r="BC40" i="14" s="1"/>
  <c r="J41" i="14"/>
  <c r="F41" i="14"/>
  <c r="X42" i="14" s="1"/>
  <c r="AV40" i="14" s="1"/>
  <c r="E41" i="14"/>
  <c r="X41" i="14" s="1"/>
  <c r="AS40" i="14" s="1"/>
  <c r="D41" i="14"/>
  <c r="X40" i="14" s="1"/>
  <c r="AP40" i="14" s="1"/>
  <c r="R40" i="14"/>
  <c r="Q40" i="14"/>
  <c r="AI41" i="14" s="1"/>
  <c r="BL40" i="14" s="1"/>
  <c r="P40" i="14"/>
  <c r="AI40" i="14" s="1"/>
  <c r="BI40" i="14" s="1"/>
  <c r="L40" i="14"/>
  <c r="BA38" i="14" s="1"/>
  <c r="BA41" i="14" s="1"/>
  <c r="K40" i="14"/>
  <c r="J40" i="14"/>
  <c r="AC40" i="14" s="1"/>
  <c r="AY40" i="14" s="1"/>
  <c r="F40" i="14"/>
  <c r="W42" i="14" s="1"/>
  <c r="AU40" i="14" s="1"/>
  <c r="E40" i="14"/>
  <c r="D40" i="14"/>
  <c r="W40" i="14" s="1"/>
  <c r="AO40" i="14" s="1"/>
  <c r="BT38" i="14"/>
  <c r="BI38" i="14"/>
  <c r="AT38" i="14"/>
  <c r="AQ38" i="14"/>
  <c r="AQ41" i="14" s="1"/>
  <c r="R37" i="14"/>
  <c r="AK37" i="14" s="1"/>
  <c r="BQ35" i="14" s="1"/>
  <c r="Q37" i="14"/>
  <c r="AK36" i="14" s="1"/>
  <c r="BN35" i="14" s="1"/>
  <c r="P37" i="14"/>
  <c r="AK35" i="14" s="1"/>
  <c r="BK35" i="14" s="1"/>
  <c r="BK36" i="14" s="1"/>
  <c r="L37" i="14"/>
  <c r="AE37" i="14" s="1"/>
  <c r="BG35" i="14" s="1"/>
  <c r="K37" i="14"/>
  <c r="BF33" i="14" s="1"/>
  <c r="J37" i="14"/>
  <c r="AE35" i="14" s="1"/>
  <c r="BA35" i="14" s="1"/>
  <c r="F37" i="14"/>
  <c r="Y37" i="14" s="1"/>
  <c r="AW35" i="14" s="1"/>
  <c r="E37" i="14"/>
  <c r="AV33" i="14" s="1"/>
  <c r="D37" i="14"/>
  <c r="R36" i="14"/>
  <c r="Q36" i="14"/>
  <c r="AJ36" i="14" s="1"/>
  <c r="BM35" i="14" s="1"/>
  <c r="P36" i="14"/>
  <c r="AJ35" i="14" s="1"/>
  <c r="BJ35" i="14" s="1"/>
  <c r="L36" i="14"/>
  <c r="BD33" i="14" s="1"/>
  <c r="K36" i="14"/>
  <c r="AD36" i="14" s="1"/>
  <c r="BC35" i="14" s="1"/>
  <c r="J36" i="14"/>
  <c r="AD35" i="14" s="1"/>
  <c r="AZ35" i="14" s="1"/>
  <c r="F36" i="14"/>
  <c r="AT33" i="14" s="1"/>
  <c r="E36" i="14"/>
  <c r="D36" i="14"/>
  <c r="R35" i="14"/>
  <c r="AI37" i="14" s="1"/>
  <c r="BO35" i="14" s="1"/>
  <c r="Q35" i="14"/>
  <c r="AI36" i="14" s="1"/>
  <c r="BL35" i="14" s="1"/>
  <c r="P35" i="14"/>
  <c r="AI35" i="14" s="1"/>
  <c r="BI35" i="14" s="1"/>
  <c r="L35" i="14"/>
  <c r="AC37" i="14" s="1"/>
  <c r="BE35" i="14" s="1"/>
  <c r="K35" i="14"/>
  <c r="AC36" i="14" s="1"/>
  <c r="BB35" i="14" s="1"/>
  <c r="J35" i="14"/>
  <c r="AY33" i="14" s="1"/>
  <c r="F35" i="14"/>
  <c r="W37" i="14" s="1"/>
  <c r="AU35" i="14" s="1"/>
  <c r="E35" i="14"/>
  <c r="W36" i="14" s="1"/>
  <c r="AR35" i="14" s="1"/>
  <c r="D35" i="14"/>
  <c r="W35" i="14" s="1"/>
  <c r="AO35" i="14" s="1"/>
  <c r="BT33" i="14"/>
  <c r="BK33" i="14"/>
  <c r="R32" i="14"/>
  <c r="AK32" i="14" s="1"/>
  <c r="BQ30" i="14" s="1"/>
  <c r="Q32" i="14"/>
  <c r="AK31" i="14" s="1"/>
  <c r="BN30" i="14" s="1"/>
  <c r="P32" i="14"/>
  <c r="BO28" i="14" s="1"/>
  <c r="L32" i="14"/>
  <c r="BG28" i="14" s="1"/>
  <c r="K32" i="14"/>
  <c r="AE31" i="14" s="1"/>
  <c r="BD30" i="14" s="1"/>
  <c r="J32" i="14"/>
  <c r="AE30" i="14" s="1"/>
  <c r="BA30" i="14" s="1"/>
  <c r="F32" i="14"/>
  <c r="AW28" i="14" s="1"/>
  <c r="E32" i="14"/>
  <c r="Y31" i="14" s="1"/>
  <c r="AT30" i="14" s="1"/>
  <c r="D32" i="14"/>
  <c r="Y30" i="14" s="1"/>
  <c r="AQ30" i="14" s="1"/>
  <c r="R31" i="14"/>
  <c r="BN28" i="14" s="1"/>
  <c r="BN31" i="14" s="1"/>
  <c r="Q31" i="14"/>
  <c r="BM28" i="14" s="1"/>
  <c r="P31" i="14"/>
  <c r="BL28" i="14" s="1"/>
  <c r="L31" i="14"/>
  <c r="AD32" i="14" s="1"/>
  <c r="BF30" i="14" s="1"/>
  <c r="K31" i="14"/>
  <c r="J31" i="14"/>
  <c r="AD30" i="14" s="1"/>
  <c r="AZ30" i="14" s="1"/>
  <c r="F31" i="14"/>
  <c r="E31" i="14"/>
  <c r="X31" i="14" s="1"/>
  <c r="AS30" i="14" s="1"/>
  <c r="D31" i="14"/>
  <c r="AR28" i="14" s="1"/>
  <c r="R30" i="14"/>
  <c r="AI32" i="14" s="1"/>
  <c r="BO30" i="14" s="1"/>
  <c r="Q30" i="14"/>
  <c r="BJ28" i="14" s="1"/>
  <c r="P30" i="14"/>
  <c r="AI30" i="14" s="1"/>
  <c r="BI30" i="14" s="1"/>
  <c r="L30" i="14"/>
  <c r="AC32" i="14" s="1"/>
  <c r="BE30" i="14" s="1"/>
  <c r="K30" i="14"/>
  <c r="AZ28" i="14" s="1"/>
  <c r="AZ31" i="14" s="1"/>
  <c r="J30" i="14"/>
  <c r="F30" i="14"/>
  <c r="W32" i="14" s="1"/>
  <c r="AU30" i="14" s="1"/>
  <c r="E30" i="14"/>
  <c r="W31" i="14" s="1"/>
  <c r="AR30" i="14" s="1"/>
  <c r="D30" i="14"/>
  <c r="AO28" i="14" s="1"/>
  <c r="BT28" i="14"/>
  <c r="BD28" i="14"/>
  <c r="R27" i="14"/>
  <c r="BQ23" i="14" s="1"/>
  <c r="Q27" i="14"/>
  <c r="BP23" i="14" s="1"/>
  <c r="P27" i="14"/>
  <c r="AK25" i="14" s="1"/>
  <c r="BK25" i="14" s="1"/>
  <c r="L27" i="14"/>
  <c r="AE27" i="14" s="1"/>
  <c r="BG25" i="14" s="1"/>
  <c r="K27" i="14"/>
  <c r="J27" i="14"/>
  <c r="BE23" i="14" s="1"/>
  <c r="F27" i="14"/>
  <c r="Y27" i="14" s="1"/>
  <c r="AW25" i="14" s="1"/>
  <c r="E27" i="14"/>
  <c r="Y26" i="14" s="1"/>
  <c r="AT25" i="14" s="1"/>
  <c r="D27" i="14"/>
  <c r="Y25" i="14" s="1"/>
  <c r="AQ25" i="14" s="1"/>
  <c r="R26" i="14"/>
  <c r="AJ27" i="14" s="1"/>
  <c r="BP25" i="14" s="1"/>
  <c r="BP26" i="14" s="1"/>
  <c r="Q26" i="14"/>
  <c r="BM23" i="14" s="1"/>
  <c r="P26" i="14"/>
  <c r="AJ25" i="14" s="1"/>
  <c r="BJ25" i="14" s="1"/>
  <c r="L26" i="14"/>
  <c r="AD27" i="14" s="1"/>
  <c r="BF25" i="14" s="1"/>
  <c r="K26" i="14"/>
  <c r="AD26" i="14" s="1"/>
  <c r="BC25" i="14" s="1"/>
  <c r="J26" i="14"/>
  <c r="AD25" i="14" s="1"/>
  <c r="AZ25" i="14" s="1"/>
  <c r="F26" i="14"/>
  <c r="X27" i="14" s="1"/>
  <c r="AV25" i="14" s="1"/>
  <c r="E26" i="14"/>
  <c r="AS23" i="14" s="1"/>
  <c r="D26" i="14"/>
  <c r="X25" i="14" s="1"/>
  <c r="AP25" i="14" s="1"/>
  <c r="R25" i="14"/>
  <c r="AI27" i="14" s="1"/>
  <c r="BO25" i="14" s="1"/>
  <c r="Q25" i="14"/>
  <c r="P25" i="14"/>
  <c r="L25" i="14"/>
  <c r="BA23" i="14" s="1"/>
  <c r="K25" i="14"/>
  <c r="AC26" i="14" s="1"/>
  <c r="BB25" i="14" s="1"/>
  <c r="J25" i="14"/>
  <c r="AC25" i="14" s="1"/>
  <c r="AY25" i="14" s="1"/>
  <c r="F25" i="14"/>
  <c r="AQ23" i="14" s="1"/>
  <c r="AQ26" i="14" s="1"/>
  <c r="E25" i="14"/>
  <c r="AP23" i="14" s="1"/>
  <c r="AP26" i="14" s="1"/>
  <c r="D25" i="14"/>
  <c r="W25" i="14" s="1"/>
  <c r="AO25" i="14" s="1"/>
  <c r="BT23" i="14"/>
  <c r="AZ23" i="14"/>
  <c r="R22" i="14"/>
  <c r="AK22" i="14" s="1"/>
  <c r="BQ20" i="14" s="1"/>
  <c r="Q22" i="14"/>
  <c r="BP18" i="14" s="1"/>
  <c r="P22" i="14"/>
  <c r="AK20" i="14" s="1"/>
  <c r="BK20" i="14" s="1"/>
  <c r="L22" i="14"/>
  <c r="K22" i="14"/>
  <c r="BF18" i="14" s="1"/>
  <c r="J22" i="14"/>
  <c r="AE20" i="14" s="1"/>
  <c r="BA20" i="14" s="1"/>
  <c r="F22" i="14"/>
  <c r="Y22" i="14" s="1"/>
  <c r="AW20" i="14" s="1"/>
  <c r="E22" i="14"/>
  <c r="AV18" i="14" s="1"/>
  <c r="D22" i="14"/>
  <c r="Y20" i="14" s="1"/>
  <c r="AQ20" i="14" s="1"/>
  <c r="R21" i="14"/>
  <c r="AJ22" i="14" s="1"/>
  <c r="BP20" i="14" s="1"/>
  <c r="Q21" i="14"/>
  <c r="AJ21" i="14" s="1"/>
  <c r="BM20" i="14" s="1"/>
  <c r="P21" i="14"/>
  <c r="L21" i="14"/>
  <c r="AD22" i="14" s="1"/>
  <c r="BF20" i="14" s="1"/>
  <c r="K21" i="14"/>
  <c r="AD21" i="14" s="1"/>
  <c r="BC20" i="14" s="1"/>
  <c r="J21" i="14"/>
  <c r="F21" i="14"/>
  <c r="X22" i="14" s="1"/>
  <c r="AV20" i="14" s="1"/>
  <c r="E21" i="14"/>
  <c r="X21" i="14" s="1"/>
  <c r="AS20" i="14" s="1"/>
  <c r="D21" i="14"/>
  <c r="AR18" i="14" s="1"/>
  <c r="R20" i="14"/>
  <c r="Q20" i="14"/>
  <c r="AI21" i="14" s="1"/>
  <c r="BL20" i="14" s="1"/>
  <c r="P20" i="14"/>
  <c r="AI20" i="14" s="1"/>
  <c r="BI20" i="14" s="1"/>
  <c r="L20" i="14"/>
  <c r="AC22" i="14" s="1"/>
  <c r="BE20" i="14" s="1"/>
  <c r="K20" i="14"/>
  <c r="J20" i="14"/>
  <c r="AC20" i="14" s="1"/>
  <c r="AY20" i="14" s="1"/>
  <c r="F20" i="14"/>
  <c r="W22" i="14" s="1"/>
  <c r="AU20" i="14" s="1"/>
  <c r="E20" i="14"/>
  <c r="AP18" i="14" s="1"/>
  <c r="D20" i="14"/>
  <c r="W20" i="14" s="1"/>
  <c r="AO20" i="14" s="1"/>
  <c r="BT18" i="14"/>
  <c r="BC18" i="14"/>
  <c r="BC21" i="14" s="1"/>
  <c r="R17" i="14"/>
  <c r="BQ13" i="14" s="1"/>
  <c r="Q17" i="14"/>
  <c r="AK16" i="14" s="1"/>
  <c r="BN15" i="14" s="1"/>
  <c r="P17" i="14"/>
  <c r="AK15" i="14" s="1"/>
  <c r="BK15" i="14" s="1"/>
  <c r="L17" i="14"/>
  <c r="AE17" i="14" s="1"/>
  <c r="BG15" i="14" s="1"/>
  <c r="K17" i="14"/>
  <c r="AE16" i="14" s="1"/>
  <c r="BD15" i="14" s="1"/>
  <c r="J17" i="14"/>
  <c r="AE15" i="14" s="1"/>
  <c r="BA15" i="14" s="1"/>
  <c r="F17" i="14"/>
  <c r="AW13" i="14" s="1"/>
  <c r="E17" i="14"/>
  <c r="AV13" i="14" s="1"/>
  <c r="D17" i="14"/>
  <c r="Y15" i="14" s="1"/>
  <c r="AQ15" i="14" s="1"/>
  <c r="R16" i="14"/>
  <c r="Q16" i="14"/>
  <c r="AJ16" i="14" s="1"/>
  <c r="BM15" i="14" s="1"/>
  <c r="P16" i="14"/>
  <c r="AJ15" i="14" s="1"/>
  <c r="BJ15" i="14" s="1"/>
  <c r="L16" i="14"/>
  <c r="K16" i="14"/>
  <c r="AD16" i="14" s="1"/>
  <c r="BC15" i="14" s="1"/>
  <c r="J16" i="14"/>
  <c r="AD15" i="14" s="1"/>
  <c r="AZ15" i="14" s="1"/>
  <c r="F16" i="14"/>
  <c r="X17" i="14" s="1"/>
  <c r="AV15" i="14" s="1"/>
  <c r="E16" i="14"/>
  <c r="X16" i="14" s="1"/>
  <c r="AS15" i="14" s="1"/>
  <c r="D16" i="14"/>
  <c r="X15" i="14" s="1"/>
  <c r="AP15" i="14" s="1"/>
  <c r="R15" i="14"/>
  <c r="AI17" i="14" s="1"/>
  <c r="BO15" i="14" s="1"/>
  <c r="BO16" i="14" s="1"/>
  <c r="Q15" i="14"/>
  <c r="AI16" i="14" s="1"/>
  <c r="BL15" i="14" s="1"/>
  <c r="P15" i="14"/>
  <c r="AI15" i="14" s="1"/>
  <c r="BI15" i="14" s="1"/>
  <c r="BI16" i="14" s="1"/>
  <c r="L15" i="14"/>
  <c r="AC17" i="14" s="1"/>
  <c r="BE15" i="14" s="1"/>
  <c r="K15" i="14"/>
  <c r="AC16" i="14" s="1"/>
  <c r="BB15" i="14" s="1"/>
  <c r="J15" i="14"/>
  <c r="AC15" i="14" s="1"/>
  <c r="AY15" i="14" s="1"/>
  <c r="F15" i="14"/>
  <c r="W17" i="14" s="1"/>
  <c r="AU15" i="14" s="1"/>
  <c r="E15" i="14"/>
  <c r="W16" i="14" s="1"/>
  <c r="AR15" i="14" s="1"/>
  <c r="D15" i="14"/>
  <c r="W15" i="14" s="1"/>
  <c r="AO15" i="14" s="1"/>
  <c r="BT13" i="14"/>
  <c r="BO13" i="14"/>
  <c r="BM13" i="14"/>
  <c r="BM16" i="14" s="1"/>
  <c r="BK13" i="14"/>
  <c r="BK16" i="14" s="1"/>
  <c r="BI13" i="14"/>
  <c r="BC13" i="14"/>
  <c r="BC16" i="14" s="1"/>
  <c r="BA13" i="14"/>
  <c r="BA16" i="14" s="1"/>
  <c r="AO13" i="14"/>
  <c r="AO16" i="14" s="1"/>
  <c r="R12" i="14"/>
  <c r="AK12" i="14" s="1"/>
  <c r="BQ10" i="14" s="1"/>
  <c r="Q12" i="14"/>
  <c r="AK11" i="14" s="1"/>
  <c r="BN10" i="14" s="1"/>
  <c r="P12" i="14"/>
  <c r="AK10" i="14" s="1"/>
  <c r="BK10" i="14" s="1"/>
  <c r="L12" i="14"/>
  <c r="AE12" i="14" s="1"/>
  <c r="BG10" i="14" s="1"/>
  <c r="K12" i="14"/>
  <c r="AE11" i="14" s="1"/>
  <c r="BD10" i="14" s="1"/>
  <c r="J12" i="14"/>
  <c r="BE8" i="14" s="1"/>
  <c r="BE11" i="14" s="1"/>
  <c r="F12" i="14"/>
  <c r="AW8" i="14" s="1"/>
  <c r="E12" i="14"/>
  <c r="Y11" i="14" s="1"/>
  <c r="AT10" i="14" s="1"/>
  <c r="D12" i="14"/>
  <c r="Y10" i="14" s="1"/>
  <c r="AQ10" i="14" s="1"/>
  <c r="R11" i="14"/>
  <c r="AJ12" i="14" s="1"/>
  <c r="BP10" i="14" s="1"/>
  <c r="Q11" i="14"/>
  <c r="AJ11" i="14" s="1"/>
  <c r="BM10" i="14" s="1"/>
  <c r="P11" i="14"/>
  <c r="AJ10" i="14" s="1"/>
  <c r="BJ10" i="14" s="1"/>
  <c r="L11" i="14"/>
  <c r="AD12" i="14" s="1"/>
  <c r="BF10" i="14" s="1"/>
  <c r="K11" i="14"/>
  <c r="AD11" i="14" s="1"/>
  <c r="BC10" i="14" s="1"/>
  <c r="J11" i="14"/>
  <c r="AD10" i="14" s="1"/>
  <c r="AZ10" i="14" s="1"/>
  <c r="F11" i="14"/>
  <c r="AT8" i="14" s="1"/>
  <c r="E11" i="14"/>
  <c r="X11" i="14" s="1"/>
  <c r="AS10" i="14" s="1"/>
  <c r="D11" i="14"/>
  <c r="X10" i="14" s="1"/>
  <c r="AP10" i="14" s="1"/>
  <c r="R10" i="14"/>
  <c r="AI12" i="14" s="1"/>
  <c r="BO10" i="14" s="1"/>
  <c r="Q10" i="14"/>
  <c r="AI11" i="14" s="1"/>
  <c r="BL10" i="14" s="1"/>
  <c r="P10" i="14"/>
  <c r="AI10" i="14" s="1"/>
  <c r="BI10" i="14" s="1"/>
  <c r="L10" i="14"/>
  <c r="AC12" i="14" s="1"/>
  <c r="BE10" i="14" s="1"/>
  <c r="K10" i="14"/>
  <c r="AC11" i="14" s="1"/>
  <c r="BB10" i="14" s="1"/>
  <c r="J10" i="14"/>
  <c r="AC10" i="14" s="1"/>
  <c r="AY10" i="14" s="1"/>
  <c r="F10" i="14"/>
  <c r="W12" i="14" s="1"/>
  <c r="AU10" i="14" s="1"/>
  <c r="E10" i="14"/>
  <c r="W11" i="14" s="1"/>
  <c r="AR10" i="14" s="1"/>
  <c r="D10" i="14"/>
  <c r="AO8" i="14" s="1"/>
  <c r="BT8" i="14"/>
  <c r="R7" i="14"/>
  <c r="AK7" i="14" s="1"/>
  <c r="BQ5" i="14" s="1"/>
  <c r="Q7" i="14"/>
  <c r="AK6" i="14" s="1"/>
  <c r="BN5" i="14" s="1"/>
  <c r="P7" i="14"/>
  <c r="AK5" i="14" s="1"/>
  <c r="BK5" i="14" s="1"/>
  <c r="L7" i="14"/>
  <c r="AE7" i="14" s="1"/>
  <c r="BG5" i="14" s="1"/>
  <c r="K7" i="14"/>
  <c r="AE6" i="14" s="1"/>
  <c r="BD5" i="14" s="1"/>
  <c r="J7" i="14"/>
  <c r="BE3" i="14" s="1"/>
  <c r="F7" i="14"/>
  <c r="Y7" i="14" s="1"/>
  <c r="AW5" i="14" s="1"/>
  <c r="E7" i="14"/>
  <c r="Y6" i="14" s="1"/>
  <c r="AT5" i="14" s="1"/>
  <c r="D7" i="14"/>
  <c r="Y5" i="14" s="1"/>
  <c r="AQ5" i="14" s="1"/>
  <c r="R6" i="14"/>
  <c r="BN3" i="14" s="1"/>
  <c r="Q6" i="14"/>
  <c r="AJ6" i="14" s="1"/>
  <c r="BM5" i="14" s="1"/>
  <c r="P6" i="14"/>
  <c r="AJ5" i="14" s="1"/>
  <c r="BJ5" i="14" s="1"/>
  <c r="L6" i="14"/>
  <c r="BD3" i="14" s="1"/>
  <c r="BD6" i="14" s="1"/>
  <c r="K6" i="14"/>
  <c r="AD6" i="14" s="1"/>
  <c r="BC5" i="14" s="1"/>
  <c r="J6" i="14"/>
  <c r="AD5" i="14" s="1"/>
  <c r="AZ5" i="14" s="1"/>
  <c r="F6" i="14"/>
  <c r="X7" i="14" s="1"/>
  <c r="AV5" i="14" s="1"/>
  <c r="E6" i="14"/>
  <c r="X6" i="14" s="1"/>
  <c r="AS5" i="14" s="1"/>
  <c r="D6" i="14"/>
  <c r="AR3" i="14" s="1"/>
  <c r="R5" i="14"/>
  <c r="AI7" i="14" s="1"/>
  <c r="BO5" i="14" s="1"/>
  <c r="Q5" i="14"/>
  <c r="AI6" i="14" s="1"/>
  <c r="BL5" i="14" s="1"/>
  <c r="P5" i="14"/>
  <c r="BI3" i="14" s="1"/>
  <c r="L5" i="14"/>
  <c r="BA3" i="14" s="1"/>
  <c r="K5" i="14"/>
  <c r="AC6" i="14" s="1"/>
  <c r="BB5" i="14" s="1"/>
  <c r="J5" i="14"/>
  <c r="AC5" i="14" s="1"/>
  <c r="AY5" i="14" s="1"/>
  <c r="F5" i="14"/>
  <c r="W7" i="14" s="1"/>
  <c r="AU5" i="14" s="1"/>
  <c r="E5" i="14"/>
  <c r="AP3" i="14" s="1"/>
  <c r="D5" i="14"/>
  <c r="BT3" i="14"/>
  <c r="A28" i="11"/>
  <c r="AE28" i="11"/>
  <c r="AD28" i="11"/>
  <c r="AC28" i="11"/>
  <c r="AB28" i="11"/>
  <c r="AA28" i="11"/>
  <c r="Z28" i="11"/>
  <c r="Y28" i="11"/>
  <c r="X28" i="11"/>
  <c r="W28" i="11"/>
  <c r="V28" i="11"/>
  <c r="U28" i="11"/>
  <c r="T28" i="11"/>
  <c r="S28" i="11"/>
  <c r="R28" i="11"/>
  <c r="Q28" i="11"/>
  <c r="P28" i="11"/>
  <c r="O28" i="11"/>
  <c r="N28" i="11"/>
  <c r="M28" i="11"/>
  <c r="L28" i="11"/>
  <c r="K28" i="11"/>
  <c r="J28" i="11"/>
  <c r="I28" i="11"/>
  <c r="H28" i="11"/>
  <c r="G28" i="11"/>
  <c r="F28" i="11"/>
  <c r="E28" i="11"/>
  <c r="D28" i="11"/>
  <c r="C28" i="11"/>
  <c r="AE26" i="11"/>
  <c r="AD26" i="11"/>
  <c r="AC26" i="11"/>
  <c r="AC42" i="11" s="1"/>
  <c r="AB26" i="11"/>
  <c r="AA26" i="11"/>
  <c r="Z26" i="11"/>
  <c r="Y26" i="11"/>
  <c r="X26" i="11"/>
  <c r="W26" i="11"/>
  <c r="U26" i="11"/>
  <c r="T26" i="11"/>
  <c r="S26" i="11"/>
  <c r="R26" i="11"/>
  <c r="Q26" i="11"/>
  <c r="P26" i="11"/>
  <c r="O26" i="11"/>
  <c r="N26" i="11"/>
  <c r="M26" i="11"/>
  <c r="K26" i="11"/>
  <c r="J26" i="11"/>
  <c r="I26" i="11"/>
  <c r="H26" i="11"/>
  <c r="G26" i="11"/>
  <c r="F26" i="11"/>
  <c r="E26" i="11"/>
  <c r="D26" i="11"/>
  <c r="C26" i="11"/>
  <c r="AE24" i="11"/>
  <c r="AD24" i="11"/>
  <c r="AC24" i="11"/>
  <c r="AB24" i="11"/>
  <c r="AA24" i="11"/>
  <c r="Z24" i="11"/>
  <c r="Z43" i="11" s="1"/>
  <c r="Y24" i="11"/>
  <c r="X24" i="11"/>
  <c r="W24" i="11"/>
  <c r="U24" i="11"/>
  <c r="T24" i="11"/>
  <c r="S24" i="11"/>
  <c r="R24" i="11"/>
  <c r="Q24" i="11"/>
  <c r="Q43" i="11" s="1"/>
  <c r="P24" i="11"/>
  <c r="P43" i="11" s="1"/>
  <c r="O24" i="11"/>
  <c r="N24" i="11"/>
  <c r="M24" i="11"/>
  <c r="K24" i="11"/>
  <c r="J24" i="11"/>
  <c r="I24" i="11"/>
  <c r="H24" i="11"/>
  <c r="G24" i="11"/>
  <c r="F24" i="11"/>
  <c r="E24" i="11"/>
  <c r="E39" i="11" s="1"/>
  <c r="D24" i="11"/>
  <c r="C24" i="11"/>
  <c r="A22" i="11"/>
  <c r="AE22" i="11"/>
  <c r="AD22" i="11"/>
  <c r="AC22" i="11"/>
  <c r="AB22" i="11"/>
  <c r="AA22" i="11"/>
  <c r="Z22" i="11"/>
  <c r="Y22" i="11"/>
  <c r="X22" i="11"/>
  <c r="W22" i="11"/>
  <c r="U22" i="11"/>
  <c r="T22" i="11"/>
  <c r="S22" i="11"/>
  <c r="R22" i="11"/>
  <c r="Q22" i="11"/>
  <c r="P22" i="11"/>
  <c r="O22" i="11"/>
  <c r="N22" i="11"/>
  <c r="M22" i="11"/>
  <c r="K22" i="11"/>
  <c r="J22" i="11"/>
  <c r="I22" i="11"/>
  <c r="H22" i="11"/>
  <c r="G22" i="11"/>
  <c r="F22" i="11"/>
  <c r="E22" i="11"/>
  <c r="D22" i="11"/>
  <c r="C22" i="11"/>
  <c r="A10" i="11"/>
  <c r="A4" i="11"/>
  <c r="A6" i="11"/>
  <c r="A16" i="11"/>
  <c r="A12" i="11"/>
  <c r="A18" i="11"/>
  <c r="A20" i="11"/>
  <c r="AE20" i="11"/>
  <c r="AE51" i="11" s="1"/>
  <c r="AD20" i="11"/>
  <c r="AC20" i="11"/>
  <c r="AB20" i="11"/>
  <c r="AA20" i="11"/>
  <c r="Z20" i="11"/>
  <c r="Y20" i="11"/>
  <c r="Y51" i="11" s="1"/>
  <c r="X20" i="11"/>
  <c r="X51" i="11" s="1"/>
  <c r="W20" i="11"/>
  <c r="W51" i="11" s="1"/>
  <c r="U20" i="11"/>
  <c r="T20" i="11"/>
  <c r="S20" i="11"/>
  <c r="R20" i="11"/>
  <c r="Q20" i="11"/>
  <c r="P20" i="11"/>
  <c r="P50" i="11" s="1"/>
  <c r="O20" i="11"/>
  <c r="O50" i="11" s="1"/>
  <c r="N20" i="11"/>
  <c r="N51" i="11" s="1"/>
  <c r="M20" i="11"/>
  <c r="K20" i="11"/>
  <c r="J20" i="11"/>
  <c r="I20" i="11"/>
  <c r="H20" i="11"/>
  <c r="G20" i="11"/>
  <c r="G51" i="11" s="1"/>
  <c r="F20" i="11"/>
  <c r="F51" i="11" s="1"/>
  <c r="E20" i="11"/>
  <c r="D20" i="11"/>
  <c r="C20" i="11"/>
  <c r="AE18" i="11"/>
  <c r="AD18" i="11"/>
  <c r="AC18" i="11"/>
  <c r="AB18" i="11"/>
  <c r="AA18" i="11"/>
  <c r="Z18" i="11"/>
  <c r="Z47" i="11" s="1"/>
  <c r="Y18" i="11"/>
  <c r="X18" i="11"/>
  <c r="X46" i="11" s="1"/>
  <c r="W18" i="11"/>
  <c r="U18" i="11"/>
  <c r="T18" i="11"/>
  <c r="S18" i="11"/>
  <c r="R18" i="11"/>
  <c r="Q18" i="11"/>
  <c r="Q46" i="11" s="1"/>
  <c r="P18" i="11"/>
  <c r="O18" i="11"/>
  <c r="O47" i="11" s="1"/>
  <c r="N18" i="11"/>
  <c r="M18" i="11"/>
  <c r="K18" i="11"/>
  <c r="J18" i="11"/>
  <c r="I18" i="11"/>
  <c r="H18" i="11"/>
  <c r="G18" i="11"/>
  <c r="F18" i="11"/>
  <c r="E18" i="11"/>
  <c r="D18" i="11"/>
  <c r="C18" i="11"/>
  <c r="AE12" i="11"/>
  <c r="AD12" i="11"/>
  <c r="AC12" i="11"/>
  <c r="AB12" i="11"/>
  <c r="AA12" i="11"/>
  <c r="Z12" i="11"/>
  <c r="Y12" i="11"/>
  <c r="X12" i="11"/>
  <c r="W12" i="11"/>
  <c r="U12" i="11"/>
  <c r="T12" i="11"/>
  <c r="S12" i="11"/>
  <c r="R12" i="11"/>
  <c r="Q12" i="11"/>
  <c r="P12" i="11"/>
  <c r="O12" i="11"/>
  <c r="N12" i="11"/>
  <c r="M12" i="11"/>
  <c r="K12" i="11"/>
  <c r="J12" i="11"/>
  <c r="I12" i="11"/>
  <c r="H12" i="11"/>
  <c r="G12" i="11"/>
  <c r="F12" i="11"/>
  <c r="E12" i="11"/>
  <c r="D12" i="11"/>
  <c r="C12" i="11"/>
  <c r="AE16" i="11"/>
  <c r="AD16" i="11"/>
  <c r="AC16" i="11"/>
  <c r="AB16" i="11"/>
  <c r="AA16" i="11"/>
  <c r="Z16" i="11"/>
  <c r="Y16" i="11"/>
  <c r="X16" i="11"/>
  <c r="W16" i="11"/>
  <c r="U16" i="11"/>
  <c r="T16" i="11"/>
  <c r="S16" i="11"/>
  <c r="R16" i="11"/>
  <c r="Q16" i="11"/>
  <c r="P16" i="11"/>
  <c r="O16" i="11"/>
  <c r="N16" i="11"/>
  <c r="M16" i="11"/>
  <c r="K16" i="11"/>
  <c r="J16" i="11"/>
  <c r="I16" i="11"/>
  <c r="H16" i="11"/>
  <c r="G16" i="11"/>
  <c r="F16" i="11"/>
  <c r="E16" i="11"/>
  <c r="D16" i="11"/>
  <c r="C16" i="11"/>
  <c r="AE14" i="11"/>
  <c r="AD14" i="11"/>
  <c r="AC14" i="11"/>
  <c r="AB14" i="11"/>
  <c r="AA14" i="11"/>
  <c r="Z14" i="11"/>
  <c r="Y14" i="11"/>
  <c r="X14" i="11"/>
  <c r="W14" i="11"/>
  <c r="U14" i="11"/>
  <c r="T14" i="11"/>
  <c r="S14" i="11"/>
  <c r="R14" i="11"/>
  <c r="Q14" i="11"/>
  <c r="P14" i="11"/>
  <c r="O14" i="11"/>
  <c r="N14" i="11"/>
  <c r="M14" i="11"/>
  <c r="K14" i="11"/>
  <c r="J14" i="11"/>
  <c r="I14" i="11"/>
  <c r="H14" i="11"/>
  <c r="G14" i="11"/>
  <c r="F14" i="11"/>
  <c r="E14" i="11"/>
  <c r="D14" i="11"/>
  <c r="C14" i="11"/>
  <c r="AE6" i="11"/>
  <c r="AD6" i="11"/>
  <c r="AC6" i="11"/>
  <c r="AB6" i="11"/>
  <c r="AA6" i="11"/>
  <c r="Z6" i="11"/>
  <c r="Y6" i="11"/>
  <c r="X6" i="11"/>
  <c r="W6" i="11"/>
  <c r="U6" i="11"/>
  <c r="T6" i="11"/>
  <c r="S6" i="11"/>
  <c r="R6" i="11"/>
  <c r="Q6" i="11"/>
  <c r="P6" i="11"/>
  <c r="O6" i="11"/>
  <c r="N6" i="11"/>
  <c r="K6" i="11"/>
  <c r="J6" i="11"/>
  <c r="I6" i="11"/>
  <c r="H6" i="11"/>
  <c r="G6" i="11"/>
  <c r="F6" i="11"/>
  <c r="E6" i="11"/>
  <c r="D6" i="11"/>
  <c r="C6" i="11"/>
  <c r="AE4" i="11"/>
  <c r="AD4" i="11"/>
  <c r="AC4" i="11"/>
  <c r="AB4" i="11"/>
  <c r="AA4" i="11"/>
  <c r="Z4" i="11"/>
  <c r="X4" i="11"/>
  <c r="W4" i="11"/>
  <c r="U4" i="11"/>
  <c r="T4" i="11"/>
  <c r="S4" i="11"/>
  <c r="R4" i="11"/>
  <c r="Q4" i="11"/>
  <c r="P4" i="11"/>
  <c r="O4" i="11"/>
  <c r="N4" i="11"/>
  <c r="K4" i="11"/>
  <c r="J4" i="11"/>
  <c r="I4" i="11"/>
  <c r="H4" i="11"/>
  <c r="G4" i="11"/>
  <c r="F4" i="11"/>
  <c r="E4" i="11"/>
  <c r="D4" i="11"/>
  <c r="C4" i="11"/>
  <c r="AE2" i="11"/>
  <c r="AD2" i="11"/>
  <c r="AB2" i="11"/>
  <c r="AA2" i="11"/>
  <c r="Z2" i="11"/>
  <c r="Y2" i="11"/>
  <c r="X2" i="11"/>
  <c r="W2" i="11"/>
  <c r="U2" i="11"/>
  <c r="T2" i="11"/>
  <c r="S2" i="11"/>
  <c r="R2" i="11"/>
  <c r="Q2" i="11"/>
  <c r="P2" i="11"/>
  <c r="O2" i="11"/>
  <c r="N2" i="11"/>
  <c r="K2" i="11"/>
  <c r="J2" i="11"/>
  <c r="I2" i="11"/>
  <c r="H2" i="11"/>
  <c r="G2" i="11"/>
  <c r="F2" i="11"/>
  <c r="E2" i="11"/>
  <c r="D2" i="11"/>
  <c r="AE10" i="11"/>
  <c r="AD10" i="11"/>
  <c r="AC10" i="11"/>
  <c r="AB10" i="11"/>
  <c r="AA10" i="11"/>
  <c r="Z10" i="11"/>
  <c r="Y10" i="11"/>
  <c r="X10" i="11"/>
  <c r="W10" i="11"/>
  <c r="U10" i="11"/>
  <c r="T10" i="11"/>
  <c r="S10" i="11"/>
  <c r="R10" i="11"/>
  <c r="Q10" i="11"/>
  <c r="P10" i="11"/>
  <c r="O10" i="11"/>
  <c r="N10" i="11"/>
  <c r="M10" i="11"/>
  <c r="K10" i="11"/>
  <c r="J10" i="11"/>
  <c r="I10" i="11"/>
  <c r="H10" i="11"/>
  <c r="G10" i="11"/>
  <c r="F10" i="11"/>
  <c r="E10" i="11"/>
  <c r="D10" i="11"/>
  <c r="C10" i="11"/>
  <c r="AE8" i="11"/>
  <c r="AD8" i="11"/>
  <c r="AC8" i="11"/>
  <c r="AB8" i="11"/>
  <c r="AA8" i="11"/>
  <c r="Z8" i="11"/>
  <c r="Y8" i="11"/>
  <c r="X8" i="11"/>
  <c r="W8" i="11"/>
  <c r="U8" i="11"/>
  <c r="T8" i="11"/>
  <c r="S8" i="11"/>
  <c r="R8" i="11"/>
  <c r="Q8" i="11"/>
  <c r="P8" i="11"/>
  <c r="O8" i="11"/>
  <c r="N8" i="11"/>
  <c r="M8" i="11"/>
  <c r="K8" i="11"/>
  <c r="J8" i="11"/>
  <c r="I8" i="11"/>
  <c r="H8" i="11"/>
  <c r="G8" i="11"/>
  <c r="F8" i="11"/>
  <c r="E8" i="11"/>
  <c r="D8" i="11"/>
  <c r="C8" i="11"/>
  <c r="R52" i="7"/>
  <c r="AR50" i="7" s="1"/>
  <c r="L52" i="7"/>
  <c r="AH50" i="7" s="1"/>
  <c r="D53" i="7"/>
  <c r="Y50" i="7" s="1"/>
  <c r="R36" i="7"/>
  <c r="R84" i="7" s="1"/>
  <c r="AX80" i="7" s="1"/>
  <c r="Q36" i="7"/>
  <c r="R83" i="7" s="1"/>
  <c r="AU80" i="7" s="1"/>
  <c r="P36" i="7"/>
  <c r="R82" i="7" s="1"/>
  <c r="AR80" i="7" s="1"/>
  <c r="R35" i="7"/>
  <c r="Q84" i="7" s="1"/>
  <c r="AW80" i="7" s="1"/>
  <c r="Q35" i="7"/>
  <c r="Q83" i="7" s="1"/>
  <c r="AT80" i="7" s="1"/>
  <c r="P35" i="7"/>
  <c r="Q82" i="7" s="1"/>
  <c r="AQ80" i="7" s="1"/>
  <c r="R34" i="7"/>
  <c r="P84" i="7" s="1"/>
  <c r="AV80" i="7" s="1"/>
  <c r="Q34" i="7"/>
  <c r="P83" i="7" s="1"/>
  <c r="AS80" i="7" s="1"/>
  <c r="P34" i="7"/>
  <c r="P82" i="7" s="1"/>
  <c r="AP80" i="7" s="1"/>
  <c r="L36" i="7"/>
  <c r="L84" i="7" s="1"/>
  <c r="AN80" i="7" s="1"/>
  <c r="K36" i="7"/>
  <c r="L83" i="7" s="1"/>
  <c r="AK80" i="7" s="1"/>
  <c r="J36" i="7"/>
  <c r="L82" i="7" s="1"/>
  <c r="AH80" i="7" s="1"/>
  <c r="L35" i="7"/>
  <c r="K84" i="7" s="1"/>
  <c r="AM80" i="7" s="1"/>
  <c r="K35" i="7"/>
  <c r="K83" i="7" s="1"/>
  <c r="AJ80" i="7" s="1"/>
  <c r="J35" i="7"/>
  <c r="K82" i="7" s="1"/>
  <c r="AG80" i="7" s="1"/>
  <c r="L34" i="7"/>
  <c r="J84" i="7" s="1"/>
  <c r="AL80" i="7" s="1"/>
  <c r="K34" i="7"/>
  <c r="J83" i="7" s="1"/>
  <c r="AI80" i="7" s="1"/>
  <c r="J34" i="7"/>
  <c r="J82" i="7" s="1"/>
  <c r="AF80" i="7" s="1"/>
  <c r="F36" i="7"/>
  <c r="F84" i="7" s="1"/>
  <c r="AD80" i="7" s="1"/>
  <c r="E36" i="7"/>
  <c r="F83" i="7" s="1"/>
  <c r="AA80" i="7" s="1"/>
  <c r="D36" i="7"/>
  <c r="F82" i="7" s="1"/>
  <c r="X80" i="7" s="1"/>
  <c r="F35" i="7"/>
  <c r="E84" i="7" s="1"/>
  <c r="AC80" i="7" s="1"/>
  <c r="E35" i="7"/>
  <c r="E83" i="7" s="1"/>
  <c r="Z80" i="7" s="1"/>
  <c r="D35" i="7"/>
  <c r="E82" i="7" s="1"/>
  <c r="W80" i="7" s="1"/>
  <c r="F34" i="7"/>
  <c r="D84" i="7" s="1"/>
  <c r="AB80" i="7" s="1"/>
  <c r="E34" i="7"/>
  <c r="D83" i="7" s="1"/>
  <c r="Y80" i="7" s="1"/>
  <c r="R46" i="7"/>
  <c r="R94" i="7" s="1"/>
  <c r="AX90" i="7" s="1"/>
  <c r="Q46" i="7"/>
  <c r="R93" i="7" s="1"/>
  <c r="AU90" i="7" s="1"/>
  <c r="P46" i="7"/>
  <c r="R92" i="7" s="1"/>
  <c r="AR90" i="7" s="1"/>
  <c r="R45" i="7"/>
  <c r="Q94" i="7" s="1"/>
  <c r="AW90" i="7" s="1"/>
  <c r="Q45" i="7"/>
  <c r="Q93" i="7" s="1"/>
  <c r="AT90" i="7" s="1"/>
  <c r="P45" i="7"/>
  <c r="Q92" i="7" s="1"/>
  <c r="AQ90" i="7" s="1"/>
  <c r="R44" i="7"/>
  <c r="P94" i="7" s="1"/>
  <c r="AV90" i="7" s="1"/>
  <c r="Q44" i="7"/>
  <c r="P93" i="7" s="1"/>
  <c r="AS90" i="7" s="1"/>
  <c r="P44" i="7"/>
  <c r="P92" i="7" s="1"/>
  <c r="AP90" i="7" s="1"/>
  <c r="L46" i="7"/>
  <c r="L94" i="7" s="1"/>
  <c r="AN90" i="7" s="1"/>
  <c r="K46" i="7"/>
  <c r="L93" i="7" s="1"/>
  <c r="AK90" i="7" s="1"/>
  <c r="J46" i="7"/>
  <c r="L92" i="7" s="1"/>
  <c r="AH90" i="7" s="1"/>
  <c r="L45" i="7"/>
  <c r="K94" i="7" s="1"/>
  <c r="AM90" i="7" s="1"/>
  <c r="K45" i="7"/>
  <c r="K93" i="7" s="1"/>
  <c r="AJ90" i="7" s="1"/>
  <c r="J45" i="7"/>
  <c r="K92" i="7" s="1"/>
  <c r="AG90" i="7" s="1"/>
  <c r="L44" i="7"/>
  <c r="J94" i="7" s="1"/>
  <c r="AL90" i="7" s="1"/>
  <c r="K44" i="7"/>
  <c r="J93" i="7" s="1"/>
  <c r="AI90" i="7" s="1"/>
  <c r="J44" i="7"/>
  <c r="J92" i="7" s="1"/>
  <c r="AF90" i="7" s="1"/>
  <c r="F46" i="7"/>
  <c r="F94" i="7" s="1"/>
  <c r="AD90" i="7" s="1"/>
  <c r="E46" i="7"/>
  <c r="F93" i="7" s="1"/>
  <c r="AA90" i="7" s="1"/>
  <c r="D46" i="7"/>
  <c r="F92" i="7" s="1"/>
  <c r="X90" i="7" s="1"/>
  <c r="F45" i="7"/>
  <c r="E94" i="7" s="1"/>
  <c r="AC90" i="7" s="1"/>
  <c r="E45" i="7"/>
  <c r="E93" i="7" s="1"/>
  <c r="Z90" i="7" s="1"/>
  <c r="D45" i="7"/>
  <c r="E92" i="7" s="1"/>
  <c r="W90" i="7" s="1"/>
  <c r="F44" i="7"/>
  <c r="D94" i="7" s="1"/>
  <c r="AB90" i="7" s="1"/>
  <c r="E44" i="7"/>
  <c r="D93" i="7" s="1"/>
  <c r="Y90" i="7" s="1"/>
  <c r="R31" i="7"/>
  <c r="R79" i="7" s="1"/>
  <c r="AX75" i="7" s="1"/>
  <c r="Q31" i="7"/>
  <c r="R78" i="7" s="1"/>
  <c r="AU75" i="7" s="1"/>
  <c r="P31" i="7"/>
  <c r="R77" i="7" s="1"/>
  <c r="AR75" i="7" s="1"/>
  <c r="R30" i="7"/>
  <c r="Q79" i="7" s="1"/>
  <c r="AW75" i="7" s="1"/>
  <c r="Q30" i="7"/>
  <c r="Q78" i="7" s="1"/>
  <c r="AT75" i="7" s="1"/>
  <c r="P30" i="7"/>
  <c r="Q77" i="7" s="1"/>
  <c r="AQ75" i="7" s="1"/>
  <c r="R29" i="7"/>
  <c r="P79" i="7" s="1"/>
  <c r="AV75" i="7" s="1"/>
  <c r="Q29" i="7"/>
  <c r="P78" i="7" s="1"/>
  <c r="AS75" i="7" s="1"/>
  <c r="P29" i="7"/>
  <c r="P77" i="7" s="1"/>
  <c r="AP75" i="7" s="1"/>
  <c r="L31" i="7"/>
  <c r="L79" i="7" s="1"/>
  <c r="AN75" i="7" s="1"/>
  <c r="K31" i="7"/>
  <c r="L78" i="7" s="1"/>
  <c r="AK75" i="7" s="1"/>
  <c r="J31" i="7"/>
  <c r="L77" i="7" s="1"/>
  <c r="AH75" i="7" s="1"/>
  <c r="L30" i="7"/>
  <c r="K79" i="7" s="1"/>
  <c r="AM75" i="7" s="1"/>
  <c r="K30" i="7"/>
  <c r="K78" i="7" s="1"/>
  <c r="AJ75" i="7" s="1"/>
  <c r="J30" i="7"/>
  <c r="K77" i="7" s="1"/>
  <c r="AG75" i="7" s="1"/>
  <c r="L29" i="7"/>
  <c r="J79" i="7" s="1"/>
  <c r="AL75" i="7" s="1"/>
  <c r="K29" i="7"/>
  <c r="J78" i="7" s="1"/>
  <c r="AI75" i="7" s="1"/>
  <c r="J29" i="7"/>
  <c r="J77" i="7" s="1"/>
  <c r="AF75" i="7" s="1"/>
  <c r="F31" i="7"/>
  <c r="F79" i="7" s="1"/>
  <c r="AD75" i="7" s="1"/>
  <c r="E31" i="7"/>
  <c r="F78" i="7" s="1"/>
  <c r="AA75" i="7" s="1"/>
  <c r="D31" i="7"/>
  <c r="F77" i="7" s="1"/>
  <c r="X75" i="7" s="1"/>
  <c r="F30" i="7"/>
  <c r="E79" i="7" s="1"/>
  <c r="AC75" i="7" s="1"/>
  <c r="E30" i="7"/>
  <c r="E78" i="7" s="1"/>
  <c r="Z75" i="7" s="1"/>
  <c r="D30" i="7"/>
  <c r="E77" i="7" s="1"/>
  <c r="W75" i="7" s="1"/>
  <c r="F29" i="7"/>
  <c r="D79" i="7" s="1"/>
  <c r="AB75" i="7" s="1"/>
  <c r="E29" i="7"/>
  <c r="D78" i="7" s="1"/>
  <c r="Y75" i="7" s="1"/>
  <c r="R26" i="7"/>
  <c r="R74" i="7" s="1"/>
  <c r="AX70" i="7" s="1"/>
  <c r="Q26" i="7"/>
  <c r="R73" i="7" s="1"/>
  <c r="AU70" i="7" s="1"/>
  <c r="P26" i="7"/>
  <c r="R72" i="7" s="1"/>
  <c r="AR70" i="7" s="1"/>
  <c r="R25" i="7"/>
  <c r="Q74" i="7" s="1"/>
  <c r="AW70" i="7" s="1"/>
  <c r="Q25" i="7"/>
  <c r="Q73" i="7" s="1"/>
  <c r="AT70" i="7" s="1"/>
  <c r="P25" i="7"/>
  <c r="Q72" i="7" s="1"/>
  <c r="AQ70" i="7" s="1"/>
  <c r="R24" i="7"/>
  <c r="P74" i="7" s="1"/>
  <c r="AV70" i="7" s="1"/>
  <c r="Q24" i="7"/>
  <c r="P73" i="7" s="1"/>
  <c r="AS70" i="7" s="1"/>
  <c r="P24" i="7"/>
  <c r="P72" i="7" s="1"/>
  <c r="AP70" i="7" s="1"/>
  <c r="L26" i="7"/>
  <c r="L74" i="7" s="1"/>
  <c r="AN70" i="7" s="1"/>
  <c r="K26" i="7"/>
  <c r="L73" i="7" s="1"/>
  <c r="AK70" i="7" s="1"/>
  <c r="J26" i="7"/>
  <c r="L72" i="7" s="1"/>
  <c r="AH70" i="7" s="1"/>
  <c r="L25" i="7"/>
  <c r="K74" i="7" s="1"/>
  <c r="AM70" i="7" s="1"/>
  <c r="K25" i="7"/>
  <c r="K73" i="7" s="1"/>
  <c r="AJ70" i="7" s="1"/>
  <c r="J25" i="7"/>
  <c r="K72" i="7" s="1"/>
  <c r="AG70" i="7" s="1"/>
  <c r="L24" i="7"/>
  <c r="J74" i="7" s="1"/>
  <c r="AL70" i="7" s="1"/>
  <c r="K24" i="7"/>
  <c r="J73" i="7" s="1"/>
  <c r="AI70" i="7" s="1"/>
  <c r="J24" i="7"/>
  <c r="J72" i="7" s="1"/>
  <c r="AF70" i="7" s="1"/>
  <c r="F26" i="7"/>
  <c r="F74" i="7" s="1"/>
  <c r="AD70" i="7" s="1"/>
  <c r="E26" i="7"/>
  <c r="F73" i="7" s="1"/>
  <c r="AA70" i="7" s="1"/>
  <c r="D26" i="7"/>
  <c r="F72" i="7" s="1"/>
  <c r="X70" i="7" s="1"/>
  <c r="F25" i="7"/>
  <c r="E74" i="7" s="1"/>
  <c r="AC70" i="7" s="1"/>
  <c r="E25" i="7"/>
  <c r="E73" i="7" s="1"/>
  <c r="Z70" i="7" s="1"/>
  <c r="D25" i="7"/>
  <c r="E72" i="7" s="1"/>
  <c r="W70" i="7" s="1"/>
  <c r="F24" i="7"/>
  <c r="D74" i="7" s="1"/>
  <c r="AB70" i="7" s="1"/>
  <c r="E24" i="7"/>
  <c r="D73" i="7" s="1"/>
  <c r="Y70" i="7" s="1"/>
  <c r="R21" i="7"/>
  <c r="R69" i="7" s="1"/>
  <c r="AX65" i="7" s="1"/>
  <c r="Q21" i="7"/>
  <c r="R68" i="7" s="1"/>
  <c r="AU65" i="7" s="1"/>
  <c r="P21" i="7"/>
  <c r="R67" i="7" s="1"/>
  <c r="AR65" i="7" s="1"/>
  <c r="R20" i="7"/>
  <c r="Q69" i="7" s="1"/>
  <c r="AW65" i="7" s="1"/>
  <c r="Q20" i="7"/>
  <c r="Q68" i="7" s="1"/>
  <c r="AT65" i="7" s="1"/>
  <c r="P20" i="7"/>
  <c r="Q67" i="7" s="1"/>
  <c r="AQ65" i="7" s="1"/>
  <c r="R19" i="7"/>
  <c r="P69" i="7" s="1"/>
  <c r="AV65" i="7" s="1"/>
  <c r="Q19" i="7"/>
  <c r="P68" i="7" s="1"/>
  <c r="AS65" i="7" s="1"/>
  <c r="P19" i="7"/>
  <c r="P67" i="7" s="1"/>
  <c r="AP65" i="7" s="1"/>
  <c r="L21" i="7"/>
  <c r="L69" i="7" s="1"/>
  <c r="AN65" i="7" s="1"/>
  <c r="K21" i="7"/>
  <c r="L68" i="7" s="1"/>
  <c r="AK65" i="7" s="1"/>
  <c r="J21" i="7"/>
  <c r="L67" i="7" s="1"/>
  <c r="AH65" i="7" s="1"/>
  <c r="L20" i="7"/>
  <c r="K69" i="7" s="1"/>
  <c r="AM65" i="7" s="1"/>
  <c r="K20" i="7"/>
  <c r="K68" i="7" s="1"/>
  <c r="AJ65" i="7" s="1"/>
  <c r="J20" i="7"/>
  <c r="K67" i="7" s="1"/>
  <c r="AG65" i="7" s="1"/>
  <c r="L19" i="7"/>
  <c r="J69" i="7" s="1"/>
  <c r="AL65" i="7" s="1"/>
  <c r="K19" i="7"/>
  <c r="J68" i="7" s="1"/>
  <c r="AI65" i="7" s="1"/>
  <c r="J19" i="7"/>
  <c r="J67" i="7" s="1"/>
  <c r="AF65" i="7" s="1"/>
  <c r="F21" i="7"/>
  <c r="F69" i="7" s="1"/>
  <c r="AD65" i="7" s="1"/>
  <c r="E21" i="7"/>
  <c r="F68" i="7" s="1"/>
  <c r="AA65" i="7" s="1"/>
  <c r="D21" i="7"/>
  <c r="F67" i="7" s="1"/>
  <c r="X65" i="7" s="1"/>
  <c r="F20" i="7"/>
  <c r="E69" i="7" s="1"/>
  <c r="AC65" i="7" s="1"/>
  <c r="E20" i="7"/>
  <c r="E68" i="7" s="1"/>
  <c r="Z65" i="7" s="1"/>
  <c r="D20" i="7"/>
  <c r="E67" i="7" s="1"/>
  <c r="W65" i="7" s="1"/>
  <c r="F19" i="7"/>
  <c r="D69" i="7" s="1"/>
  <c r="AB65" i="7" s="1"/>
  <c r="E19" i="7"/>
  <c r="D68" i="7" s="1"/>
  <c r="Y65" i="7" s="1"/>
  <c r="R16" i="7"/>
  <c r="R64" i="7" s="1"/>
  <c r="AX60" i="7" s="1"/>
  <c r="Q16" i="7"/>
  <c r="R63" i="7" s="1"/>
  <c r="AU60" i="7" s="1"/>
  <c r="P16" i="7"/>
  <c r="R62" i="7" s="1"/>
  <c r="AR60" i="7" s="1"/>
  <c r="R15" i="7"/>
  <c r="Q64" i="7" s="1"/>
  <c r="AW60" i="7" s="1"/>
  <c r="Q15" i="7"/>
  <c r="Q63" i="7" s="1"/>
  <c r="AT60" i="7" s="1"/>
  <c r="P15" i="7"/>
  <c r="Q62" i="7" s="1"/>
  <c r="AQ60" i="7" s="1"/>
  <c r="R14" i="7"/>
  <c r="P64" i="7" s="1"/>
  <c r="AV60" i="7" s="1"/>
  <c r="Q14" i="7"/>
  <c r="P63" i="7" s="1"/>
  <c r="AS60" i="7" s="1"/>
  <c r="P14" i="7"/>
  <c r="P62" i="7" s="1"/>
  <c r="AP60" i="7" s="1"/>
  <c r="L16" i="7"/>
  <c r="L64" i="7" s="1"/>
  <c r="AN60" i="7" s="1"/>
  <c r="K16" i="7"/>
  <c r="L63" i="7" s="1"/>
  <c r="AK60" i="7" s="1"/>
  <c r="J16" i="7"/>
  <c r="L62" i="7" s="1"/>
  <c r="AH60" i="7" s="1"/>
  <c r="L15" i="7"/>
  <c r="K64" i="7" s="1"/>
  <c r="AM60" i="7" s="1"/>
  <c r="K15" i="7"/>
  <c r="K63" i="7" s="1"/>
  <c r="AJ60" i="7" s="1"/>
  <c r="J15" i="7"/>
  <c r="K62" i="7" s="1"/>
  <c r="AG60" i="7" s="1"/>
  <c r="L14" i="7"/>
  <c r="J64" i="7" s="1"/>
  <c r="AL60" i="7" s="1"/>
  <c r="K14" i="7"/>
  <c r="J63" i="7" s="1"/>
  <c r="AI60" i="7" s="1"/>
  <c r="J14" i="7"/>
  <c r="J62" i="7" s="1"/>
  <c r="AF60" i="7" s="1"/>
  <c r="F16" i="7"/>
  <c r="F64" i="7" s="1"/>
  <c r="AD60" i="7" s="1"/>
  <c r="E16" i="7"/>
  <c r="F63" i="7" s="1"/>
  <c r="AA60" i="7" s="1"/>
  <c r="D16" i="7"/>
  <c r="F62" i="7" s="1"/>
  <c r="X60" i="7" s="1"/>
  <c r="F15" i="7"/>
  <c r="E64" i="7" s="1"/>
  <c r="AC60" i="7" s="1"/>
  <c r="E15" i="7"/>
  <c r="E63" i="7" s="1"/>
  <c r="Z60" i="7" s="1"/>
  <c r="D15" i="7"/>
  <c r="E62" i="7" s="1"/>
  <c r="W60" i="7" s="1"/>
  <c r="F14" i="7"/>
  <c r="D64" i="7" s="1"/>
  <c r="AB60" i="7" s="1"/>
  <c r="E14" i="7"/>
  <c r="D63" i="7" s="1"/>
  <c r="Y60" i="7" s="1"/>
  <c r="R11" i="7"/>
  <c r="R59" i="7" s="1"/>
  <c r="AX55" i="7" s="1"/>
  <c r="Q11" i="7"/>
  <c r="R58" i="7" s="1"/>
  <c r="AU55" i="7" s="1"/>
  <c r="P11" i="7"/>
  <c r="R57" i="7" s="1"/>
  <c r="AR55" i="7" s="1"/>
  <c r="R10" i="7"/>
  <c r="Q59" i="7" s="1"/>
  <c r="AW55" i="7" s="1"/>
  <c r="Q10" i="7"/>
  <c r="Q58" i="7" s="1"/>
  <c r="AT55" i="7" s="1"/>
  <c r="P10" i="7"/>
  <c r="Q57" i="7" s="1"/>
  <c r="AQ55" i="7" s="1"/>
  <c r="R9" i="7"/>
  <c r="P59" i="7" s="1"/>
  <c r="AV55" i="7" s="1"/>
  <c r="AC2" i="11" s="1"/>
  <c r="Q9" i="7"/>
  <c r="P58" i="7" s="1"/>
  <c r="AS55" i="7" s="1"/>
  <c r="P9" i="7"/>
  <c r="P57" i="7" s="1"/>
  <c r="AP55" i="7" s="1"/>
  <c r="L11" i="7"/>
  <c r="L59" i="7" s="1"/>
  <c r="AN55" i="7" s="1"/>
  <c r="K11" i="7"/>
  <c r="L58" i="7" s="1"/>
  <c r="AK55" i="7" s="1"/>
  <c r="J11" i="7"/>
  <c r="L57" i="7" s="1"/>
  <c r="AH55" i="7" s="1"/>
  <c r="L10" i="7"/>
  <c r="K59" i="7" s="1"/>
  <c r="AM55" i="7" s="1"/>
  <c r="K10" i="7"/>
  <c r="K58" i="7" s="1"/>
  <c r="AJ55" i="7" s="1"/>
  <c r="J10" i="7"/>
  <c r="K57" i="7" s="1"/>
  <c r="AG55" i="7" s="1"/>
  <c r="L9" i="7"/>
  <c r="J59" i="7" s="1"/>
  <c r="AL55" i="7" s="1"/>
  <c r="K9" i="7"/>
  <c r="J58" i="7" s="1"/>
  <c r="AI55" i="7" s="1"/>
  <c r="J9" i="7"/>
  <c r="J57" i="7" s="1"/>
  <c r="AF55" i="7" s="1"/>
  <c r="M2" i="11" s="1"/>
  <c r="F11" i="7"/>
  <c r="F59" i="7" s="1"/>
  <c r="AD55" i="7" s="1"/>
  <c r="E11" i="7"/>
  <c r="F58" i="7" s="1"/>
  <c r="AA55" i="7" s="1"/>
  <c r="D11" i="7"/>
  <c r="F57" i="7" s="1"/>
  <c r="X55" i="7" s="1"/>
  <c r="F10" i="7"/>
  <c r="E59" i="7" s="1"/>
  <c r="AC55" i="7" s="1"/>
  <c r="E10" i="7"/>
  <c r="E58" i="7" s="1"/>
  <c r="Z55" i="7" s="1"/>
  <c r="D10" i="7"/>
  <c r="E57" i="7" s="1"/>
  <c r="W55" i="7" s="1"/>
  <c r="F9" i="7"/>
  <c r="D59" i="7" s="1"/>
  <c r="AB55" i="7" s="1"/>
  <c r="E9" i="7"/>
  <c r="D58" i="7" s="1"/>
  <c r="Y55" i="7" s="1"/>
  <c r="R6" i="7"/>
  <c r="R54" i="7" s="1"/>
  <c r="AX50" i="7" s="1"/>
  <c r="Q6" i="7"/>
  <c r="R53" i="7" s="1"/>
  <c r="AU50" i="7" s="1"/>
  <c r="P6" i="7"/>
  <c r="R5" i="7"/>
  <c r="Q54" i="7" s="1"/>
  <c r="AW50" i="7" s="1"/>
  <c r="Q5" i="7"/>
  <c r="Q53" i="7" s="1"/>
  <c r="AT50" i="7" s="1"/>
  <c r="P5" i="7"/>
  <c r="Q52" i="7" s="1"/>
  <c r="AQ50" i="7" s="1"/>
  <c r="R4" i="7"/>
  <c r="P54" i="7" s="1"/>
  <c r="AV50" i="7" s="1"/>
  <c r="Q4" i="7"/>
  <c r="P53" i="7" s="1"/>
  <c r="AS50" i="7" s="1"/>
  <c r="P4" i="7"/>
  <c r="P52" i="7" s="1"/>
  <c r="AP50" i="7" s="1"/>
  <c r="L6" i="7"/>
  <c r="L54" i="7" s="1"/>
  <c r="AN50" i="7" s="1"/>
  <c r="K6" i="7"/>
  <c r="L53" i="7" s="1"/>
  <c r="AK50" i="7" s="1"/>
  <c r="J6" i="7"/>
  <c r="L5" i="7"/>
  <c r="K54" i="7" s="1"/>
  <c r="AM50" i="7" s="1"/>
  <c r="K5" i="7"/>
  <c r="K53" i="7" s="1"/>
  <c r="AJ50" i="7" s="1"/>
  <c r="J5" i="7"/>
  <c r="K52" i="7" s="1"/>
  <c r="AG50" i="7" s="1"/>
  <c r="L4" i="7"/>
  <c r="J54" i="7" s="1"/>
  <c r="AL50" i="7" s="1"/>
  <c r="K4" i="7"/>
  <c r="J53" i="7" s="1"/>
  <c r="AI50" i="7" s="1"/>
  <c r="J4" i="7"/>
  <c r="J52" i="7" s="1"/>
  <c r="AF50" i="7" s="1"/>
  <c r="F6" i="7"/>
  <c r="F54" i="7" s="1"/>
  <c r="AD50" i="7" s="1"/>
  <c r="E6" i="7"/>
  <c r="F53" i="7" s="1"/>
  <c r="AA50" i="7" s="1"/>
  <c r="D6" i="7"/>
  <c r="F52" i="7" s="1"/>
  <c r="X50" i="7" s="1"/>
  <c r="F5" i="7"/>
  <c r="E54" i="7" s="1"/>
  <c r="AC50" i="7" s="1"/>
  <c r="E5" i="7"/>
  <c r="E53" i="7" s="1"/>
  <c r="Z50" i="7" s="1"/>
  <c r="D5" i="7"/>
  <c r="E52" i="7" s="1"/>
  <c r="W50" i="7" s="1"/>
  <c r="F4" i="7"/>
  <c r="D54" i="7" s="1"/>
  <c r="AB50" i="7" s="1"/>
  <c r="E4" i="7"/>
  <c r="D4" i="7"/>
  <c r="D52" i="7" s="1"/>
  <c r="V50" i="7" s="1"/>
  <c r="BA32" i="7"/>
  <c r="BA42" i="7"/>
  <c r="BA27" i="7"/>
  <c r="BA37" i="7"/>
  <c r="BA22" i="7"/>
  <c r="BA17" i="7"/>
  <c r="BA12" i="7"/>
  <c r="BA7" i="7"/>
  <c r="BA2" i="7"/>
  <c r="D34" i="7"/>
  <c r="D82" i="7" s="1"/>
  <c r="V80" i="7" s="1"/>
  <c r="D44" i="7"/>
  <c r="D92" i="7" s="1"/>
  <c r="V90" i="7" s="1"/>
  <c r="D29" i="7"/>
  <c r="D77" i="7" s="1"/>
  <c r="V75" i="7" s="1"/>
  <c r="R41" i="7"/>
  <c r="R89" i="7" s="1"/>
  <c r="AX85" i="7" s="1"/>
  <c r="Q41" i="7"/>
  <c r="R88" i="7" s="1"/>
  <c r="AU85" i="7" s="1"/>
  <c r="P41" i="7"/>
  <c r="R87" i="7" s="1"/>
  <c r="AR85" i="7" s="1"/>
  <c r="R40" i="7"/>
  <c r="Q89" i="7" s="1"/>
  <c r="AW85" i="7" s="1"/>
  <c r="Q40" i="7"/>
  <c r="Q88" i="7" s="1"/>
  <c r="AT85" i="7" s="1"/>
  <c r="P40" i="7"/>
  <c r="Q87" i="7" s="1"/>
  <c r="AQ85" i="7" s="1"/>
  <c r="R39" i="7"/>
  <c r="P89" i="7" s="1"/>
  <c r="AV85" i="7" s="1"/>
  <c r="Q39" i="7"/>
  <c r="P88" i="7" s="1"/>
  <c r="AS85" i="7" s="1"/>
  <c r="P39" i="7"/>
  <c r="P87" i="7" s="1"/>
  <c r="AP85" i="7" s="1"/>
  <c r="L41" i="7"/>
  <c r="L89" i="7" s="1"/>
  <c r="AN85" i="7" s="1"/>
  <c r="K41" i="7"/>
  <c r="L88" i="7" s="1"/>
  <c r="AK85" i="7" s="1"/>
  <c r="J41" i="7"/>
  <c r="L87" i="7" s="1"/>
  <c r="AH85" i="7" s="1"/>
  <c r="L40" i="7"/>
  <c r="K89" i="7" s="1"/>
  <c r="AM85" i="7" s="1"/>
  <c r="K40" i="7"/>
  <c r="K88" i="7" s="1"/>
  <c r="AJ85" i="7" s="1"/>
  <c r="J40" i="7"/>
  <c r="K87" i="7" s="1"/>
  <c r="AG85" i="7" s="1"/>
  <c r="L39" i="7"/>
  <c r="J89" i="7" s="1"/>
  <c r="AL85" i="7" s="1"/>
  <c r="K39" i="7"/>
  <c r="J88" i="7" s="1"/>
  <c r="AI85" i="7" s="1"/>
  <c r="J39" i="7"/>
  <c r="J87" i="7" s="1"/>
  <c r="AF85" i="7" s="1"/>
  <c r="F41" i="7"/>
  <c r="F89" i="7" s="1"/>
  <c r="AD85" i="7" s="1"/>
  <c r="E41" i="7"/>
  <c r="F88" i="7" s="1"/>
  <c r="AA85" i="7" s="1"/>
  <c r="D41" i="7"/>
  <c r="F87" i="7" s="1"/>
  <c r="X85" i="7" s="1"/>
  <c r="F40" i="7"/>
  <c r="E89" i="7" s="1"/>
  <c r="AC85" i="7" s="1"/>
  <c r="E40" i="7"/>
  <c r="E88" i="7" s="1"/>
  <c r="Z85" i="7" s="1"/>
  <c r="D40" i="7"/>
  <c r="E87" i="7" s="1"/>
  <c r="W85" i="7" s="1"/>
  <c r="F39" i="7"/>
  <c r="D89" i="7" s="1"/>
  <c r="AB85" i="7" s="1"/>
  <c r="E39" i="7"/>
  <c r="D88" i="7" s="1"/>
  <c r="Y85" i="7" s="1"/>
  <c r="D39" i="7"/>
  <c r="D87" i="7" s="1"/>
  <c r="V85" i="7" s="1"/>
  <c r="D24" i="7"/>
  <c r="D72" i="7" s="1"/>
  <c r="V70" i="7" s="1"/>
  <c r="D19" i="7"/>
  <c r="D67" i="7" s="1"/>
  <c r="V65" i="7" s="1"/>
  <c r="D14" i="7"/>
  <c r="D62" i="7" s="1"/>
  <c r="V60" i="7" s="1"/>
  <c r="D9" i="7"/>
  <c r="D57" i="7" s="1"/>
  <c r="V55" i="7" s="1"/>
  <c r="AC67" i="11" l="1"/>
  <c r="AC66" i="11"/>
  <c r="AC68" i="11" s="1"/>
  <c r="AC74" i="11"/>
  <c r="AC76" i="11" s="1"/>
  <c r="AC75" i="11"/>
  <c r="AA34" i="11"/>
  <c r="F34" i="11"/>
  <c r="N39" i="11"/>
  <c r="S58" i="11"/>
  <c r="AB59" i="11"/>
  <c r="H38" i="11"/>
  <c r="J46" i="11"/>
  <c r="R43" i="11"/>
  <c r="AA42" i="11"/>
  <c r="H34" i="11"/>
  <c r="AB47" i="11"/>
  <c r="S47" i="11"/>
  <c r="K58" i="11"/>
  <c r="T58" i="11"/>
  <c r="W55" i="11"/>
  <c r="AE55" i="11"/>
  <c r="J54" i="11"/>
  <c r="H50" i="11"/>
  <c r="Q50" i="11"/>
  <c r="Z51" i="11"/>
  <c r="AC59" i="11"/>
  <c r="F58" i="11"/>
  <c r="O59" i="11"/>
  <c r="X59" i="11"/>
  <c r="E46" i="11"/>
  <c r="N47" i="11"/>
  <c r="W47" i="11"/>
  <c r="AE47" i="11"/>
  <c r="D43" i="11"/>
  <c r="M39" i="11"/>
  <c r="U39" i="11"/>
  <c r="AD38" i="11"/>
  <c r="Q38" i="11"/>
  <c r="O54" i="11"/>
  <c r="X55" i="11"/>
  <c r="K51" i="11"/>
  <c r="T51" i="11"/>
  <c r="AC50" i="11"/>
  <c r="W43" i="11"/>
  <c r="AE43" i="11"/>
  <c r="H59" i="11"/>
  <c r="Q59" i="11"/>
  <c r="Z58" i="11"/>
  <c r="P47" i="11"/>
  <c r="Y34" i="11"/>
  <c r="D51" i="11"/>
  <c r="M51" i="11"/>
  <c r="F42" i="11"/>
  <c r="X43" i="11"/>
  <c r="P51" i="11"/>
  <c r="P52" i="11" s="1"/>
  <c r="Q31" i="11"/>
  <c r="J51" i="11"/>
  <c r="S51" i="11"/>
  <c r="AB51" i="11"/>
  <c r="U43" i="11"/>
  <c r="J50" i="11"/>
  <c r="F54" i="11"/>
  <c r="P30" i="11"/>
  <c r="Y55" i="11"/>
  <c r="G34" i="11"/>
  <c r="U51" i="11"/>
  <c r="AD50" i="11"/>
  <c r="O38" i="11"/>
  <c r="X38" i="11"/>
  <c r="G46" i="11"/>
  <c r="W50" i="11"/>
  <c r="W52" i="11" s="1"/>
  <c r="G55" i="11"/>
  <c r="Z55" i="11"/>
  <c r="I58" i="11"/>
  <c r="AA59" i="11"/>
  <c r="G42" i="11"/>
  <c r="Y43" i="11"/>
  <c r="W39" i="11"/>
  <c r="J47" i="11"/>
  <c r="AE50" i="11"/>
  <c r="AE52" i="11" s="1"/>
  <c r="H55" i="11"/>
  <c r="R55" i="11"/>
  <c r="AA55" i="11"/>
  <c r="I35" i="11"/>
  <c r="R34" i="11"/>
  <c r="AA47" i="11"/>
  <c r="AE39" i="11"/>
  <c r="S46" i="11"/>
  <c r="S48" i="11" s="1"/>
  <c r="AD51" i="11"/>
  <c r="I54" i="11"/>
  <c r="S55" i="11"/>
  <c r="AB55" i="11"/>
  <c r="F43" i="11"/>
  <c r="F44" i="11" s="1"/>
  <c r="R47" i="11"/>
  <c r="H58" i="11"/>
  <c r="H60" i="11" s="1"/>
  <c r="T55" i="11"/>
  <c r="AC55" i="11"/>
  <c r="H54" i="11"/>
  <c r="R30" i="11"/>
  <c r="P55" i="11"/>
  <c r="Y30" i="11"/>
  <c r="M58" i="11"/>
  <c r="U59" i="11"/>
  <c r="AD59" i="11"/>
  <c r="I31" i="11"/>
  <c r="AA58" i="11"/>
  <c r="X54" i="11"/>
  <c r="X56" i="11" s="1"/>
  <c r="K35" i="11"/>
  <c r="T34" i="11"/>
  <c r="AC47" i="11"/>
  <c r="J38" i="11"/>
  <c r="S43" i="11"/>
  <c r="AB43" i="11"/>
  <c r="P39" i="11"/>
  <c r="D39" i="11"/>
  <c r="N42" i="11"/>
  <c r="Y47" i="11"/>
  <c r="T59" i="11"/>
  <c r="C31" i="11"/>
  <c r="K54" i="11"/>
  <c r="U55" i="11"/>
  <c r="AD54" i="11"/>
  <c r="E59" i="11"/>
  <c r="N59" i="11"/>
  <c r="W59" i="11"/>
  <c r="AE59" i="11"/>
  <c r="D47" i="11"/>
  <c r="M47" i="11"/>
  <c r="U47" i="11"/>
  <c r="AD47" i="11"/>
  <c r="R51" i="11"/>
  <c r="AA51" i="11"/>
  <c r="K43" i="11"/>
  <c r="T42" i="11"/>
  <c r="AC39" i="11"/>
  <c r="M43" i="11"/>
  <c r="D50" i="11"/>
  <c r="Z59" i="11"/>
  <c r="X31" i="11"/>
  <c r="Z35" i="11"/>
  <c r="Q54" i="11"/>
  <c r="U58" i="11"/>
  <c r="U60" i="11" s="1"/>
  <c r="H30" i="11"/>
  <c r="H31" i="11"/>
  <c r="Q30" i="11"/>
  <c r="P31" i="11"/>
  <c r="X30" i="11"/>
  <c r="X32" i="11" s="1"/>
  <c r="W31" i="11"/>
  <c r="W32" i="11" s="1"/>
  <c r="AE31" i="11"/>
  <c r="I34" i="11"/>
  <c r="I36" i="11" s="1"/>
  <c r="J35" i="11"/>
  <c r="S34" i="11"/>
  <c r="R35" i="11"/>
  <c r="Z34" i="11"/>
  <c r="Y35" i="11"/>
  <c r="D38" i="11"/>
  <c r="H39" i="11"/>
  <c r="P38" i="11"/>
  <c r="O39" i="11"/>
  <c r="O40" i="11" s="1"/>
  <c r="W38" i="11"/>
  <c r="W40" i="11" s="1"/>
  <c r="AE38" i="11"/>
  <c r="AD39" i="11"/>
  <c r="AD40" i="11" s="1"/>
  <c r="H42" i="11"/>
  <c r="M42" i="11"/>
  <c r="U42" i="11"/>
  <c r="T43" i="11"/>
  <c r="AB42" i="11"/>
  <c r="AB44" i="11" s="1"/>
  <c r="AA43" i="11"/>
  <c r="AA44" i="11" s="1"/>
  <c r="F46" i="11"/>
  <c r="K46" i="11"/>
  <c r="R46" i="11"/>
  <c r="R48" i="11" s="1"/>
  <c r="Q47" i="11"/>
  <c r="Q48" i="11" s="1"/>
  <c r="Y46" i="11"/>
  <c r="X47" i="11"/>
  <c r="X48" i="11" s="1"/>
  <c r="H51" i="11"/>
  <c r="O51" i="11"/>
  <c r="O52" i="11" s="1"/>
  <c r="AC51" i="11"/>
  <c r="G54" i="11"/>
  <c r="P54" i="11"/>
  <c r="O55" i="11"/>
  <c r="O56" i="11" s="1"/>
  <c r="W54" i="11"/>
  <c r="AE54" i="11"/>
  <c r="AD55" i="11"/>
  <c r="F59" i="11"/>
  <c r="K59" i="11"/>
  <c r="S59" i="11"/>
  <c r="S60" i="11" s="1"/>
  <c r="Y59" i="11"/>
  <c r="Z46" i="11"/>
  <c r="Z48" i="11" s="1"/>
  <c r="J30" i="11"/>
  <c r="J31" i="11"/>
  <c r="S30" i="11"/>
  <c r="R31" i="11"/>
  <c r="Z30" i="11"/>
  <c r="D34" i="11"/>
  <c r="K34" i="11"/>
  <c r="M34" i="11"/>
  <c r="U34" i="11"/>
  <c r="T35" i="11"/>
  <c r="T36" i="11" s="1"/>
  <c r="AB34" i="11"/>
  <c r="AA35" i="11"/>
  <c r="AA36" i="11" s="1"/>
  <c r="E38" i="11"/>
  <c r="K38" i="11"/>
  <c r="R38" i="11"/>
  <c r="Q39" i="11"/>
  <c r="Q40" i="11" s="1"/>
  <c r="Y38" i="11"/>
  <c r="X39" i="11"/>
  <c r="X40" i="11" s="1"/>
  <c r="G43" i="11"/>
  <c r="O42" i="11"/>
  <c r="N43" i="11"/>
  <c r="N44" i="11" s="1"/>
  <c r="AD42" i="11"/>
  <c r="AC43" i="11"/>
  <c r="AC44" i="11" s="1"/>
  <c r="H46" i="11"/>
  <c r="K47" i="11"/>
  <c r="T46" i="11"/>
  <c r="AA46" i="11"/>
  <c r="K50" i="11"/>
  <c r="K52" i="11" s="1"/>
  <c r="R50" i="11"/>
  <c r="Q51" i="11"/>
  <c r="Q52" i="11" s="1"/>
  <c r="X50" i="11"/>
  <c r="X52" i="11" s="1"/>
  <c r="J55" i="11"/>
  <c r="J56" i="11" s="1"/>
  <c r="R54" i="11"/>
  <c r="Q55" i="11"/>
  <c r="Y54" i="11"/>
  <c r="N58" i="11"/>
  <c r="M59" i="11"/>
  <c r="AB58" i="11"/>
  <c r="AB60" i="11" s="1"/>
  <c r="I30" i="11"/>
  <c r="J34" i="11"/>
  <c r="I55" i="11"/>
  <c r="K30" i="11"/>
  <c r="K31" i="11"/>
  <c r="T30" i="11"/>
  <c r="S31" i="11"/>
  <c r="AA30" i="11"/>
  <c r="Z31" i="11"/>
  <c r="D35" i="11"/>
  <c r="E35" i="11"/>
  <c r="N34" i="11"/>
  <c r="M35" i="11"/>
  <c r="U35" i="11"/>
  <c r="AC34" i="11"/>
  <c r="AB35" i="11"/>
  <c r="F38" i="11"/>
  <c r="J39" i="11"/>
  <c r="J40" i="11" s="1"/>
  <c r="S38" i="11"/>
  <c r="R39" i="11"/>
  <c r="Z38" i="11"/>
  <c r="Y39" i="11"/>
  <c r="H43" i="11"/>
  <c r="P42" i="11"/>
  <c r="P44" i="11" s="1"/>
  <c r="O43" i="11"/>
  <c r="W42" i="11"/>
  <c r="W44" i="11" s="1"/>
  <c r="AE42" i="11"/>
  <c r="AE44" i="11" s="1"/>
  <c r="AD43" i="11"/>
  <c r="E47" i="11"/>
  <c r="E48" i="11" s="1"/>
  <c r="M46" i="11"/>
  <c r="U46" i="11"/>
  <c r="U48" i="11" s="1"/>
  <c r="T47" i="11"/>
  <c r="AB46" i="11"/>
  <c r="AB48" i="11" s="1"/>
  <c r="F50" i="11"/>
  <c r="F52" i="11" s="1"/>
  <c r="S50" i="11"/>
  <c r="Y50" i="11"/>
  <c r="Y52" i="11" s="1"/>
  <c r="K55" i="11"/>
  <c r="S54" i="11"/>
  <c r="Z54" i="11"/>
  <c r="Z56" i="11" s="1"/>
  <c r="J58" i="11"/>
  <c r="O58" i="11"/>
  <c r="AC58" i="11"/>
  <c r="S35" i="11"/>
  <c r="D30" i="11"/>
  <c r="D31" i="11"/>
  <c r="U30" i="11"/>
  <c r="T31" i="11"/>
  <c r="AB30" i="11"/>
  <c r="AA31" i="11"/>
  <c r="E34" i="11"/>
  <c r="F35" i="11"/>
  <c r="F36" i="11" s="1"/>
  <c r="O34" i="11"/>
  <c r="N35" i="11"/>
  <c r="AD34" i="11"/>
  <c r="AC35" i="11"/>
  <c r="G38" i="11"/>
  <c r="K39" i="11"/>
  <c r="T38" i="11"/>
  <c r="S39" i="11"/>
  <c r="AA38" i="11"/>
  <c r="Z39" i="11"/>
  <c r="Z40" i="11" s="1"/>
  <c r="D42" i="11"/>
  <c r="J42" i="11"/>
  <c r="Q42" i="11"/>
  <c r="Q44" i="11" s="1"/>
  <c r="X42" i="11"/>
  <c r="F47" i="11"/>
  <c r="N46" i="11"/>
  <c r="AC46" i="11"/>
  <c r="AC48" i="11" s="1"/>
  <c r="G50" i="11"/>
  <c r="G52" i="11" s="1"/>
  <c r="T50" i="11"/>
  <c r="Z50" i="11"/>
  <c r="D54" i="11"/>
  <c r="T54" i="11"/>
  <c r="AA54" i="11"/>
  <c r="P58" i="11"/>
  <c r="AD58" i="11"/>
  <c r="E30" i="11"/>
  <c r="E31" i="11"/>
  <c r="N30" i="11"/>
  <c r="U31" i="11"/>
  <c r="AC30" i="11"/>
  <c r="AB31" i="11"/>
  <c r="G35" i="11"/>
  <c r="G36" i="11" s="1"/>
  <c r="P34" i="11"/>
  <c r="O35" i="11"/>
  <c r="W34" i="11"/>
  <c r="AE34" i="11"/>
  <c r="AD35" i="11"/>
  <c r="M38" i="11"/>
  <c r="U38" i="11"/>
  <c r="T39" i="11"/>
  <c r="AB38" i="11"/>
  <c r="AA39" i="11"/>
  <c r="K42" i="11"/>
  <c r="R42" i="11"/>
  <c r="R44" i="11" s="1"/>
  <c r="Y42" i="11"/>
  <c r="Y44" i="11" s="1"/>
  <c r="G47" i="11"/>
  <c r="O46" i="11"/>
  <c r="O48" i="11" s="1"/>
  <c r="AD46" i="11"/>
  <c r="M50" i="11"/>
  <c r="M52" i="11" s="1"/>
  <c r="U50" i="11"/>
  <c r="AA50" i="11"/>
  <c r="D55" i="11"/>
  <c r="E55" i="11"/>
  <c r="U54" i="11"/>
  <c r="AB54" i="11"/>
  <c r="E58" i="11"/>
  <c r="E60" i="11" s="1"/>
  <c r="Q58" i="11"/>
  <c r="Q60" i="11" s="1"/>
  <c r="P59" i="11"/>
  <c r="W58" i="11"/>
  <c r="AE58" i="11"/>
  <c r="AE60" i="11" s="1"/>
  <c r="F30" i="11"/>
  <c r="F31" i="11"/>
  <c r="O30" i="11"/>
  <c r="N31" i="11"/>
  <c r="AD30" i="11"/>
  <c r="AC31" i="11"/>
  <c r="H35" i="11"/>
  <c r="H36" i="11" s="1"/>
  <c r="Q34" i="11"/>
  <c r="P35" i="11"/>
  <c r="X34" i="11"/>
  <c r="W35" i="11"/>
  <c r="AE35" i="11"/>
  <c r="F39" i="11"/>
  <c r="N38" i="11"/>
  <c r="N40" i="11" s="1"/>
  <c r="AC38" i="11"/>
  <c r="AB39" i="11"/>
  <c r="J43" i="11"/>
  <c r="S42" i="11"/>
  <c r="Z42" i="11"/>
  <c r="Z44" i="11" s="1"/>
  <c r="H47" i="11"/>
  <c r="P46" i="11"/>
  <c r="P48" i="11" s="1"/>
  <c r="W46" i="11"/>
  <c r="W48" i="11" s="1"/>
  <c r="AE46" i="11"/>
  <c r="N50" i="11"/>
  <c r="N52" i="11" s="1"/>
  <c r="AB50" i="11"/>
  <c r="AB52" i="11" s="1"/>
  <c r="E54" i="11"/>
  <c r="F55" i="11"/>
  <c r="N54" i="11"/>
  <c r="AC54" i="11"/>
  <c r="I59" i="11"/>
  <c r="R58" i="11"/>
  <c r="X58" i="11"/>
  <c r="X60" i="11" s="1"/>
  <c r="G30" i="11"/>
  <c r="G31" i="11"/>
  <c r="O31" i="11"/>
  <c r="AE30" i="11"/>
  <c r="AE32" i="11" s="1"/>
  <c r="AD31" i="11"/>
  <c r="Q35" i="11"/>
  <c r="X35" i="11"/>
  <c r="G39" i="11"/>
  <c r="N55" i="11"/>
  <c r="J59" i="11"/>
  <c r="R59" i="11"/>
  <c r="Y58" i="11"/>
  <c r="E40" i="11"/>
  <c r="U78" i="11"/>
  <c r="U79" i="11"/>
  <c r="D72" i="11"/>
  <c r="BN46" i="14"/>
  <c r="AT41" i="14"/>
  <c r="AR31" i="14"/>
  <c r="BP21" i="14"/>
  <c r="BF21" i="14"/>
  <c r="AV21" i="14"/>
  <c r="AV16" i="14"/>
  <c r="BQ26" i="14"/>
  <c r="BN6" i="14"/>
  <c r="BW10" i="14"/>
  <c r="AT11" i="14"/>
  <c r="BL8" i="14"/>
  <c r="BL11" i="14" s="1"/>
  <c r="BF13" i="14"/>
  <c r="AV23" i="14"/>
  <c r="AV26" i="14" s="1"/>
  <c r="AW18" i="14"/>
  <c r="AW21" i="14" s="1"/>
  <c r="AW3" i="14"/>
  <c r="AW6" i="14" s="1"/>
  <c r="BC23" i="14"/>
  <c r="BC26" i="14" s="1"/>
  <c r="AZ3" i="14"/>
  <c r="AZ6" i="14" s="1"/>
  <c r="BE18" i="14"/>
  <c r="BE21" i="14" s="1"/>
  <c r="AS38" i="14"/>
  <c r="AS41" i="14" s="1"/>
  <c r="AP43" i="14"/>
  <c r="AP46" i="14" s="1"/>
  <c r="AR43" i="14"/>
  <c r="AR46" i="14" s="1"/>
  <c r="BL33" i="14"/>
  <c r="BL36" i="14" s="1"/>
  <c r="BF38" i="14"/>
  <c r="BJ33" i="14"/>
  <c r="BJ36" i="14" s="1"/>
  <c r="AS18" i="14"/>
  <c r="AS21" i="14" s="1"/>
  <c r="AU3" i="14"/>
  <c r="AU6" i="14" s="1"/>
  <c r="AS8" i="14"/>
  <c r="AS11" i="14" s="1"/>
  <c r="AP13" i="14"/>
  <c r="AP16" i="14" s="1"/>
  <c r="AY23" i="14"/>
  <c r="AY26" i="14" s="1"/>
  <c r="AS28" i="14"/>
  <c r="AS31" i="14" s="1"/>
  <c r="AW33" i="14"/>
  <c r="AW36" i="14" s="1"/>
  <c r="X30" i="14"/>
  <c r="AP30" i="14" s="1"/>
  <c r="AQ18" i="14"/>
  <c r="AQ21" i="14" s="1"/>
  <c r="AU43" i="14"/>
  <c r="AU46" i="14" s="1"/>
  <c r="AJ7" i="14"/>
  <c r="BP5" i="14" s="1"/>
  <c r="AQ13" i="14"/>
  <c r="AQ16" i="14" s="1"/>
  <c r="AZ33" i="14"/>
  <c r="AZ36" i="14" s="1"/>
  <c r="BP43" i="14"/>
  <c r="AJ32" i="14"/>
  <c r="BP30" i="14" s="1"/>
  <c r="BM8" i="14"/>
  <c r="BM11" i="14" s="1"/>
  <c r="AR13" i="14"/>
  <c r="AR16" i="14" s="1"/>
  <c r="BP28" i="14"/>
  <c r="BA33" i="14"/>
  <c r="BA36" i="14" s="1"/>
  <c r="BQ3" i="14"/>
  <c r="BQ6" i="14" s="1"/>
  <c r="BQ28" i="14"/>
  <c r="BQ31" i="14" s="1"/>
  <c r="BE33" i="14"/>
  <c r="BE36" i="14" s="1"/>
  <c r="BK8" i="14"/>
  <c r="BK11" i="14" s="1"/>
  <c r="BG13" i="14"/>
  <c r="BG16" i="14" s="1"/>
  <c r="AW23" i="14"/>
  <c r="AW26" i="14" s="1"/>
  <c r="BO23" i="14"/>
  <c r="BO26" i="14" s="1"/>
  <c r="BB28" i="14"/>
  <c r="BB31" i="14" s="1"/>
  <c r="AO33" i="14"/>
  <c r="AO36" i="14" s="1"/>
  <c r="BE38" i="14"/>
  <c r="BK43" i="14"/>
  <c r="BK46" i="14" s="1"/>
  <c r="AJ26" i="14"/>
  <c r="BM25" i="14" s="1"/>
  <c r="BM26" i="14" s="1"/>
  <c r="AJ47" i="14"/>
  <c r="BP45" i="14" s="1"/>
  <c r="AC42" i="14"/>
  <c r="BE40" i="14" s="1"/>
  <c r="AS13" i="14"/>
  <c r="AS16" i="14" s="1"/>
  <c r="BL13" i="14"/>
  <c r="BL16" i="14" s="1"/>
  <c r="BB23" i="14"/>
  <c r="BB26" i="14" s="1"/>
  <c r="BM33" i="14"/>
  <c r="BM36" i="14" s="1"/>
  <c r="AV43" i="14"/>
  <c r="AV46" i="14" s="1"/>
  <c r="BO43" i="14"/>
  <c r="BO46" i="14" s="1"/>
  <c r="AD42" i="14"/>
  <c r="BF40" i="14" s="1"/>
  <c r="BI18" i="14"/>
  <c r="BI21" i="14" s="1"/>
  <c r="AT18" i="14"/>
  <c r="AT21" i="14" s="1"/>
  <c r="BB33" i="14"/>
  <c r="BB36" i="14" s="1"/>
  <c r="BO33" i="14"/>
  <c r="BO36" i="14" s="1"/>
  <c r="AU38" i="14"/>
  <c r="AU41" i="14" s="1"/>
  <c r="AW43" i="14"/>
  <c r="AW46" i="14" s="1"/>
  <c r="AV3" i="14"/>
  <c r="AV6" i="14" s="1"/>
  <c r="BB13" i="14"/>
  <c r="BB16" i="14" s="1"/>
  <c r="BK23" i="14"/>
  <c r="BK26" i="14" s="1"/>
  <c r="AP28" i="14"/>
  <c r="BC33" i="14"/>
  <c r="BC36" i="14" s="1"/>
  <c r="AZ43" i="14"/>
  <c r="AZ46" i="14" s="1"/>
  <c r="AO23" i="14"/>
  <c r="AO26" i="14" s="1"/>
  <c r="BL23" i="14"/>
  <c r="BL26" i="14" s="1"/>
  <c r="BC38" i="14"/>
  <c r="BC41" i="14" s="1"/>
  <c r="BB43" i="14"/>
  <c r="BB46" i="14" s="1"/>
  <c r="AU8" i="14"/>
  <c r="AU11" i="14" s="1"/>
  <c r="BD18" i="14"/>
  <c r="BI33" i="14"/>
  <c r="BI36" i="14" s="1"/>
  <c r="AO43" i="14"/>
  <c r="AO46" i="14" s="1"/>
  <c r="BC43" i="14"/>
  <c r="BC46" i="14" s="1"/>
  <c r="X26" i="14"/>
  <c r="AS25" i="14" s="1"/>
  <c r="AS26" i="14" s="1"/>
  <c r="W5" i="14"/>
  <c r="AO5" i="14" s="1"/>
  <c r="AT3" i="14"/>
  <c r="AT6" i="14" s="1"/>
  <c r="BL3" i="14"/>
  <c r="BL6" i="14" s="1"/>
  <c r="AR8" i="14"/>
  <c r="AR11" i="14" s="1"/>
  <c r="BJ8" i="14"/>
  <c r="BJ11" i="14" s="1"/>
  <c r="AZ13" i="14"/>
  <c r="AZ16" i="14" s="1"/>
  <c r="BJ13" i="14"/>
  <c r="BJ16" i="14" s="1"/>
  <c r="BA18" i="14"/>
  <c r="BA21" i="14" s="1"/>
  <c r="AU23" i="14"/>
  <c r="BG23" i="14"/>
  <c r="BG26" i="14" s="1"/>
  <c r="AP33" i="14"/>
  <c r="BG33" i="14"/>
  <c r="BG36" i="14" s="1"/>
  <c r="AW38" i="14"/>
  <c r="AW41" i="14" s="1"/>
  <c r="BQ38" i="14"/>
  <c r="BQ41" i="14" s="1"/>
  <c r="AT43" i="14"/>
  <c r="AT46" i="14" s="1"/>
  <c r="BG43" i="14"/>
  <c r="BG46" i="14" s="1"/>
  <c r="AC7" i="14"/>
  <c r="BE5" i="14" s="1"/>
  <c r="BE6" i="14" s="1"/>
  <c r="X12" i="14"/>
  <c r="AV10" i="14" s="1"/>
  <c r="AV11" i="14" s="1"/>
  <c r="Y17" i="14"/>
  <c r="AW15" i="14" s="1"/>
  <c r="AW16" i="14" s="1"/>
  <c r="W26" i="14"/>
  <c r="AR25" i="14" s="1"/>
  <c r="W30" i="14"/>
  <c r="AO30" i="14" s="1"/>
  <c r="AO31" i="14" s="1"/>
  <c r="AE32" i="14"/>
  <c r="BG30" i="14" s="1"/>
  <c r="BG31" i="14" s="1"/>
  <c r="BE28" i="14"/>
  <c r="BE31" i="14" s="1"/>
  <c r="Y21" i="14"/>
  <c r="AT20" i="14" s="1"/>
  <c r="AJ30" i="14"/>
  <c r="BJ30" i="14" s="1"/>
  <c r="BJ31" i="14" s="1"/>
  <c r="BF28" i="14"/>
  <c r="BF31" i="14" s="1"/>
  <c r="AE21" i="14"/>
  <c r="BD20" i="14" s="1"/>
  <c r="AK26" i="14"/>
  <c r="BN25" i="14" s="1"/>
  <c r="AE36" i="14"/>
  <c r="BD35" i="14" s="1"/>
  <c r="BD36" i="14" s="1"/>
  <c r="AV8" i="14"/>
  <c r="BO8" i="14"/>
  <c r="BO11" i="14" s="1"/>
  <c r="BE13" i="14"/>
  <c r="BE16" i="14" s="1"/>
  <c r="AU18" i="14"/>
  <c r="AU21" i="14" s="1"/>
  <c r="BN23" i="14"/>
  <c r="AQ28" i="14"/>
  <c r="AQ31" i="14" s="1"/>
  <c r="AY43" i="14"/>
  <c r="AY46" i="14" s="1"/>
  <c r="W10" i="14"/>
  <c r="AO10" i="14" s="1"/>
  <c r="AO11" i="14" s="1"/>
  <c r="AC27" i="14"/>
  <c r="BE25" i="14" s="1"/>
  <c r="BE26" i="14" s="1"/>
  <c r="AC31" i="14"/>
  <c r="BB30" i="14" s="1"/>
  <c r="AY8" i="14"/>
  <c r="AY11" i="14" s="1"/>
  <c r="AR23" i="14"/>
  <c r="BI28" i="14"/>
  <c r="BI31" i="14" s="1"/>
  <c r="AE5" i="14"/>
  <c r="BA5" i="14" s="1"/>
  <c r="BA6" i="14" s="1"/>
  <c r="AI31" i="14"/>
  <c r="BL30" i="14" s="1"/>
  <c r="BL31" i="14" s="1"/>
  <c r="BC3" i="14"/>
  <c r="BC6" i="14" s="1"/>
  <c r="BA8" i="14"/>
  <c r="AT13" i="14"/>
  <c r="BQ18" i="14"/>
  <c r="BQ21" i="14" s="1"/>
  <c r="W6" i="14"/>
  <c r="AR5" i="14" s="1"/>
  <c r="AR6" i="14" s="1"/>
  <c r="AE25" i="14"/>
  <c r="BA25" i="14" s="1"/>
  <c r="AJ31" i="14"/>
  <c r="BM30" i="14" s="1"/>
  <c r="X37" i="14"/>
  <c r="AV35" i="14" s="1"/>
  <c r="AV36" i="14" s="1"/>
  <c r="AC47" i="14"/>
  <c r="BE45" i="14" s="1"/>
  <c r="BE46" i="14" s="1"/>
  <c r="AQ3" i="14"/>
  <c r="AQ6" i="14" s="1"/>
  <c r="BC8" i="14"/>
  <c r="BC11" i="14" s="1"/>
  <c r="AY18" i="14"/>
  <c r="AY21" i="14" s="1"/>
  <c r="AT23" i="14"/>
  <c r="AT26" i="14" s="1"/>
  <c r="BD23" i="14"/>
  <c r="AU28" i="14"/>
  <c r="AU31" i="14" s="1"/>
  <c r="AV38" i="14"/>
  <c r="AV41" i="14" s="1"/>
  <c r="BJ38" i="14"/>
  <c r="AK27" i="14"/>
  <c r="BQ25" i="14" s="1"/>
  <c r="AC35" i="14"/>
  <c r="AY35" i="14" s="1"/>
  <c r="AY36" i="14" s="1"/>
  <c r="AD37" i="14"/>
  <c r="BF35" i="14" s="1"/>
  <c r="BF36" i="14" s="1"/>
  <c r="AS3" i="14"/>
  <c r="AS6" i="14" s="1"/>
  <c r="BB3" i="14"/>
  <c r="BB6" i="14" s="1"/>
  <c r="BK3" i="14"/>
  <c r="BK6" i="14" s="1"/>
  <c r="AQ8" i="14"/>
  <c r="AQ11" i="14" s="1"/>
  <c r="AZ8" i="14"/>
  <c r="AZ11" i="14" s="1"/>
  <c r="BI8" i="14"/>
  <c r="BI11" i="14" s="1"/>
  <c r="BQ8" i="14"/>
  <c r="BQ11" i="14" s="1"/>
  <c r="AY13" i="14"/>
  <c r="AY16" i="14" s="1"/>
  <c r="BD13" i="14"/>
  <c r="BD16" i="14" s="1"/>
  <c r="AD17" i="14"/>
  <c r="BF15" i="14" s="1"/>
  <c r="BV15" i="14" s="1"/>
  <c r="BA28" i="14"/>
  <c r="BA31" i="14" s="1"/>
  <c r="BK28" i="14"/>
  <c r="AJ40" i="14"/>
  <c r="BJ40" i="14" s="1"/>
  <c r="BW40" i="14" s="1"/>
  <c r="BL38" i="14"/>
  <c r="BL41" i="14" s="1"/>
  <c r="BG38" i="14"/>
  <c r="AE42" i="14"/>
  <c r="BG40" i="14" s="1"/>
  <c r="BD43" i="14"/>
  <c r="AI5" i="14"/>
  <c r="BI5" i="14" s="1"/>
  <c r="BI6" i="14" s="1"/>
  <c r="AD7" i="14"/>
  <c r="BF5" i="14" s="1"/>
  <c r="W27" i="14"/>
  <c r="AU25" i="14" s="1"/>
  <c r="AE45" i="14"/>
  <c r="BA45" i="14" s="1"/>
  <c r="BA46" i="14" s="1"/>
  <c r="BK38" i="14"/>
  <c r="BK41" i="14" s="1"/>
  <c r="AI42" i="14"/>
  <c r="BO40" i="14" s="1"/>
  <c r="BI43" i="14"/>
  <c r="AI45" i="14"/>
  <c r="BI45" i="14" s="1"/>
  <c r="BF43" i="14"/>
  <c r="BF46" i="14" s="1"/>
  <c r="AE46" i="14"/>
  <c r="BD45" i="14" s="1"/>
  <c r="BM3" i="14"/>
  <c r="BM6" i="14" s="1"/>
  <c r="BB8" i="14"/>
  <c r="BB11" i="14" s="1"/>
  <c r="AJ20" i="14"/>
  <c r="BJ20" i="14" s="1"/>
  <c r="BL18" i="14"/>
  <c r="BL21" i="14" s="1"/>
  <c r="AE22" i="14"/>
  <c r="BG20" i="14" s="1"/>
  <c r="BG18" i="14"/>
  <c r="AC30" i="14"/>
  <c r="AY30" i="14" s="1"/>
  <c r="BV30" i="14" s="1"/>
  <c r="AY28" i="14"/>
  <c r="X32" i="14"/>
  <c r="AV30" i="14" s="1"/>
  <c r="AT28" i="14"/>
  <c r="AT31" i="14" s="1"/>
  <c r="X35" i="14"/>
  <c r="AP35" i="14" s="1"/>
  <c r="AR33" i="14"/>
  <c r="AR36" i="14" s="1"/>
  <c r="AJ37" i="14"/>
  <c r="BP35" i="14" s="1"/>
  <c r="BN33" i="14"/>
  <c r="BN36" i="14" s="1"/>
  <c r="W41" i="14"/>
  <c r="AR40" i="14" s="1"/>
  <c r="BU40" i="14" s="1"/>
  <c r="AP38" i="14"/>
  <c r="AP41" i="14" s="1"/>
  <c r="AK41" i="14"/>
  <c r="BN40" i="14" s="1"/>
  <c r="BP38" i="14"/>
  <c r="BP41" i="14" s="1"/>
  <c r="AI46" i="14"/>
  <c r="BL45" i="14" s="1"/>
  <c r="BL46" i="14" s="1"/>
  <c r="BJ43" i="14"/>
  <c r="BJ46" i="14" s="1"/>
  <c r="AK17" i="14"/>
  <c r="BQ15" i="14" s="1"/>
  <c r="BQ16" i="14" s="1"/>
  <c r="X20" i="14"/>
  <c r="AP20" i="14" s="1"/>
  <c r="AP21" i="14" s="1"/>
  <c r="AK21" i="14"/>
  <c r="BN20" i="14" s="1"/>
  <c r="AJ17" i="14"/>
  <c r="BP15" i="14" s="1"/>
  <c r="BW15" i="14" s="1"/>
  <c r="BN13" i="14"/>
  <c r="BN16" i="14" s="1"/>
  <c r="BK18" i="14"/>
  <c r="BK21" i="14" s="1"/>
  <c r="AI22" i="14"/>
  <c r="BO20" i="14" s="1"/>
  <c r="X36" i="14"/>
  <c r="AS35" i="14" s="1"/>
  <c r="AS33" i="14"/>
  <c r="AU33" i="14"/>
  <c r="AU36" i="14" s="1"/>
  <c r="Y35" i="14"/>
  <c r="AQ35" i="14" s="1"/>
  <c r="BM38" i="14"/>
  <c r="BM41" i="14" s="1"/>
  <c r="Y12" i="14"/>
  <c r="AW10" i="14" s="1"/>
  <c r="AW11" i="14" s="1"/>
  <c r="Y16" i="14"/>
  <c r="AT15" i="14" s="1"/>
  <c r="AO3" i="14"/>
  <c r="AO6" i="14" s="1"/>
  <c r="BF3" i="14"/>
  <c r="BO3" i="14"/>
  <c r="BO6" i="14" s="1"/>
  <c r="BD8" i="14"/>
  <c r="BD11" i="14" s="1"/>
  <c r="BJ18" i="14"/>
  <c r="AI25" i="14"/>
  <c r="BI25" i="14" s="1"/>
  <c r="BI23" i="14"/>
  <c r="BI26" i="14" s="1"/>
  <c r="AE26" i="14"/>
  <c r="BD25" i="14" s="1"/>
  <c r="BF23" i="14"/>
  <c r="BF26" i="14" s="1"/>
  <c r="AD31" i="14"/>
  <c r="BC30" i="14" s="1"/>
  <c r="BC28" i="14"/>
  <c r="BC31" i="14" s="1"/>
  <c r="AQ33" i="14"/>
  <c r="AO38" i="14"/>
  <c r="AO41" i="14" s="1"/>
  <c r="BN38" i="14"/>
  <c r="AE10" i="14"/>
  <c r="BA10" i="14" s="1"/>
  <c r="BV10" i="14" s="1"/>
  <c r="AY3" i="14"/>
  <c r="AY6" i="14" s="1"/>
  <c r="BG3" i="14"/>
  <c r="BG6" i="14" s="1"/>
  <c r="BP3" i="14"/>
  <c r="BN8" i="14"/>
  <c r="BN11" i="14" s="1"/>
  <c r="AO18" i="14"/>
  <c r="AO21" i="14" s="1"/>
  <c r="BM18" i="14"/>
  <c r="BM21" i="14" s="1"/>
  <c r="AI26" i="14"/>
  <c r="BL25" i="14" s="1"/>
  <c r="BJ23" i="14"/>
  <c r="BJ26" i="14" s="1"/>
  <c r="BP33" i="14"/>
  <c r="BO38" i="14"/>
  <c r="AZ38" i="14"/>
  <c r="AC41" i="14"/>
  <c r="BB40" i="14" s="1"/>
  <c r="BB38" i="14"/>
  <c r="AD40" i="14"/>
  <c r="AZ40" i="14" s="1"/>
  <c r="W47" i="14"/>
  <c r="AU45" i="14" s="1"/>
  <c r="AQ43" i="14"/>
  <c r="AQ46" i="14" s="1"/>
  <c r="AK47" i="14"/>
  <c r="BQ45" i="14" s="1"/>
  <c r="BQ43" i="14"/>
  <c r="BQ46" i="14" s="1"/>
  <c r="X5" i="14"/>
  <c r="AP5" i="14" s="1"/>
  <c r="AP6" i="14" s="1"/>
  <c r="Y32" i="14"/>
  <c r="AW30" i="14" s="1"/>
  <c r="AW31" i="14" s="1"/>
  <c r="Y36" i="14"/>
  <c r="AT35" i="14" s="1"/>
  <c r="AT36" i="14" s="1"/>
  <c r="AU13" i="14"/>
  <c r="AU16" i="14" s="1"/>
  <c r="BP13" i="14"/>
  <c r="BP16" i="14" s="1"/>
  <c r="BN18" i="14"/>
  <c r="BN21" i="14" s="1"/>
  <c r="AV28" i="14"/>
  <c r="AV31" i="14" s="1"/>
  <c r="BQ33" i="14"/>
  <c r="BQ36" i="14" s="1"/>
  <c r="AR38" i="14"/>
  <c r="AR41" i="14" s="1"/>
  <c r="W21" i="14"/>
  <c r="AR20" i="14" s="1"/>
  <c r="AR21" i="14" s="1"/>
  <c r="BF8" i="14"/>
  <c r="BF11" i="14" s="1"/>
  <c r="BJ3" i="14"/>
  <c r="BJ6" i="14" s="1"/>
  <c r="AP8" i="14"/>
  <c r="AP11" i="14" s="1"/>
  <c r="BG8" i="14"/>
  <c r="BG11" i="14" s="1"/>
  <c r="BP8" i="14"/>
  <c r="BP11" i="14" s="1"/>
  <c r="BO18" i="14"/>
  <c r="BO21" i="14" s="1"/>
  <c r="AZ18" i="14"/>
  <c r="AC21" i="14"/>
  <c r="BB20" i="14" s="1"/>
  <c r="BB18" i="14"/>
  <c r="AD20" i="14"/>
  <c r="AZ20" i="14" s="1"/>
  <c r="AS43" i="14"/>
  <c r="AS46" i="14" s="1"/>
  <c r="AK30" i="14"/>
  <c r="BK30" i="14" s="1"/>
  <c r="AY38" i="14"/>
  <c r="AY41" i="14" s="1"/>
  <c r="D46" i="11"/>
  <c r="C30" i="11"/>
  <c r="D44" i="11"/>
  <c r="AH2" i="7"/>
  <c r="BD50" i="7"/>
  <c r="BB50" i="7"/>
  <c r="BC50" i="7"/>
  <c r="BD65" i="7"/>
  <c r="BB65" i="7"/>
  <c r="BC65" i="7"/>
  <c r="BC80" i="7"/>
  <c r="BD80" i="7"/>
  <c r="BB80" i="7"/>
  <c r="BD90" i="7"/>
  <c r="BC90" i="7"/>
  <c r="BB90" i="7"/>
  <c r="BC85" i="7"/>
  <c r="BD75" i="7"/>
  <c r="BB60" i="7"/>
  <c r="BD85" i="7"/>
  <c r="BC60" i="7"/>
  <c r="BD70" i="7"/>
  <c r="BC55" i="7"/>
  <c r="BD55" i="7"/>
  <c r="BC70" i="7"/>
  <c r="BB85" i="7"/>
  <c r="BC75" i="7"/>
  <c r="BB75" i="7"/>
  <c r="BB70" i="7"/>
  <c r="BD60" i="7"/>
  <c r="BB55" i="7"/>
  <c r="A9" i="4"/>
  <c r="A11" i="4"/>
  <c r="A8" i="4"/>
  <c r="A10" i="4"/>
  <c r="A7" i="4"/>
  <c r="A6" i="4"/>
  <c r="A5" i="4"/>
  <c r="A4" i="4"/>
  <c r="A3" i="4"/>
  <c r="K3" i="4" s="1"/>
  <c r="AX32" i="7"/>
  <c r="AW32" i="7"/>
  <c r="AV32" i="7"/>
  <c r="AU32" i="7"/>
  <c r="AT32" i="7"/>
  <c r="AS32" i="7"/>
  <c r="AR32" i="7"/>
  <c r="AQ32" i="7"/>
  <c r="AP32" i="7"/>
  <c r="AN32" i="7"/>
  <c r="AM32" i="7"/>
  <c r="AL32" i="7"/>
  <c r="AK32" i="7"/>
  <c r="AJ32" i="7"/>
  <c r="AI32" i="7"/>
  <c r="AH32" i="7"/>
  <c r="AG32" i="7"/>
  <c r="AF32" i="7"/>
  <c r="AD32" i="7"/>
  <c r="AC32" i="7"/>
  <c r="AB32" i="7"/>
  <c r="AA32" i="7"/>
  <c r="Z32" i="7"/>
  <c r="Y32" i="7"/>
  <c r="X32" i="7"/>
  <c r="W32" i="7"/>
  <c r="V32" i="7"/>
  <c r="AX42" i="7"/>
  <c r="AW42" i="7"/>
  <c r="AV42" i="7"/>
  <c r="AU42" i="7"/>
  <c r="AT42" i="7"/>
  <c r="AS42" i="7"/>
  <c r="AR42" i="7"/>
  <c r="AQ42" i="7"/>
  <c r="AP42" i="7"/>
  <c r="AN42" i="7"/>
  <c r="AM42" i="7"/>
  <c r="AL42" i="7"/>
  <c r="AK42" i="7"/>
  <c r="AJ42" i="7"/>
  <c r="AI42" i="7"/>
  <c r="AH42" i="7"/>
  <c r="AG42" i="7"/>
  <c r="AF42" i="7"/>
  <c r="AD42" i="7"/>
  <c r="AC42" i="7"/>
  <c r="AB42" i="7"/>
  <c r="AA42" i="7"/>
  <c r="Z42" i="7"/>
  <c r="Y42" i="7"/>
  <c r="X42" i="7"/>
  <c r="W42" i="7"/>
  <c r="V42" i="7"/>
  <c r="AX27" i="7"/>
  <c r="AW27" i="7"/>
  <c r="AV27" i="7"/>
  <c r="AU27" i="7"/>
  <c r="AT27" i="7"/>
  <c r="AS27" i="7"/>
  <c r="AR27" i="7"/>
  <c r="AQ27" i="7"/>
  <c r="AP27" i="7"/>
  <c r="AN27" i="7"/>
  <c r="AM27" i="7"/>
  <c r="AL27" i="7"/>
  <c r="AK27" i="7"/>
  <c r="AJ27" i="7"/>
  <c r="AI27" i="7"/>
  <c r="AH27" i="7"/>
  <c r="AG27" i="7"/>
  <c r="AF27" i="7"/>
  <c r="AD27" i="7"/>
  <c r="AC27" i="7"/>
  <c r="AB27" i="7"/>
  <c r="AA27" i="7"/>
  <c r="Z27" i="7"/>
  <c r="Y27" i="7"/>
  <c r="X27" i="7"/>
  <c r="W27" i="7"/>
  <c r="V27" i="7"/>
  <c r="AX37" i="7"/>
  <c r="AW37" i="7"/>
  <c r="AV37" i="7"/>
  <c r="AU37" i="7"/>
  <c r="AT37" i="7"/>
  <c r="AS37" i="7"/>
  <c r="AR37" i="7"/>
  <c r="AQ37" i="7"/>
  <c r="AP37" i="7"/>
  <c r="AN37" i="7"/>
  <c r="AM37" i="7"/>
  <c r="AL37" i="7"/>
  <c r="AK37" i="7"/>
  <c r="AJ37" i="7"/>
  <c r="AI37" i="7"/>
  <c r="AH37" i="7"/>
  <c r="AG37" i="7"/>
  <c r="AF37" i="7"/>
  <c r="AD37" i="7"/>
  <c r="AC37" i="7"/>
  <c r="AB37" i="7"/>
  <c r="AA37" i="7"/>
  <c r="Z37" i="7"/>
  <c r="Y37" i="7"/>
  <c r="X37" i="7"/>
  <c r="W37" i="7"/>
  <c r="V37" i="7"/>
  <c r="AX22" i="7"/>
  <c r="AW22" i="7"/>
  <c r="AV22" i="7"/>
  <c r="AU22" i="7"/>
  <c r="AT22" i="7"/>
  <c r="AS22" i="7"/>
  <c r="AR22" i="7"/>
  <c r="AQ22" i="7"/>
  <c r="AP22" i="7"/>
  <c r="AN22" i="7"/>
  <c r="AM22" i="7"/>
  <c r="AL22" i="7"/>
  <c r="AK22" i="7"/>
  <c r="AJ22" i="7"/>
  <c r="AI22" i="7"/>
  <c r="AH22" i="7"/>
  <c r="AG22" i="7"/>
  <c r="AF22" i="7"/>
  <c r="AD22" i="7"/>
  <c r="AC22" i="7"/>
  <c r="AB22" i="7"/>
  <c r="AA22" i="7"/>
  <c r="Z22" i="7"/>
  <c r="Y22" i="7"/>
  <c r="X22" i="7"/>
  <c r="W22" i="7"/>
  <c r="V22" i="7"/>
  <c r="AX17" i="7"/>
  <c r="AW17" i="7"/>
  <c r="AV17" i="7"/>
  <c r="AU17" i="7"/>
  <c r="AT17" i="7"/>
  <c r="AS17" i="7"/>
  <c r="AR17" i="7"/>
  <c r="AQ17" i="7"/>
  <c r="AP17" i="7"/>
  <c r="AN17" i="7"/>
  <c r="AM17" i="7"/>
  <c r="AL17" i="7"/>
  <c r="AK17" i="7"/>
  <c r="AJ17" i="7"/>
  <c r="AI17" i="7"/>
  <c r="AH17" i="7"/>
  <c r="AG17" i="7"/>
  <c r="AF17" i="7"/>
  <c r="AD17" i="7"/>
  <c r="AC17" i="7"/>
  <c r="AB17" i="7"/>
  <c r="AA17" i="7"/>
  <c r="Z17" i="7"/>
  <c r="Y17" i="7"/>
  <c r="X17" i="7"/>
  <c r="W17" i="7"/>
  <c r="V17" i="7"/>
  <c r="AX12" i="7"/>
  <c r="AW12" i="7"/>
  <c r="AV12" i="7"/>
  <c r="AU12" i="7"/>
  <c r="AT12" i="7"/>
  <c r="AS12" i="7"/>
  <c r="AR12" i="7"/>
  <c r="AQ12" i="7"/>
  <c r="AP12" i="7"/>
  <c r="AN12" i="7"/>
  <c r="AM12" i="7"/>
  <c r="AL12" i="7"/>
  <c r="AK12" i="7"/>
  <c r="AJ12" i="7"/>
  <c r="AI12" i="7"/>
  <c r="AH12" i="7"/>
  <c r="AG12" i="7"/>
  <c r="AF12" i="7"/>
  <c r="AD12" i="7"/>
  <c r="AC12" i="7"/>
  <c r="AB12" i="7"/>
  <c r="AA12" i="7"/>
  <c r="Z12" i="7"/>
  <c r="Y12" i="7"/>
  <c r="X12" i="7"/>
  <c r="W12" i="7"/>
  <c r="V12" i="7"/>
  <c r="AX7" i="7"/>
  <c r="AW7" i="7"/>
  <c r="AV7" i="7"/>
  <c r="AU7" i="7"/>
  <c r="AT7" i="7"/>
  <c r="AS7" i="7"/>
  <c r="AR7" i="7"/>
  <c r="Y4" i="11" s="1"/>
  <c r="AQ7" i="7"/>
  <c r="AP7" i="7"/>
  <c r="AN7" i="7"/>
  <c r="AM7" i="7"/>
  <c r="AL7" i="7"/>
  <c r="AK7" i="7"/>
  <c r="AJ7" i="7"/>
  <c r="AI7" i="7"/>
  <c r="AH7" i="7"/>
  <c r="AG7" i="7"/>
  <c r="AF7" i="7"/>
  <c r="M4" i="11" s="1"/>
  <c r="AD7" i="7"/>
  <c r="AC7" i="7"/>
  <c r="AB7" i="7"/>
  <c r="AA7" i="7"/>
  <c r="Z7" i="7"/>
  <c r="Y7" i="7"/>
  <c r="X7" i="7"/>
  <c r="W7" i="7"/>
  <c r="V7" i="7"/>
  <c r="AW2" i="7"/>
  <c r="AX2" i="7"/>
  <c r="AV2" i="7"/>
  <c r="AT2" i="7"/>
  <c r="AU2" i="7"/>
  <c r="AS2" i="7"/>
  <c r="AQ2" i="7"/>
  <c r="AR2" i="7"/>
  <c r="AP2" i="7"/>
  <c r="AM2" i="7"/>
  <c r="AN2" i="7"/>
  <c r="AL2" i="7"/>
  <c r="AJ2" i="7"/>
  <c r="AK2" i="7"/>
  <c r="AI2" i="7"/>
  <c r="AG2" i="7"/>
  <c r="AF2" i="7"/>
  <c r="M6" i="11" s="1"/>
  <c r="AC2" i="7"/>
  <c r="AD2" i="7"/>
  <c r="AB2" i="7"/>
  <c r="Y2" i="7"/>
  <c r="V2" i="7"/>
  <c r="Z2" i="7"/>
  <c r="AA2" i="7"/>
  <c r="W2" i="7"/>
  <c r="X2" i="7"/>
  <c r="F3" i="3"/>
  <c r="F4" i="3"/>
  <c r="F5" i="3"/>
  <c r="F6" i="3"/>
  <c r="F7" i="3"/>
  <c r="F8" i="3"/>
  <c r="F9" i="3"/>
  <c r="F10" i="3"/>
  <c r="F11" i="3"/>
  <c r="F12" i="3"/>
  <c r="F13" i="3"/>
  <c r="F14" i="3"/>
  <c r="F15" i="3"/>
  <c r="F16" i="3"/>
  <c r="F17" i="3"/>
  <c r="F18" i="3"/>
  <c r="F19" i="3"/>
  <c r="F2" i="3"/>
  <c r="AC56" i="11" l="1"/>
  <c r="Y74" i="11"/>
  <c r="Y75" i="11"/>
  <c r="Y67" i="11"/>
  <c r="Y66" i="11"/>
  <c r="Y68" i="11" s="1"/>
  <c r="Y31" i="11"/>
  <c r="Y32" i="11" s="1"/>
  <c r="D68" i="11"/>
  <c r="K60" i="11"/>
  <c r="AD52" i="11"/>
  <c r="D52" i="11"/>
  <c r="AC52" i="11"/>
  <c r="I56" i="11"/>
  <c r="R56" i="11"/>
  <c r="Y48" i="11"/>
  <c r="G56" i="11"/>
  <c r="P32" i="11"/>
  <c r="AB56" i="11"/>
  <c r="U56" i="11"/>
  <c r="AC60" i="11"/>
  <c r="H56" i="11"/>
  <c r="O60" i="11"/>
  <c r="AE56" i="11"/>
  <c r="F56" i="11"/>
  <c r="I32" i="11"/>
  <c r="I60" i="11"/>
  <c r="M40" i="11"/>
  <c r="F60" i="11"/>
  <c r="R32" i="11"/>
  <c r="AA52" i="11"/>
  <c r="K36" i="11"/>
  <c r="W56" i="11"/>
  <c r="U44" i="11"/>
  <c r="H40" i="11"/>
  <c r="T60" i="11"/>
  <c r="M31" i="11"/>
  <c r="E56" i="11"/>
  <c r="S44" i="11"/>
  <c r="U52" i="11"/>
  <c r="T52" i="11"/>
  <c r="M44" i="11"/>
  <c r="M48" i="11"/>
  <c r="Y36" i="11"/>
  <c r="J48" i="11"/>
  <c r="AD60" i="11"/>
  <c r="K56" i="11"/>
  <c r="N60" i="11"/>
  <c r="J36" i="11"/>
  <c r="R60" i="11"/>
  <c r="AC40" i="11"/>
  <c r="U40" i="11"/>
  <c r="K32" i="11"/>
  <c r="AA60" i="11"/>
  <c r="J44" i="11"/>
  <c r="X44" i="11"/>
  <c r="S52" i="11"/>
  <c r="Y56" i="11"/>
  <c r="AA48" i="11"/>
  <c r="G44" i="11"/>
  <c r="R36" i="11"/>
  <c r="Q32" i="11"/>
  <c r="J52" i="11"/>
  <c r="AE48" i="11"/>
  <c r="Z52" i="11"/>
  <c r="H52" i="11"/>
  <c r="Z60" i="11"/>
  <c r="G48" i="11"/>
  <c r="D60" i="11"/>
  <c r="H48" i="11"/>
  <c r="M36" i="11"/>
  <c r="AC36" i="11"/>
  <c r="AE36" i="11"/>
  <c r="AA40" i="11"/>
  <c r="W60" i="11"/>
  <c r="K44" i="11"/>
  <c r="N32" i="11"/>
  <c r="N48" i="11"/>
  <c r="R52" i="11"/>
  <c r="P56" i="11"/>
  <c r="T44" i="11"/>
  <c r="G32" i="11"/>
  <c r="X36" i="11"/>
  <c r="S56" i="11"/>
  <c r="T32" i="11"/>
  <c r="AD56" i="11"/>
  <c r="AA56" i="11"/>
  <c r="E36" i="11"/>
  <c r="P40" i="11"/>
  <c r="T56" i="11"/>
  <c r="M60" i="11"/>
  <c r="AD48" i="11"/>
  <c r="H44" i="11"/>
  <c r="M54" i="11"/>
  <c r="O44" i="11"/>
  <c r="F40" i="11"/>
  <c r="Z32" i="11"/>
  <c r="D80" i="11"/>
  <c r="M30" i="11"/>
  <c r="M32" i="11" s="1"/>
  <c r="AA32" i="11"/>
  <c r="Y40" i="11"/>
  <c r="U36" i="11"/>
  <c r="AE40" i="11"/>
  <c r="AD36" i="11"/>
  <c r="U32" i="11"/>
  <c r="J60" i="11"/>
  <c r="T48" i="11"/>
  <c r="S32" i="11"/>
  <c r="Z36" i="11"/>
  <c r="F32" i="11"/>
  <c r="W36" i="11"/>
  <c r="J32" i="11"/>
  <c r="K48" i="11"/>
  <c r="Q36" i="11"/>
  <c r="O36" i="11"/>
  <c r="P60" i="11"/>
  <c r="D32" i="11"/>
  <c r="R40" i="11"/>
  <c r="F48" i="11"/>
  <c r="M55" i="11"/>
  <c r="AB40" i="11"/>
  <c r="P36" i="11"/>
  <c r="E32" i="11"/>
  <c r="T40" i="11"/>
  <c r="AD44" i="11"/>
  <c r="K40" i="11"/>
  <c r="S36" i="11"/>
  <c r="N36" i="11"/>
  <c r="H32" i="11"/>
  <c r="Y60" i="11"/>
  <c r="AD32" i="11"/>
  <c r="G40" i="11"/>
  <c r="AB32" i="11"/>
  <c r="S40" i="11"/>
  <c r="O32" i="11"/>
  <c r="N56" i="11"/>
  <c r="AC32" i="11"/>
  <c r="AB36" i="11"/>
  <c r="Q56" i="11"/>
  <c r="D48" i="11"/>
  <c r="U80" i="11"/>
  <c r="C32" i="11"/>
  <c r="D36" i="11"/>
  <c r="D76" i="11"/>
  <c r="BO41" i="14"/>
  <c r="BG41" i="14"/>
  <c r="BB41" i="14"/>
  <c r="BP36" i="14"/>
  <c r="AP36" i="14"/>
  <c r="AY31" i="14"/>
  <c r="BD21" i="14"/>
  <c r="AT16" i="14"/>
  <c r="BI46" i="14"/>
  <c r="BP46" i="14"/>
  <c r="BD46" i="14"/>
  <c r="BJ41" i="14"/>
  <c r="BN41" i="14"/>
  <c r="BV40" i="14"/>
  <c r="AZ41" i="14"/>
  <c r="BE41" i="14"/>
  <c r="BF41" i="14"/>
  <c r="AQ36" i="14"/>
  <c r="AS36" i="14"/>
  <c r="BK31" i="14"/>
  <c r="BP31" i="14"/>
  <c r="BW30" i="14"/>
  <c r="BM31" i="14"/>
  <c r="AP31" i="14"/>
  <c r="BN26" i="14"/>
  <c r="BD26" i="14"/>
  <c r="BV25" i="14"/>
  <c r="BA26" i="14"/>
  <c r="BU25" i="14"/>
  <c r="AR26" i="14"/>
  <c r="AU26" i="14"/>
  <c r="BJ21" i="14"/>
  <c r="AZ21" i="14"/>
  <c r="BB21" i="14"/>
  <c r="BG21" i="14"/>
  <c r="BF16" i="14"/>
  <c r="BP6" i="14"/>
  <c r="BF6" i="14"/>
  <c r="BA11" i="14"/>
  <c r="BW25" i="14"/>
  <c r="BU10" i="14"/>
  <c r="BU15" i="14"/>
  <c r="BU30" i="14"/>
  <c r="BW28" i="14"/>
  <c r="BU28" i="14"/>
  <c r="BU13" i="14"/>
  <c r="BV18" i="14"/>
  <c r="BV33" i="14"/>
  <c r="BV23" i="14"/>
  <c r="BW33" i="14"/>
  <c r="BU33" i="14"/>
  <c r="BU23" i="14"/>
  <c r="BV38" i="14"/>
  <c r="BW18" i="14"/>
  <c r="BU18" i="14"/>
  <c r="BV13" i="14"/>
  <c r="BU43" i="14"/>
  <c r="BU8" i="14"/>
  <c r="BW3" i="14"/>
  <c r="BW23" i="14"/>
  <c r="BW13" i="14"/>
  <c r="BW38" i="14"/>
  <c r="BW43" i="14"/>
  <c r="BV43" i="14"/>
  <c r="BU38" i="14"/>
  <c r="BV28" i="14"/>
  <c r="BW8" i="14"/>
  <c r="BU3" i="14"/>
  <c r="BV8" i="14"/>
  <c r="BV3" i="14"/>
  <c r="D56" i="11"/>
  <c r="D64" i="11"/>
  <c r="D40" i="11"/>
  <c r="A4" i="3"/>
  <c r="E4" i="3" s="1"/>
  <c r="K4" i="4"/>
  <c r="F4" i="4"/>
  <c r="F5" i="4"/>
  <c r="K5" i="4"/>
  <c r="F6" i="4"/>
  <c r="K6" i="4"/>
  <c r="F7" i="4"/>
  <c r="K7" i="4"/>
  <c r="K8" i="4"/>
  <c r="F8" i="4"/>
  <c r="F10" i="4"/>
  <c r="A17" i="3"/>
  <c r="E17" i="3" s="1"/>
  <c r="A16" i="3"/>
  <c r="E16" i="3" s="1"/>
  <c r="K10" i="4"/>
  <c r="A19" i="3"/>
  <c r="A18" i="3"/>
  <c r="E18" i="3" s="1"/>
  <c r="K11" i="4"/>
  <c r="F11" i="4"/>
  <c r="K9" i="4"/>
  <c r="F9" i="4"/>
  <c r="A14" i="3"/>
  <c r="E14" i="3" s="1"/>
  <c r="A15" i="3"/>
  <c r="E15" i="3" s="1"/>
  <c r="E19" i="3"/>
  <c r="A13" i="3"/>
  <c r="E13" i="3" s="1"/>
  <c r="A12" i="3"/>
  <c r="E12" i="3" s="1"/>
  <c r="BC42" i="7"/>
  <c r="C11" i="4" s="1"/>
  <c r="BB37" i="7"/>
  <c r="B10" i="4" s="1"/>
  <c r="BC27" i="7"/>
  <c r="BC22" i="7"/>
  <c r="BB12" i="7"/>
  <c r="B5" i="4" s="1"/>
  <c r="BB7" i="7"/>
  <c r="BB22" i="7"/>
  <c r="A7" i="3"/>
  <c r="E7" i="3" s="1"/>
  <c r="BD7" i="7"/>
  <c r="BB42" i="7"/>
  <c r="B11" i="4" s="1"/>
  <c r="BD22" i="7"/>
  <c r="BD42" i="7"/>
  <c r="D11" i="4" s="1"/>
  <c r="BC37" i="7"/>
  <c r="C10" i="4" s="1"/>
  <c r="BC12" i="7"/>
  <c r="BB17" i="7"/>
  <c r="B6" i="4" s="1"/>
  <c r="BC32" i="7"/>
  <c r="BD2" i="7"/>
  <c r="D3" i="4" s="1"/>
  <c r="N3" i="4" s="1"/>
  <c r="BB27" i="7"/>
  <c r="BD17" i="7"/>
  <c r="BB2" i="7"/>
  <c r="B3" i="4" s="1"/>
  <c r="L3" i="4" s="1"/>
  <c r="BC7" i="7"/>
  <c r="BD27" i="7"/>
  <c r="BD12" i="7"/>
  <c r="D5" i="4" s="1"/>
  <c r="BB32" i="7"/>
  <c r="BC2" i="7"/>
  <c r="C3" i="4" s="1"/>
  <c r="M3" i="4" s="1"/>
  <c r="BD37" i="7"/>
  <c r="D10" i="4" s="1"/>
  <c r="BC17" i="7"/>
  <c r="BD32" i="7"/>
  <c r="A6" i="3"/>
  <c r="E6" i="3" s="1"/>
  <c r="A8" i="3"/>
  <c r="E8" i="3" s="1"/>
  <c r="A10" i="3"/>
  <c r="E10" i="3" s="1"/>
  <c r="A11" i="3"/>
  <c r="E11" i="3" s="1"/>
  <c r="A9" i="3"/>
  <c r="E9" i="3" s="1"/>
  <c r="A2" i="3"/>
  <c r="E2" i="3" s="1"/>
  <c r="F3" i="4"/>
  <c r="A5" i="3"/>
  <c r="E5" i="3" s="1"/>
  <c r="A3" i="3"/>
  <c r="E3" i="3" s="1"/>
  <c r="Y76" i="11" l="1"/>
  <c r="M56" i="11"/>
  <c r="H11" i="4"/>
  <c r="M11" i="4"/>
  <c r="N10" i="4"/>
  <c r="I10" i="4"/>
  <c r="L11" i="4"/>
  <c r="G11" i="4"/>
  <c r="I5" i="4"/>
  <c r="I6" i="3" s="1"/>
  <c r="N5" i="4"/>
  <c r="I7" i="3" s="1"/>
  <c r="L6" i="4"/>
  <c r="G6" i="4"/>
  <c r="M10" i="4"/>
  <c r="H10" i="4"/>
  <c r="L5" i="4"/>
  <c r="G7" i="3" s="1"/>
  <c r="G5" i="4"/>
  <c r="G6" i="3" s="1"/>
  <c r="I11" i="4"/>
  <c r="N11" i="4"/>
  <c r="L10" i="4"/>
  <c r="G10" i="4"/>
  <c r="D9" i="4"/>
  <c r="C9" i="4"/>
  <c r="B9" i="4"/>
  <c r="D8" i="4"/>
  <c r="C8" i="4"/>
  <c r="B8" i="4"/>
  <c r="D7" i="4"/>
  <c r="C7" i="4"/>
  <c r="B7" i="4"/>
  <c r="D6" i="4"/>
  <c r="C6" i="4"/>
  <c r="C5" i="4"/>
  <c r="D4" i="4"/>
  <c r="C4" i="4"/>
  <c r="B4" i="4"/>
  <c r="I3" i="4"/>
  <c r="H3" i="4"/>
  <c r="G3" i="4"/>
  <c r="N6" i="4" l="1"/>
  <c r="I9" i="3" s="1"/>
  <c r="I6" i="4"/>
  <c r="I8" i="3" s="1"/>
  <c r="H9" i="4"/>
  <c r="H14" i="3" s="1"/>
  <c r="M9" i="4"/>
  <c r="H15" i="3" s="1"/>
  <c r="L7" i="4"/>
  <c r="G11" i="3" s="1"/>
  <c r="G7" i="4"/>
  <c r="G10" i="3" s="1"/>
  <c r="I9" i="4"/>
  <c r="I14" i="3" s="1"/>
  <c r="N9" i="4"/>
  <c r="I15" i="3" s="1"/>
  <c r="H7" i="4"/>
  <c r="H10" i="3" s="1"/>
  <c r="M7" i="4"/>
  <c r="H11" i="3" s="1"/>
  <c r="G4" i="4"/>
  <c r="L4" i="4"/>
  <c r="G5" i="3" s="1"/>
  <c r="I7" i="4"/>
  <c r="I10" i="3" s="1"/>
  <c r="N7" i="4"/>
  <c r="I11" i="3" s="1"/>
  <c r="G8" i="4"/>
  <c r="G12" i="3" s="1"/>
  <c r="L8" i="4"/>
  <c r="G13" i="3" s="1"/>
  <c r="H5" i="4"/>
  <c r="H6" i="3" s="1"/>
  <c r="C6" i="3" s="1"/>
  <c r="M5" i="4"/>
  <c r="H7" i="3" s="1"/>
  <c r="C7" i="3" s="1"/>
  <c r="M4" i="4"/>
  <c r="H5" i="3" s="1"/>
  <c r="H4" i="4"/>
  <c r="H4" i="3" s="1"/>
  <c r="I4" i="4"/>
  <c r="I4" i="3" s="1"/>
  <c r="N4" i="4"/>
  <c r="I5" i="3" s="1"/>
  <c r="M8" i="4"/>
  <c r="H13" i="3" s="1"/>
  <c r="H8" i="4"/>
  <c r="H12" i="3" s="1"/>
  <c r="N8" i="4"/>
  <c r="I13" i="3" s="1"/>
  <c r="I8" i="4"/>
  <c r="I12" i="3" s="1"/>
  <c r="M6" i="4"/>
  <c r="H9" i="3" s="1"/>
  <c r="H6" i="4"/>
  <c r="H8" i="3" s="1"/>
  <c r="L9" i="4"/>
  <c r="G15" i="3" s="1"/>
  <c r="G9" i="4"/>
  <c r="G14" i="3" s="1"/>
  <c r="G18" i="3"/>
  <c r="I19" i="3"/>
  <c r="I18" i="3"/>
  <c r="H18" i="3"/>
  <c r="G19" i="3"/>
  <c r="G4" i="3"/>
  <c r="I3" i="3"/>
  <c r="H3" i="3"/>
  <c r="G9" i="3"/>
  <c r="G3" i="3"/>
  <c r="G8" i="3"/>
  <c r="G2" i="3"/>
  <c r="H19" i="3"/>
  <c r="H2" i="3"/>
  <c r="I2" i="3"/>
  <c r="I16" i="3" l="1"/>
  <c r="G17" i="3"/>
  <c r="I17" i="3"/>
  <c r="G16" i="3"/>
  <c r="H17" i="3"/>
  <c r="H16" i="3"/>
  <c r="K12" i="3"/>
  <c r="K13" i="3"/>
  <c r="K3" i="3"/>
  <c r="C13" i="3"/>
  <c r="C15" i="3"/>
  <c r="C12" i="3"/>
  <c r="K5" i="3"/>
  <c r="K11" i="3"/>
  <c r="K19" i="3"/>
  <c r="K9" i="3"/>
  <c r="K7" i="3"/>
  <c r="K15" i="3"/>
  <c r="K8" i="3"/>
  <c r="C4" i="3"/>
  <c r="K4" i="3"/>
  <c r="C10" i="3"/>
  <c r="K10" i="3"/>
  <c r="K14" i="3"/>
  <c r="K18" i="3"/>
  <c r="K2" i="3"/>
  <c r="K6" i="3"/>
  <c r="C19" i="3"/>
  <c r="C14" i="3"/>
  <c r="C11" i="3"/>
  <c r="C5" i="3"/>
  <c r="C18" i="3"/>
  <c r="C3" i="3"/>
  <c r="C9" i="3"/>
  <c r="C2" i="3"/>
  <c r="C8" i="3"/>
  <c r="K16" i="3" l="1"/>
  <c r="C16" i="3"/>
  <c r="K17" i="3"/>
  <c r="C1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"gsalomon"</author>
    <author>Greg Salomons</author>
  </authors>
  <commentList>
    <comment ref="Y3" authorId="0" shapeId="0" xr:uid="{00000000-0006-0000-0300-000001000000}">
      <text>
        <r>
          <rPr>
            <b/>
            <sz val="9"/>
            <color indexed="81"/>
            <rFont val="Tahoma"/>
            <family val="2"/>
          </rPr>
          <t>"gsalomon":</t>
        </r>
        <r>
          <rPr>
            <sz val="9"/>
            <color indexed="81"/>
            <rFont val="Tahoma"/>
            <family val="2"/>
          </rPr>
          <t xml:space="preserve">
If the Interiors do not overlap and the boundaries do not overlap, Boundaries of one cannot be interior to the other.</t>
        </r>
      </text>
    </comment>
    <comment ref="AW3" authorId="1" shapeId="0" xr:uid="{5E0BA39A-51AA-4A49-AA97-9822915873C3}">
      <text>
        <r>
          <rPr>
            <b/>
            <sz val="9"/>
            <color indexed="81"/>
            <rFont val="Tahoma"/>
            <charset val="1"/>
          </rPr>
          <t>Greg Salomons:</t>
        </r>
        <r>
          <rPr>
            <sz val="9"/>
            <color indexed="81"/>
            <rFont val="Tahoma"/>
            <charset val="1"/>
          </rPr>
          <t xml:space="preserve">
The interior of A, with holes filled, should not contain the interior of B.</t>
        </r>
      </text>
    </comment>
    <comment ref="AY3" authorId="1" shapeId="0" xr:uid="{7CA7FB06-C98B-40FB-84A6-DD8D4CD4ACFD}">
      <text>
        <r>
          <rPr>
            <b/>
            <sz val="9"/>
            <color indexed="81"/>
            <rFont val="Tahoma"/>
            <charset val="1"/>
          </rPr>
          <t>Greg Salomons:</t>
        </r>
        <r>
          <rPr>
            <sz val="9"/>
            <color indexed="81"/>
            <rFont val="Tahoma"/>
            <charset val="1"/>
          </rPr>
          <t xml:space="preserve">
The interior of A, with holes filled, will contain some of the area external to B.</t>
        </r>
      </text>
    </comment>
    <comment ref="BV3" authorId="1" shapeId="0" xr:uid="{01A7BE45-55F0-407B-B3F0-EDA705CF96E3}">
      <text>
        <r>
          <rPr>
            <b/>
            <sz val="9"/>
            <color indexed="81"/>
            <rFont val="Tahoma"/>
            <charset val="1"/>
          </rPr>
          <t>Greg Salomons:</t>
        </r>
        <r>
          <rPr>
            <sz val="9"/>
            <color indexed="81"/>
            <rFont val="Tahoma"/>
            <charset val="1"/>
          </rPr>
          <t xml:space="preserve">
The interior of A, with holes filled, may contain  some, but not all, of the interior of B.</t>
        </r>
      </text>
    </comment>
    <comment ref="BX3" authorId="1" shapeId="0" xr:uid="{379D089B-98E8-487B-8DF2-88F4C44BCAE0}">
      <text>
        <r>
          <rPr>
            <b/>
            <sz val="9"/>
            <color indexed="81"/>
            <rFont val="Tahoma"/>
            <charset val="1"/>
          </rPr>
          <t>Greg Salomons:</t>
        </r>
        <r>
          <rPr>
            <sz val="9"/>
            <color indexed="81"/>
            <rFont val="Tahoma"/>
            <charset val="1"/>
          </rPr>
          <t xml:space="preserve">
The the convex hull of A will contain some of the area external to B.</t>
        </r>
      </text>
    </comment>
    <comment ref="AE4" authorId="0" shapeId="0" xr:uid="{00000000-0006-0000-0300-000002000000}">
      <text>
        <r>
          <rPr>
            <b/>
            <sz val="9"/>
            <color indexed="81"/>
            <rFont val="Tahoma"/>
            <family val="2"/>
          </rPr>
          <t>"gsalomon":</t>
        </r>
        <r>
          <rPr>
            <sz val="9"/>
            <color indexed="81"/>
            <rFont val="Tahoma"/>
            <family val="2"/>
          </rPr>
          <t xml:space="preserve">
If the Contour Boundaries do not overlap, then the Exterior Boundaries Cannot overlap.</t>
        </r>
      </text>
    </comment>
    <comment ref="AW5" authorId="1" shapeId="0" xr:uid="{D9DB58FC-4AA6-4505-AF97-7AB37A0F9346}">
      <text>
        <r>
          <rPr>
            <b/>
            <sz val="9"/>
            <color indexed="81"/>
            <rFont val="Tahoma"/>
            <charset val="1"/>
          </rPr>
          <t>Greg Salomons:</t>
        </r>
        <r>
          <rPr>
            <sz val="9"/>
            <color indexed="81"/>
            <rFont val="Tahoma"/>
            <charset val="1"/>
          </rPr>
          <t xml:space="preserve">
The area external to A, with holes filled, should contain some of the interior of B.</t>
        </r>
      </text>
    </comment>
    <comment ref="BV5" authorId="1" shapeId="0" xr:uid="{30CD75A6-C90B-4033-A9ED-B71405133FD7}">
      <text>
        <r>
          <rPr>
            <b/>
            <sz val="9"/>
            <color indexed="81"/>
            <rFont val="Tahoma"/>
            <charset val="1"/>
          </rPr>
          <t>Greg Salomons:</t>
        </r>
        <r>
          <rPr>
            <sz val="9"/>
            <color indexed="81"/>
            <rFont val="Tahoma"/>
            <charset val="1"/>
          </rPr>
          <t xml:space="preserve">
The area external to the convex hull of A will contain some of the interior of B.</t>
        </r>
      </text>
    </comment>
    <comment ref="BV9" authorId="1" shapeId="0" xr:uid="{249ECB22-29FF-49BE-B88A-226472C568ED}">
      <text>
        <r>
          <rPr>
            <b/>
            <sz val="9"/>
            <color indexed="81"/>
            <rFont val="Tahoma"/>
            <charset val="1"/>
          </rPr>
          <t>Greg Salomons:</t>
        </r>
        <r>
          <rPr>
            <sz val="9"/>
            <color indexed="81"/>
            <rFont val="Tahoma"/>
            <charset val="1"/>
          </rPr>
          <t xml:space="preserve">
The interior of A, with holes filled, should contain the interior of B.</t>
        </r>
      </text>
    </comment>
    <comment ref="BX9" authorId="1" shapeId="0" xr:uid="{2C8E9A49-331F-44EC-95F1-CAEF7C5F3697}">
      <text>
        <r>
          <rPr>
            <b/>
            <sz val="9"/>
            <color indexed="81"/>
            <rFont val="Tahoma"/>
            <charset val="1"/>
          </rPr>
          <t>Greg Salomons:</t>
        </r>
        <r>
          <rPr>
            <sz val="9"/>
            <color indexed="81"/>
            <rFont val="Tahoma"/>
            <charset val="1"/>
          </rPr>
          <t xml:space="preserve">
The convex hull of A will contain some of the exterior of B.</t>
        </r>
      </text>
    </comment>
    <comment ref="BV11" authorId="1" shapeId="0" xr:uid="{027994ED-5B52-49BE-9B2E-9E4B8000FC28}">
      <text>
        <r>
          <rPr>
            <b/>
            <sz val="9"/>
            <color indexed="81"/>
            <rFont val="Tahoma"/>
            <charset val="1"/>
          </rPr>
          <t>Greg Salomons:</t>
        </r>
        <r>
          <rPr>
            <sz val="9"/>
            <color indexed="81"/>
            <rFont val="Tahoma"/>
            <charset val="1"/>
          </rPr>
          <t xml:space="preserve">
The area external to the convex hull of A should not contain the interior of B.</t>
        </r>
      </text>
    </comment>
    <comment ref="AW15" authorId="1" shapeId="0" xr:uid="{2D137185-C771-4D8C-9D19-B14587227C26}">
      <text>
        <r>
          <rPr>
            <b/>
            <sz val="9"/>
            <color indexed="81"/>
            <rFont val="Tahoma"/>
            <charset val="1"/>
          </rPr>
          <t>Greg Salomons:</t>
        </r>
        <r>
          <rPr>
            <sz val="9"/>
            <color indexed="81"/>
            <rFont val="Tahoma"/>
            <charset val="1"/>
          </rPr>
          <t xml:space="preserve">
The interior of A, with holes filled, should contain the interior of B.</t>
        </r>
      </text>
    </comment>
    <comment ref="AY15" authorId="1" shapeId="0" xr:uid="{3A5AE7E0-1043-494B-9AFA-1B1F596B49D1}">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17" authorId="1" shapeId="0" xr:uid="{2DB71935-3D34-47A1-ABD0-F659D14294A0}">
      <text>
        <r>
          <rPr>
            <b/>
            <sz val="9"/>
            <color indexed="81"/>
            <rFont val="Tahoma"/>
            <charset val="1"/>
          </rPr>
          <t>Greg Salomons:</t>
        </r>
        <r>
          <rPr>
            <sz val="9"/>
            <color indexed="81"/>
            <rFont val="Tahoma"/>
            <charset val="1"/>
          </rPr>
          <t xml:space="preserve">
The area external to A should not contain the interior of B.</t>
        </r>
      </text>
    </comment>
    <comment ref="AW21" authorId="1" shapeId="0" xr:uid="{C1059702-6252-4D7F-A2F1-498C44307860}">
      <text>
        <r>
          <rPr>
            <b/>
            <sz val="9"/>
            <color indexed="81"/>
            <rFont val="Tahoma"/>
            <charset val="1"/>
          </rPr>
          <t>Greg Salomons:</t>
        </r>
        <r>
          <rPr>
            <sz val="9"/>
            <color indexed="81"/>
            <rFont val="Tahoma"/>
            <charset val="1"/>
          </rPr>
          <t xml:space="preserve">
The interior of A, with holes filled, should not contain  the interior of B.</t>
        </r>
      </text>
    </comment>
    <comment ref="AY21" authorId="1" shapeId="0" xr:uid="{B142E27C-DB30-4AF8-9326-7A6E404F2F86}">
      <text>
        <r>
          <rPr>
            <b/>
            <sz val="9"/>
            <color indexed="81"/>
            <rFont val="Tahoma"/>
            <charset val="1"/>
          </rPr>
          <t>Greg Salomons:</t>
        </r>
        <r>
          <rPr>
            <sz val="9"/>
            <color indexed="81"/>
            <rFont val="Tahoma"/>
            <charset val="1"/>
          </rPr>
          <t xml:space="preserve">
The interior of A, with holes filled, will contain some, of the exterior of B. 
</t>
        </r>
      </text>
    </comment>
    <comment ref="AE22" authorId="0" shapeId="0" xr:uid="{00000000-0006-0000-0300-000003000000}">
      <text>
        <r>
          <rPr>
            <b/>
            <sz val="9"/>
            <color indexed="81"/>
            <rFont val="Tahoma"/>
            <family val="2"/>
          </rPr>
          <t>"gsalomon":</t>
        </r>
        <r>
          <rPr>
            <sz val="9"/>
            <color indexed="81"/>
            <rFont val="Tahoma"/>
            <family val="2"/>
          </rPr>
          <t xml:space="preserve">
If the Contour Boundaries overlap, it does not imply that the Exterior Boundaries will overlap.</t>
        </r>
      </text>
    </comment>
    <comment ref="AW23" authorId="1" shapeId="0" xr:uid="{4AF214DA-2FB9-4F1E-BCB3-1BA57855771E}">
      <text>
        <r>
          <rPr>
            <b/>
            <sz val="9"/>
            <color indexed="81"/>
            <rFont val="Tahoma"/>
            <charset val="1"/>
          </rPr>
          <t>Greg Salomons:</t>
        </r>
        <r>
          <rPr>
            <sz val="9"/>
            <color indexed="81"/>
            <rFont val="Tahoma"/>
            <charset val="1"/>
          </rPr>
          <t xml:space="preserve">
The area external to A should contain some of the interior of B.</t>
        </r>
      </text>
    </comment>
    <comment ref="AW27" authorId="1" shapeId="0" xr:uid="{2C762BE1-09B7-42F2-A2AA-74CAE3E4C068}">
      <text>
        <r>
          <rPr>
            <b/>
            <sz val="9"/>
            <color indexed="81"/>
            <rFont val="Tahoma"/>
            <charset val="1"/>
          </rPr>
          <t>Greg Salomons:</t>
        </r>
        <r>
          <rPr>
            <sz val="9"/>
            <color indexed="81"/>
            <rFont val="Tahoma"/>
            <charset val="1"/>
          </rPr>
          <t xml:space="preserve">
The interior of A, with holes filled, should contain the interior of B.</t>
        </r>
      </text>
    </comment>
    <comment ref="AY27" authorId="1" shapeId="0" xr:uid="{761A163F-1884-4D22-A3E5-8B29AADBF532}">
      <text>
        <r>
          <rPr>
            <b/>
            <sz val="9"/>
            <color indexed="81"/>
            <rFont val="Tahoma"/>
            <charset val="1"/>
          </rPr>
          <t>Greg Salomons:</t>
        </r>
        <r>
          <rPr>
            <sz val="9"/>
            <color indexed="81"/>
            <rFont val="Tahoma"/>
            <charset val="1"/>
          </rPr>
          <t xml:space="preserve">
The interior of A, with holes filled, should contain some of the exterior of B. (there is no scenario where the interior of A, with holes filled, will not be larger than B)</t>
        </r>
      </text>
    </comment>
    <comment ref="AW29" authorId="1" shapeId="0" xr:uid="{C316EA56-5941-4BD0-8626-E973120D9CDF}">
      <text>
        <r>
          <rPr>
            <b/>
            <sz val="9"/>
            <color indexed="81"/>
            <rFont val="Tahoma"/>
            <charset val="1"/>
          </rPr>
          <t>Greg Salomons:</t>
        </r>
        <r>
          <rPr>
            <sz val="9"/>
            <color indexed="81"/>
            <rFont val="Tahoma"/>
            <charset val="1"/>
          </rPr>
          <t xml:space="preserve">
The area external to A should not contain the interior of B.</t>
        </r>
      </text>
    </comment>
    <comment ref="AR33" authorId="0" shapeId="0" xr:uid="{00000000-0006-0000-0300-000004000000}">
      <text>
        <r>
          <rPr>
            <b/>
            <sz val="9"/>
            <color indexed="81"/>
            <rFont val="Tahoma"/>
            <family val="2"/>
          </rPr>
          <t>"gsalomon":</t>
        </r>
        <r>
          <rPr>
            <sz val="9"/>
            <color indexed="81"/>
            <rFont val="Tahoma"/>
            <family val="2"/>
          </rPr>
          <t xml:space="preserve">
For Contains, the Boundaries of B should be interior to A</t>
        </r>
      </text>
    </comment>
    <comment ref="AS33" authorId="1" shapeId="0" xr:uid="{9017A247-8120-4E40-BB38-4184D79D99C0}">
      <text>
        <r>
          <rPr>
            <b/>
            <sz val="9"/>
            <color indexed="81"/>
            <rFont val="Tahoma"/>
            <family val="2"/>
          </rPr>
          <t>Greg Salomons:</t>
        </r>
        <r>
          <rPr>
            <sz val="9"/>
            <color indexed="81"/>
            <rFont val="Tahoma"/>
            <family val="2"/>
          </rPr>
          <t xml:space="preserve">
The Interior of A will contain some of the exterior of B.</t>
        </r>
      </text>
    </comment>
    <comment ref="AQ34" authorId="0" shapeId="0" xr:uid="{00000000-0006-0000-0300-000005000000}">
      <text>
        <r>
          <rPr>
            <b/>
            <sz val="9"/>
            <color indexed="81"/>
            <rFont val="Tahoma"/>
            <family val="2"/>
          </rPr>
          <t>"gsalomon":</t>
        </r>
        <r>
          <rPr>
            <sz val="9"/>
            <color indexed="81"/>
            <rFont val="Tahoma"/>
            <family val="2"/>
          </rPr>
          <t xml:space="preserve">
For Contains, the Boundaries of A should not be interior to B</t>
        </r>
      </text>
    </comment>
    <comment ref="Z51" authorId="1" shapeId="0" xr:uid="{B29DA34F-1A8C-4009-9B19-B12502ABEBFC}">
      <text>
        <r>
          <rPr>
            <b/>
            <sz val="9"/>
            <color indexed="81"/>
            <rFont val="Tahoma"/>
            <family val="2"/>
          </rPr>
          <t>Greg Salomons:</t>
        </r>
        <r>
          <rPr>
            <sz val="9"/>
            <color indexed="81"/>
            <rFont val="Tahoma"/>
            <family val="2"/>
          </rPr>
          <t xml:space="preserve">
The Interior pf A will contain some of the exterior of B.</t>
        </r>
      </text>
    </comment>
  </commentList>
</comments>
</file>

<file path=xl/sharedStrings.xml><?xml version="1.0" encoding="utf-8"?>
<sst xmlns="http://schemas.openxmlformats.org/spreadsheetml/2006/main" count="2147" uniqueCount="90">
  <si>
    <t>Surrounds</t>
  </si>
  <si>
    <t>Enclosed</t>
  </si>
  <si>
    <t>Transitive</t>
  </si>
  <si>
    <r>
      <t>a</t>
    </r>
    <r>
      <rPr>
        <sz val="10"/>
        <color rgb="FF202122"/>
        <rFont val="Calibri"/>
        <family val="2"/>
      </rPr>
      <t xml:space="preserve"> </t>
    </r>
    <r>
      <rPr>
        <sz val="11"/>
        <color rgb="FF000000"/>
        <rFont val="Aptos"/>
        <family val="2"/>
      </rPr>
      <t xml:space="preserve">and </t>
    </r>
    <r>
      <rPr>
        <b/>
        <i/>
        <sz val="14"/>
        <color rgb="FF00B050"/>
        <rFont val="Calibri"/>
        <family val="2"/>
      </rPr>
      <t>b</t>
    </r>
    <r>
      <rPr>
        <sz val="10"/>
        <color rgb="FF000000"/>
        <rFont val="Aptos"/>
        <family val="2"/>
      </rPr>
      <t xml:space="preserve"> </t>
    </r>
    <r>
      <rPr>
        <sz val="11"/>
        <color rgb="FF000000"/>
        <rFont val="Aptos"/>
        <family val="2"/>
      </rPr>
      <t xml:space="preserve">have no interior points in common, and with holes filled </t>
    </r>
    <r>
      <rPr>
        <b/>
        <i/>
        <sz val="14"/>
        <color rgb="FF00B050"/>
        <rFont val="Calibri"/>
        <family val="2"/>
      </rPr>
      <t>b</t>
    </r>
    <r>
      <rPr>
        <sz val="10"/>
        <color rgb="FF000000"/>
        <rFont val="Aptos"/>
        <family val="2"/>
      </rPr>
      <t xml:space="preserve"> </t>
    </r>
    <r>
      <rPr>
        <sz val="11"/>
        <color rgb="FF000000"/>
        <rFont val="Aptos"/>
        <family val="2"/>
      </rPr>
      <t xml:space="preserve">lies in the interior of </t>
    </r>
    <r>
      <rPr>
        <b/>
        <i/>
        <sz val="14"/>
        <color rgb="FF5B9BD5"/>
        <rFont val="Calibri"/>
        <family val="2"/>
      </rPr>
      <t>a</t>
    </r>
    <r>
      <rPr>
        <sz val="11"/>
        <color rgb="FF000000"/>
        <rFont val="Aptos"/>
        <family val="2"/>
      </rPr>
      <t>.</t>
    </r>
  </si>
  <si>
    <r>
      <t xml:space="preserve">region a 
</t>
    </r>
    <r>
      <rPr>
        <b/>
        <i/>
        <sz val="12"/>
        <color rgb="FF00B050"/>
        <rFont val="Calibri"/>
        <family val="2"/>
      </rPr>
      <t xml:space="preserve">region b 
</t>
    </r>
    <r>
      <rPr>
        <b/>
        <i/>
        <sz val="12"/>
        <color rgb="FFF7AC08"/>
        <rFont val="Calibri"/>
        <family val="2"/>
      </rPr>
      <t>intersection of a &amp; b</t>
    </r>
    <r>
      <rPr>
        <sz val="12"/>
        <color rgb="FF000000"/>
        <rFont val="Aptos"/>
        <family val="2"/>
      </rPr>
      <t xml:space="preserve"> </t>
    </r>
  </si>
  <si>
    <t>Shelters</t>
  </si>
  <si>
    <t>Sheltered</t>
  </si>
  <si>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 but the </t>
    </r>
    <r>
      <rPr>
        <i/>
        <sz val="11"/>
        <color rgb="FF000000"/>
        <rFont val="Aptos"/>
        <family val="2"/>
      </rPr>
      <t>Convex Hull</t>
    </r>
    <r>
      <rPr>
        <sz val="11"/>
        <color rgb="FF000000"/>
        <rFont val="Aptos"/>
        <family val="2"/>
      </rPr>
      <t xml:space="preserve"> of </t>
    </r>
    <r>
      <rPr>
        <b/>
        <i/>
        <sz val="14"/>
        <color rgb="FF5B9BD5"/>
        <rFont val="Calibri"/>
        <family val="2"/>
      </rPr>
      <t>a</t>
    </r>
    <r>
      <rPr>
        <sz val="11"/>
        <color rgb="FF000000"/>
        <rFont val="Aptos"/>
        <family val="2"/>
      </rPr>
      <t xml:space="preserve"> contains </t>
    </r>
    <r>
      <rPr>
        <b/>
        <i/>
        <sz val="14"/>
        <color rgb="FF00B050"/>
        <rFont val="Calibri"/>
        <family val="2"/>
      </rPr>
      <t>b</t>
    </r>
    <r>
      <rPr>
        <sz val="11"/>
        <color rgb="FF000000"/>
        <rFont val="Aptos"/>
        <family val="2"/>
      </rPr>
      <t>.</t>
    </r>
  </si>
  <si>
    <r>
      <t xml:space="preserve">A relation is </t>
    </r>
    <r>
      <rPr>
        <b/>
        <sz val="11"/>
        <color rgb="FF000000"/>
        <rFont val="Aptos"/>
        <family val="2"/>
      </rPr>
      <t>transitive</t>
    </r>
    <r>
      <rPr>
        <sz val="11"/>
        <color rgb="FF000000"/>
        <rFont val="Aptos"/>
        <family val="2"/>
      </rPr>
      <t xml:space="preserve"> if whenever ,</t>
    </r>
    <r>
      <rPr>
        <i/>
        <sz val="11"/>
        <color rgb="FF000000"/>
        <rFont val="Aptos"/>
        <family val="2"/>
      </rPr>
      <t>aRb</t>
    </r>
    <r>
      <rPr>
        <sz val="11"/>
        <color rgb="FF000000"/>
        <rFont val="Aptos"/>
        <family val="2"/>
      </rPr>
      <t xml:space="preserve"> and</t>
    </r>
    <r>
      <rPr>
        <i/>
        <sz val="11"/>
        <color rgb="FF000000"/>
        <rFont val="Aptos"/>
        <family val="2"/>
      </rPr>
      <t xml:space="preserve"> bRc</t>
    </r>
    <r>
      <rPr>
        <sz val="11"/>
        <color rgb="FF000000"/>
        <rFont val="Aptos"/>
        <family val="2"/>
      </rPr>
      <t xml:space="preserve"> then </t>
    </r>
    <r>
      <rPr>
        <i/>
        <sz val="11"/>
        <color rgb="FF000000"/>
        <rFont val="Aptos"/>
        <family val="2"/>
      </rPr>
      <t>aRc</t>
    </r>
    <r>
      <rPr>
        <sz val="11"/>
        <color rgb="FF000000"/>
        <rFont val="Aptos"/>
        <family val="2"/>
      </rPr>
      <t xml:space="preserve">. For example, if </t>
    </r>
    <r>
      <rPr>
        <b/>
        <i/>
        <sz val="14"/>
        <color rgb="FF5B9BD5"/>
        <rFont val="Calibri"/>
        <family val="2"/>
      </rPr>
      <t xml:space="preserve">a </t>
    </r>
    <r>
      <rPr>
        <i/>
        <sz val="11"/>
        <color rgb="FF000000"/>
        <rFont val="Aptos"/>
        <family val="2"/>
      </rPr>
      <t xml:space="preserve">Contains </t>
    </r>
    <r>
      <rPr>
        <b/>
        <i/>
        <sz val="14"/>
        <color rgb="FF00B050"/>
        <rFont val="Calibri"/>
        <family val="2"/>
      </rPr>
      <t>b</t>
    </r>
    <r>
      <rPr>
        <sz val="11"/>
        <color rgb="FF000000"/>
        <rFont val="Aptos"/>
        <family val="2"/>
      </rPr>
      <t xml:space="preserve"> and </t>
    </r>
    <r>
      <rPr>
        <b/>
        <i/>
        <sz val="14"/>
        <color rgb="FF00B050"/>
        <rFont val="Calibri"/>
        <family val="2"/>
      </rPr>
      <t xml:space="preserve">b </t>
    </r>
    <r>
      <rPr>
        <i/>
        <sz val="11"/>
        <color rgb="FF000000"/>
        <rFont val="Aptos"/>
        <family val="2"/>
      </rPr>
      <t xml:space="preserve">Contains </t>
    </r>
    <r>
      <rPr>
        <b/>
        <i/>
        <sz val="14"/>
        <color rgb="FFD39307"/>
        <rFont val="Calibri"/>
        <family val="2"/>
      </rPr>
      <t>c</t>
    </r>
    <r>
      <rPr>
        <sz val="10.5"/>
        <color rgb="FF202122"/>
        <rFont val="Arial"/>
        <family val="2"/>
      </rPr>
      <t xml:space="preserve"> relation, then</t>
    </r>
    <r>
      <rPr>
        <b/>
        <i/>
        <sz val="14"/>
        <color rgb="FF5B9BD5"/>
        <rFont val="Calibri"/>
        <family val="2"/>
      </rPr>
      <t xml:space="preserve"> a</t>
    </r>
    <r>
      <rPr>
        <i/>
        <sz val="11"/>
        <color rgb="FF000000"/>
        <rFont val="Aptos"/>
        <family val="2"/>
      </rPr>
      <t xml:space="preserve"> Contains</t>
    </r>
    <r>
      <rPr>
        <b/>
        <i/>
        <sz val="14"/>
        <color rgb="FFD39307"/>
        <rFont val="Calibri"/>
        <family val="2"/>
      </rPr>
      <t xml:space="preserve"> c</t>
    </r>
    <r>
      <rPr>
        <sz val="11"/>
        <color rgb="FF000000"/>
        <rFont val="Aptos"/>
        <family val="2"/>
      </rPr>
      <t>.</t>
    </r>
  </si>
  <si>
    <t>Disjoint</t>
  </si>
  <si>
    <t>Symmetric</t>
  </si>
  <si>
    <r>
      <t>a</t>
    </r>
    <r>
      <rPr>
        <sz val="11"/>
        <color rgb="FF000000"/>
        <rFont val="Aptos"/>
        <family val="2"/>
      </rPr>
      <t xml:space="preserve"> and </t>
    </r>
    <r>
      <rPr>
        <b/>
        <i/>
        <sz val="14"/>
        <color rgb="FF00B050"/>
        <rFont val="Calibri"/>
        <family val="2"/>
      </rPr>
      <t>b</t>
    </r>
    <r>
      <rPr>
        <sz val="11"/>
        <color rgb="FF000000"/>
        <rFont val="Aptos"/>
        <family val="2"/>
      </rPr>
      <t xml:space="preserve"> have no points in common.</t>
    </r>
  </si>
  <si>
    <r>
      <t xml:space="preserve">A relation is </t>
    </r>
    <r>
      <rPr>
        <b/>
        <sz val="11"/>
        <color rgb="FF000000"/>
        <rFont val="Aptos"/>
        <family val="2"/>
      </rPr>
      <t>symmetric</t>
    </r>
    <r>
      <rPr>
        <sz val="11"/>
        <color rgb="FF000000"/>
        <rFont val="Aptos"/>
        <family val="2"/>
      </rPr>
      <t xml:space="preserve"> if </t>
    </r>
    <r>
      <rPr>
        <i/>
        <sz val="11"/>
        <color rgb="FF000000"/>
        <rFont val="Aptos"/>
        <family val="2"/>
      </rPr>
      <t>aRb</t>
    </r>
    <r>
      <rPr>
        <sz val="11"/>
        <color rgb="FF000000"/>
        <rFont val="Aptos"/>
        <family val="2"/>
      </rPr>
      <t xml:space="preserve"> implies </t>
    </r>
    <r>
      <rPr>
        <i/>
        <sz val="11"/>
        <color rgb="FF000000"/>
        <rFont val="Aptos"/>
        <family val="2"/>
      </rPr>
      <t>bRa</t>
    </r>
    <r>
      <rPr>
        <sz val="11"/>
        <color rgb="FF000000"/>
        <rFont val="Aptos"/>
        <family val="2"/>
      </rPr>
      <t xml:space="preserve"> for all a and b. For example, if </t>
    </r>
    <r>
      <rPr>
        <b/>
        <i/>
        <sz val="14"/>
        <color rgb="FF5B9BD5"/>
        <rFont val="Calibri"/>
        <family val="2"/>
      </rPr>
      <t xml:space="preserve">a </t>
    </r>
    <r>
      <rPr>
        <i/>
        <sz val="11"/>
        <color rgb="FF000000"/>
        <rFont val="Aptos"/>
        <family val="2"/>
      </rPr>
      <t xml:space="preserve">Equals </t>
    </r>
    <r>
      <rPr>
        <b/>
        <i/>
        <sz val="14"/>
        <color rgb="FF00B050"/>
        <rFont val="Calibri"/>
        <family val="2"/>
      </rPr>
      <t>b</t>
    </r>
    <r>
      <rPr>
        <sz val="11"/>
        <color rgb="FF000000"/>
        <rFont val="Aptos"/>
        <family val="2"/>
      </rPr>
      <t xml:space="preserve"> then </t>
    </r>
    <r>
      <rPr>
        <b/>
        <i/>
        <sz val="14"/>
        <color rgb="FF00B050"/>
        <rFont val="Calibri"/>
        <family val="2"/>
      </rPr>
      <t xml:space="preserve">b </t>
    </r>
    <r>
      <rPr>
        <i/>
        <sz val="11"/>
        <color rgb="FF000000"/>
        <rFont val="Aptos"/>
        <family val="2"/>
      </rPr>
      <t xml:space="preserve">Equals </t>
    </r>
    <r>
      <rPr>
        <b/>
        <i/>
        <sz val="14"/>
        <color rgb="FF5B9BD5"/>
        <rFont val="Calibri"/>
        <family val="2"/>
      </rPr>
      <t>a</t>
    </r>
    <r>
      <rPr>
        <sz val="11"/>
        <color rgb="FF000000"/>
        <rFont val="Aptos"/>
        <family val="2"/>
      </rPr>
      <t>.</t>
    </r>
  </si>
  <si>
    <t>Borders</t>
  </si>
  <si>
    <r>
      <t xml:space="preserve">The exterior boundaries of </t>
    </r>
    <r>
      <rPr>
        <b/>
        <i/>
        <sz val="14"/>
        <color rgb="FF5B9BD5"/>
        <rFont val="Calibri"/>
        <family val="2"/>
      </rPr>
      <t>a</t>
    </r>
    <r>
      <rPr>
        <sz val="10"/>
        <color rgb="FF202122"/>
        <rFont val="Calibri"/>
        <family val="2"/>
      </rPr>
      <t xml:space="preserve"> </t>
    </r>
    <r>
      <rPr>
        <sz val="11"/>
        <color theme="1"/>
        <rFont val="Aptos"/>
        <family val="2"/>
      </rPr>
      <t xml:space="preserve">and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</si>
  <si>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t>Confines</t>
  </si>
  <si>
    <t>Confined</t>
  </si>
  <si>
    <r>
      <t xml:space="preserve">The interior boundary of one shape </t>
    </r>
    <r>
      <rPr>
        <b/>
        <i/>
        <sz val="14"/>
        <color rgb="FF5B9BD5"/>
        <rFont val="Calibri"/>
        <family val="2"/>
      </rPr>
      <t>a</t>
    </r>
    <r>
      <rPr>
        <sz val="10"/>
        <color rgb="FF202122"/>
        <rFont val="Calibri"/>
        <family val="2"/>
      </rPr>
      <t xml:space="preserve"> </t>
    </r>
    <r>
      <rPr>
        <sz val="11"/>
        <color theme="1"/>
        <rFont val="Aptos"/>
        <family val="2"/>
      </rPr>
      <t xml:space="preserve">and the exterior boundary of another shape </t>
    </r>
    <r>
      <rPr>
        <b/>
        <i/>
        <sz val="14"/>
        <color rgb="FF00B050"/>
        <rFont val="Calibri"/>
        <family val="2"/>
      </rPr>
      <t>b</t>
    </r>
    <r>
      <rPr>
        <sz val="10"/>
        <color theme="1"/>
        <rFont val="Aptos"/>
        <family val="2"/>
      </rPr>
      <t xml:space="preserve"> </t>
    </r>
    <r>
      <rPr>
        <sz val="11"/>
        <color theme="1"/>
        <rFont val="Aptos"/>
        <family val="2"/>
      </rPr>
      <t>have more than one point in common, but their interiors do not intersect.</t>
    </r>
  </si>
  <si>
    <t>Overlaps</t>
  </si>
  <si>
    <r>
      <t>a</t>
    </r>
    <r>
      <rPr>
        <sz val="11"/>
        <color theme="1"/>
        <rFont val="Aptos"/>
        <family val="2"/>
      </rPr>
      <t xml:space="preserve"> overlaps </t>
    </r>
    <r>
      <rPr>
        <b/>
        <i/>
        <sz val="14"/>
        <color rgb="FF00B050"/>
        <rFont val="Calibri"/>
        <family val="2"/>
      </rPr>
      <t>b</t>
    </r>
    <r>
      <rPr>
        <sz val="11"/>
        <color theme="1"/>
        <rFont val="Aptos"/>
        <family val="2"/>
      </rPr>
      <t>: both have some but not all points in common.</t>
    </r>
  </si>
  <si>
    <t>Partitioned</t>
  </si>
  <si>
    <t>Partitions</t>
  </si>
  <si>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exterior to </t>
    </r>
    <r>
      <rPr>
        <b/>
        <i/>
        <sz val="14"/>
        <color rgb="FF5B9BD5"/>
        <rFont val="Calibri"/>
        <family val="2"/>
      </rPr>
      <t>a</t>
    </r>
    <r>
      <rPr>
        <sz val="11"/>
        <color rgb="FF000000"/>
        <rFont val="Aptos"/>
        <family val="2"/>
      </rPr>
      <t xml:space="preserve">, and the boundaries of </t>
    </r>
    <r>
      <rPr>
        <b/>
        <i/>
        <sz val="14"/>
        <color rgb="FF5B9BD5"/>
        <rFont val="Calibri"/>
        <family val="2"/>
      </rPr>
      <t>a</t>
    </r>
    <r>
      <rPr>
        <sz val="10"/>
        <color rgb="FF202122"/>
        <rFont val="Calibri"/>
        <family val="2"/>
      </rPr>
      <t xml:space="preserve"> </t>
    </r>
    <r>
      <rPr>
        <sz val="11"/>
        <color rgb="FF000000"/>
        <rFont val="Aptos"/>
        <family val="2"/>
      </rPr>
      <t xml:space="preserve">and </t>
    </r>
    <r>
      <rPr>
        <b/>
        <i/>
        <sz val="14"/>
        <color rgb="FF00B050"/>
        <rFont val="Calibri"/>
        <family val="2"/>
      </rPr>
      <t>b</t>
    </r>
    <r>
      <rPr>
        <sz val="11"/>
        <color rgb="FF000000"/>
        <rFont val="Aptos"/>
        <family val="2"/>
      </rPr>
      <t xml:space="preserve"> have more than one point in common.</t>
    </r>
  </si>
  <si>
    <t>.</t>
  </si>
  <si>
    <t>Contains</t>
  </si>
  <si>
    <t>Within</t>
  </si>
  <si>
    <r>
      <t xml:space="preserve">All points of </t>
    </r>
    <r>
      <rPr>
        <b/>
        <i/>
        <sz val="14"/>
        <color rgb="FF5B9BD5"/>
        <rFont val="Calibri"/>
        <family val="2"/>
      </rPr>
      <t>a</t>
    </r>
    <r>
      <rPr>
        <sz val="10"/>
        <color rgb="FF000000"/>
        <rFont val="Aptos"/>
        <family val="2"/>
      </rPr>
      <t xml:space="preserve"> </t>
    </r>
    <r>
      <rPr>
        <sz val="11"/>
        <color rgb="FF000000"/>
        <rFont val="Aptos"/>
        <family val="2"/>
      </rPr>
      <t xml:space="preserve">lie in the interior of </t>
    </r>
    <r>
      <rPr>
        <b/>
        <i/>
        <sz val="14"/>
        <color rgb="FF00B050"/>
        <rFont val="Calibri"/>
        <family val="2"/>
      </rPr>
      <t>b</t>
    </r>
    <r>
      <rPr>
        <sz val="11"/>
        <color rgb="FF000000"/>
        <rFont val="Aptos"/>
        <family val="2"/>
      </rPr>
      <t xml:space="preserve">, no points of </t>
    </r>
    <r>
      <rPr>
        <b/>
        <i/>
        <sz val="14"/>
        <color rgb="FF5B9BD5"/>
        <rFont val="Calibri"/>
        <family val="2"/>
      </rPr>
      <t>a</t>
    </r>
    <r>
      <rPr>
        <sz val="10"/>
        <color rgb="FF202122"/>
        <rFont val="Calibri"/>
        <family val="2"/>
      </rPr>
      <t xml:space="preserve"> </t>
    </r>
    <r>
      <rPr>
        <sz val="11"/>
        <color rgb="FF000000"/>
        <rFont val="Aptos"/>
        <family val="2"/>
      </rPr>
      <t xml:space="preserve">lie in the exterior of </t>
    </r>
    <r>
      <rPr>
        <b/>
        <i/>
        <sz val="14"/>
        <color rgb="FF00B050"/>
        <rFont val="Calibri"/>
        <family val="2"/>
      </rPr>
      <t>b</t>
    </r>
    <r>
      <rPr>
        <sz val="11"/>
        <color rgb="FF000000"/>
        <rFont val="Aptos"/>
        <family val="2"/>
      </rPr>
      <t xml:space="preserve">, some points in </t>
    </r>
    <r>
      <rPr>
        <b/>
        <i/>
        <sz val="14"/>
        <color rgb="FF00B050"/>
        <rFont val="Calibri"/>
        <family val="2"/>
      </rPr>
      <t>b</t>
    </r>
    <r>
      <rPr>
        <sz val="11"/>
        <color rgb="FF000000"/>
        <rFont val="Aptos"/>
        <family val="2"/>
      </rPr>
      <t xml:space="preserve"> are </t>
    </r>
    <r>
      <rPr>
        <i/>
        <sz val="11"/>
        <color rgb="FF000000"/>
        <rFont val="Aptos"/>
        <family val="2"/>
      </rPr>
      <t xml:space="preserve">exterior to </t>
    </r>
    <r>
      <rPr>
        <b/>
        <i/>
        <sz val="14"/>
        <color rgb="FF5B9BD5"/>
        <rFont val="Calibri"/>
        <family val="2"/>
      </rPr>
      <t>a</t>
    </r>
    <r>
      <rPr>
        <i/>
        <sz val="11"/>
        <color rgb="FF000000"/>
        <rFont val="Aptos"/>
        <family val="2"/>
      </rPr>
      <t xml:space="preserve">, and the boundaries of </t>
    </r>
    <r>
      <rPr>
        <b/>
        <i/>
        <sz val="14"/>
        <color rgb="FF5B9BD5"/>
        <rFont val="Calibri"/>
        <family val="2"/>
      </rPr>
      <t>a</t>
    </r>
    <r>
      <rPr>
        <i/>
        <sz val="10"/>
        <color rgb="FF202122"/>
        <rFont val="Calibri"/>
        <family val="2"/>
      </rPr>
      <t xml:space="preserve"> </t>
    </r>
    <r>
      <rPr>
        <i/>
        <sz val="11"/>
        <color rgb="FF000000"/>
        <rFont val="Aptos"/>
        <family val="2"/>
      </rPr>
      <t xml:space="preserve">and </t>
    </r>
    <r>
      <rPr>
        <b/>
        <i/>
        <sz val="14"/>
        <color rgb="FF00B050"/>
        <rFont val="Calibri"/>
        <family val="2"/>
      </rPr>
      <t>b</t>
    </r>
    <r>
      <rPr>
        <i/>
        <sz val="11"/>
        <color rgb="FF000000"/>
        <rFont val="Aptos"/>
        <family val="2"/>
      </rPr>
      <t xml:space="preserve"> do not intersect.</t>
    </r>
  </si>
  <si>
    <t>Equals</t>
  </si>
  <si>
    <t>Symmetric, Transitive</t>
  </si>
  <si>
    <r>
      <t xml:space="preserve">The interiors of </t>
    </r>
    <r>
      <rPr>
        <b/>
        <i/>
        <sz val="14"/>
        <color rgb="FF5B9BD5"/>
        <rFont val="Calibri"/>
        <family val="2"/>
      </rPr>
      <t>a</t>
    </r>
    <r>
      <rPr>
        <sz val="11"/>
        <color rgb="FF000000"/>
        <rFont val="Aptos"/>
        <family val="2"/>
      </rPr>
      <t xml:space="preserve"> and </t>
    </r>
    <r>
      <rPr>
        <b/>
        <i/>
        <sz val="14"/>
        <color rgb="FF00B050"/>
        <rFont val="Calibri"/>
        <family val="2"/>
      </rPr>
      <t>b</t>
    </r>
    <r>
      <rPr>
        <sz val="11"/>
        <color rgb="FF000000"/>
        <rFont val="Aptos"/>
        <family val="2"/>
      </rPr>
      <t xml:space="preserve"> intersect and no part of the interior of one geometry intersects the exterior of the other.</t>
    </r>
  </si>
  <si>
    <r>
      <t xml:space="preserve">Do the interiors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overlap?</t>
    </r>
  </si>
  <si>
    <t>No</t>
  </si>
  <si>
    <t>B</t>
  </si>
  <si>
    <r>
      <t xml:space="preserve">Do the boundaries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 xml:space="preserve">overlap? </t>
    </r>
  </si>
  <si>
    <r>
      <t xml:space="preserve">Does the convex hull of </t>
    </r>
    <r>
      <rPr>
        <b/>
        <sz val="11"/>
        <color rgb="FF00B0F0"/>
        <rFont val="Aptos Narrow"/>
        <family val="2"/>
        <scheme val="minor"/>
      </rPr>
      <t>A</t>
    </r>
    <r>
      <rPr>
        <sz val="11"/>
        <color theme="1"/>
        <rFont val="Aptos Narrow"/>
        <family val="2"/>
        <scheme val="minor"/>
      </rPr>
      <t xml:space="preserve"> contain all of </t>
    </r>
    <r>
      <rPr>
        <b/>
        <sz val="11"/>
        <color rgb="FF00B050"/>
        <rFont val="Aptos Narrow"/>
        <family val="2"/>
        <scheme val="minor"/>
      </rPr>
      <t>B</t>
    </r>
    <r>
      <rPr>
        <sz val="11"/>
        <color theme="1"/>
        <rFont val="Aptos Narrow"/>
        <family val="2"/>
        <scheme val="minor"/>
      </rPr>
      <t>?</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</si>
  <si>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Disjoint</t>
    </r>
    <r>
      <rPr>
        <b/>
        <sz val="11"/>
        <color theme="1"/>
        <rFont val="Aptos Narrow"/>
        <family val="2"/>
        <scheme val="minor"/>
      </rPr>
      <t xml:space="preserve"> 
with </t>
    </r>
    <r>
      <rPr>
        <b/>
        <sz val="11"/>
        <color rgb="FF00B050"/>
        <rFont val="Aptos Narrow"/>
        <family val="2"/>
        <scheme val="minor"/>
      </rPr>
      <t>B</t>
    </r>
    <r>
      <rPr>
        <b/>
        <sz val="11"/>
        <color theme="1"/>
        <rFont val="Aptos Narrow"/>
        <family val="2"/>
        <scheme val="minor"/>
      </rPr>
      <t xml:space="preserve"> </t>
    </r>
  </si>
  <si>
    <t xml:space="preserve"> </t>
  </si>
  <si>
    <t>I</t>
  </si>
  <si>
    <t>E</t>
  </si>
  <si>
    <t>A</t>
  </si>
  <si>
    <t>F</t>
  </si>
  <si>
    <t>*</t>
  </si>
  <si>
    <t>T</t>
  </si>
  <si>
    <t>Yes</t>
  </si>
  <si>
    <r>
      <rPr>
        <b/>
        <sz val="11"/>
        <color rgb="FF00B0F0"/>
        <rFont val="Aptos Narrow"/>
        <family val="2"/>
        <scheme val="minor"/>
      </rPr>
      <t>A</t>
    </r>
    <r>
      <rPr>
        <b/>
        <sz val="11"/>
        <color theme="1"/>
        <rFont val="Aptos Narrow"/>
        <family val="2"/>
        <scheme val="minor"/>
      </rPr>
      <t xml:space="preserve"> Shelters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</si>
  <si>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Surrounds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</si>
  <si>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Borders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</si>
  <si>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Confines</t>
    </r>
    <r>
      <rPr>
        <b/>
        <sz val="11"/>
        <color theme="1"/>
        <rFont val="Aptos Narrow"/>
        <family val="2"/>
        <scheme val="minor"/>
      </rPr>
      <t xml:space="preserve"> </t>
    </r>
    <r>
      <rPr>
        <b/>
        <sz val="11"/>
        <color rgb="FF00B050"/>
        <rFont val="Aptos Narrow"/>
        <family val="2"/>
        <scheme val="minor"/>
      </rPr>
      <t>B</t>
    </r>
  </si>
  <si>
    <r>
      <t xml:space="preserve">Does the interior of </t>
    </r>
    <r>
      <rPr>
        <b/>
        <sz val="11"/>
        <color rgb="FF00B050"/>
        <rFont val="Aptos Narrow"/>
        <family val="2"/>
        <scheme val="minor"/>
      </rPr>
      <t>B</t>
    </r>
    <r>
      <rPr>
        <sz val="11"/>
        <color theme="1"/>
        <rFont val="Aptos Narrow"/>
        <family val="2"/>
        <scheme val="minor"/>
      </rPr>
      <t xml:space="preserve"> include the exterior of </t>
    </r>
    <r>
      <rPr>
        <b/>
        <sz val="11"/>
        <color rgb="FF00B0F0"/>
        <rFont val="Aptos Narrow"/>
        <family val="2"/>
        <scheme val="minor"/>
      </rPr>
      <t>A</t>
    </r>
    <r>
      <rPr>
        <sz val="11"/>
        <color theme="1"/>
        <rFont val="Aptos Narrow"/>
        <family val="2"/>
        <scheme val="minor"/>
      </rPr>
      <t xml:space="preserve">? </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</si>
  <si>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Contains</t>
    </r>
    <r>
      <rPr>
        <b/>
        <sz val="11"/>
        <color theme="1"/>
        <rFont val="Aptos Narrow"/>
        <family val="2"/>
        <scheme val="minor"/>
      </rPr>
      <t xml:space="preserve"> </t>
    </r>
    <r>
      <rPr>
        <b/>
        <sz val="11"/>
        <color rgb="FF00B050"/>
        <rFont val="Aptos Narrow"/>
        <family val="2"/>
        <scheme val="minor"/>
      </rPr>
      <t>B</t>
    </r>
  </si>
  <si>
    <r>
      <t xml:space="preserve">Does the interior of </t>
    </r>
    <r>
      <rPr>
        <b/>
        <sz val="11"/>
        <color rgb="FF00B0F0"/>
        <rFont val="Aptos Narrow"/>
        <family val="2"/>
        <scheme val="minor"/>
      </rPr>
      <t>A</t>
    </r>
    <r>
      <rPr>
        <sz val="11"/>
        <color theme="1"/>
        <rFont val="Aptos Narrow"/>
        <family val="2"/>
        <scheme val="minor"/>
      </rPr>
      <t xml:space="preserve"> include the exterior of  </t>
    </r>
    <r>
      <rPr>
        <b/>
        <sz val="11"/>
        <color rgb="FF00B050"/>
        <rFont val="Aptos Narrow"/>
        <family val="2"/>
        <scheme val="minor"/>
      </rPr>
      <t>B</t>
    </r>
    <r>
      <rPr>
        <sz val="11"/>
        <color theme="1"/>
        <rFont val="Aptos Narrow"/>
        <family val="2"/>
        <scheme val="minor"/>
      </rPr>
      <t xml:space="preserve">? </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</si>
  <si>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Equals</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</si>
  <si>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Partition</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</si>
  <si>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t>
    </r>
    <r>
      <rPr>
        <b/>
        <i/>
        <sz val="11"/>
        <color theme="1"/>
        <rFont val="Aptos Narrow"/>
        <family val="2"/>
        <scheme val="minor"/>
      </rPr>
      <t>Overlaps</t>
    </r>
    <r>
      <rPr>
        <b/>
        <sz val="11"/>
        <color theme="1"/>
        <rFont val="Aptos Narrow"/>
        <family val="2"/>
        <scheme val="minor"/>
      </rPr>
      <t xml:space="preserve"> </t>
    </r>
    <r>
      <rPr>
        <b/>
        <sz val="11"/>
        <color rgb="FF00B050"/>
        <rFont val="Aptos Narrow"/>
        <family val="2"/>
        <scheme val="minor"/>
      </rPr>
      <t>B</t>
    </r>
  </si>
  <si>
    <t>Region Test</t>
  </si>
  <si>
    <t>Exterior Test</t>
  </si>
  <si>
    <t>Hull Test</t>
  </si>
  <si>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Disjoint</t>
    </r>
    <r>
      <rPr>
        <b/>
        <sz val="11"/>
        <color theme="1"/>
        <rFont val="Aptos Narrow"/>
        <family val="2"/>
        <scheme val="minor"/>
      </rPr>
      <t xml:space="preserve"> with </t>
    </r>
    <r>
      <rPr>
        <b/>
        <sz val="11"/>
        <color rgb="FF00B050"/>
        <rFont val="Aptos Narrow"/>
        <family val="2"/>
        <scheme val="minor"/>
      </rPr>
      <t>B</t>
    </r>
    <r>
      <rPr>
        <b/>
        <sz val="11"/>
        <color theme="1"/>
        <rFont val="Aptos Narrow"/>
        <family val="2"/>
        <scheme val="minor"/>
      </rPr>
      <t xml:space="preserve"> </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</si>
  <si>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Partitioned by</t>
    </r>
    <r>
      <rPr>
        <b/>
        <sz val="11"/>
        <color theme="1"/>
        <rFont val="Aptos Narrow"/>
        <family val="2"/>
        <scheme val="minor"/>
      </rPr>
      <t xml:space="preserve"> </t>
    </r>
    <r>
      <rPr>
        <b/>
        <sz val="11"/>
        <color rgb="FF00B050"/>
        <rFont val="Aptos Narrow"/>
        <family val="2"/>
        <scheme val="minor"/>
      </rPr>
      <t>B</t>
    </r>
  </si>
  <si>
    <t>Region</t>
  </si>
  <si>
    <t>External</t>
  </si>
  <si>
    <t>Hull</t>
  </si>
  <si>
    <r>
      <rPr>
        <b/>
        <sz val="11"/>
        <color rgb="FF00B0F0"/>
        <rFont val="Aptos Narrow"/>
        <family val="2"/>
        <scheme val="minor"/>
      </rPr>
      <t>A</t>
    </r>
    <r>
      <rPr>
        <b/>
        <sz val="11"/>
        <color theme="1"/>
        <rFont val="Aptos Narrow"/>
        <family val="2"/>
        <scheme val="minor"/>
      </rPr>
      <t xml:space="preserve">  Is Sheltered by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</si>
  <si>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Enclosed by</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</si>
  <si>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Confined by</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</si>
  <si>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Is </t>
    </r>
    <r>
      <rPr>
        <b/>
        <i/>
        <sz val="11"/>
        <color theme="1"/>
        <rFont val="Aptos Narrow"/>
        <family val="2"/>
        <scheme val="minor"/>
      </rPr>
      <t>Within</t>
    </r>
    <r>
      <rPr>
        <b/>
        <sz val="11"/>
        <color theme="1"/>
        <rFont val="Aptos Narrow"/>
        <family val="2"/>
        <scheme val="minor"/>
      </rPr>
      <t xml:space="preserve"> </t>
    </r>
    <r>
      <rPr>
        <b/>
        <sz val="11"/>
        <color rgb="FF00B050"/>
        <rFont val="Aptos Narrow"/>
        <family val="2"/>
        <scheme val="minor"/>
      </rPr>
      <t>B</t>
    </r>
  </si>
  <si>
    <r>
      <rPr>
        <b/>
        <sz val="11"/>
        <color rgb="FF00B0F0"/>
        <rFont val="Aptos Narrow"/>
        <family val="2"/>
        <scheme val="minor"/>
      </rPr>
      <t>A</t>
    </r>
    <r>
      <rPr>
        <b/>
        <sz val="11"/>
        <color theme="1"/>
        <rFont val="Aptos Narrow"/>
        <family val="2"/>
        <scheme val="minor"/>
      </rPr>
      <t xml:space="preserve"> Partitions </t>
    </r>
    <r>
      <rPr>
        <b/>
        <sz val="11"/>
        <color rgb="FF00B050"/>
        <rFont val="Aptos Narrow"/>
        <family val="2"/>
        <scheme val="minor"/>
      </rPr>
      <t>B</t>
    </r>
  </si>
  <si>
    <t>Tests</t>
  </si>
  <si>
    <t>Masks</t>
  </si>
  <si>
    <t>Values</t>
  </si>
  <si>
    <t>Relationship</t>
  </si>
  <si>
    <t>Binary Groups</t>
  </si>
  <si>
    <t>Type</t>
  </si>
  <si>
    <t>Mask</t>
  </si>
  <si>
    <t>Value</t>
  </si>
  <si>
    <t>Is Partitioned by</t>
  </si>
  <si>
    <r>
      <t xml:space="preserve">Do the </t>
    </r>
    <r>
      <rPr>
        <b/>
        <sz val="11"/>
        <color theme="1"/>
        <rFont val="Aptos Narrow"/>
        <family val="2"/>
        <scheme val="minor"/>
      </rPr>
      <t>external bounds</t>
    </r>
    <r>
      <rPr>
        <sz val="11"/>
        <color theme="1"/>
        <rFont val="Aptos Narrow"/>
        <family val="2"/>
        <scheme val="minor"/>
      </rPr>
      <t xml:space="preserve"> of </t>
    </r>
    <r>
      <rPr>
        <b/>
        <sz val="11"/>
        <color rgb="FF00B0F0"/>
        <rFont val="Aptos Narrow"/>
        <family val="2"/>
        <scheme val="minor"/>
      </rPr>
      <t xml:space="preserve">A </t>
    </r>
    <r>
      <rPr>
        <sz val="11"/>
        <color theme="1"/>
        <rFont val="Aptos Narrow"/>
        <family val="2"/>
        <scheme val="minor"/>
      </rPr>
      <t xml:space="preserve">contain the </t>
    </r>
    <r>
      <rPr>
        <b/>
        <sz val="11"/>
        <color theme="1"/>
        <rFont val="Aptos Narrow"/>
        <family val="2"/>
        <scheme val="minor"/>
      </rPr>
      <t>interior</t>
    </r>
    <r>
      <rPr>
        <sz val="11"/>
        <color theme="1"/>
        <rFont val="Aptos Narrow"/>
        <family val="2"/>
        <scheme val="minor"/>
      </rPr>
      <t xml:space="preserve"> of </t>
    </r>
    <r>
      <rPr>
        <b/>
        <sz val="11"/>
        <color rgb="FF00B050"/>
        <rFont val="Aptos Narrow"/>
        <family val="2"/>
        <scheme val="minor"/>
      </rPr>
      <t>B</t>
    </r>
    <r>
      <rPr>
        <sz val="11"/>
        <color theme="1"/>
        <rFont val="Aptos Narrow"/>
        <family val="2"/>
        <scheme val="minor"/>
      </rPr>
      <t>?</t>
    </r>
  </si>
  <si>
    <r>
      <t xml:space="preserve">Do the </t>
    </r>
    <r>
      <rPr>
        <b/>
        <sz val="11"/>
        <color theme="1"/>
        <rFont val="Aptos Narrow"/>
        <family val="2"/>
        <scheme val="minor"/>
      </rPr>
      <t>boundaries</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 xml:space="preserve">overlap? </t>
    </r>
  </si>
  <si>
    <r>
      <t xml:space="preserve">Does the </t>
    </r>
    <r>
      <rPr>
        <b/>
        <sz val="11"/>
        <color theme="1"/>
        <rFont val="Aptos Narrow"/>
        <family val="2"/>
        <scheme val="minor"/>
      </rPr>
      <t>interior</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include the </t>
    </r>
    <r>
      <rPr>
        <b/>
        <sz val="11"/>
        <color theme="1"/>
        <rFont val="Aptos Narrow"/>
        <family val="2"/>
        <scheme val="minor"/>
      </rPr>
      <t>exterior</t>
    </r>
    <r>
      <rPr>
        <sz val="11"/>
        <color theme="1"/>
        <rFont val="Aptos Narrow"/>
        <family val="2"/>
        <scheme val="minor"/>
      </rPr>
      <t xml:space="preserve"> of  </t>
    </r>
    <r>
      <rPr>
        <b/>
        <sz val="11"/>
        <color rgb="FF00B050"/>
        <rFont val="Aptos Narrow"/>
        <family val="2"/>
        <scheme val="minor"/>
      </rPr>
      <t>B</t>
    </r>
    <r>
      <rPr>
        <sz val="11"/>
        <color theme="1"/>
        <rFont val="Aptos Narrow"/>
        <family val="2"/>
        <scheme val="minor"/>
      </rPr>
      <t xml:space="preserve">? </t>
    </r>
  </si>
  <si>
    <r>
      <t xml:space="preserve">Does the </t>
    </r>
    <r>
      <rPr>
        <b/>
        <sz val="11"/>
        <color theme="1"/>
        <rFont val="Aptos Narrow"/>
        <family val="2"/>
        <scheme val="minor"/>
      </rPr>
      <t>interior</t>
    </r>
    <r>
      <rPr>
        <sz val="11"/>
        <color theme="1"/>
        <rFont val="Aptos Narrow"/>
        <family val="2"/>
        <scheme val="minor"/>
      </rPr>
      <t xml:space="preserve"> of </t>
    </r>
    <r>
      <rPr>
        <b/>
        <sz val="11"/>
        <color rgb="FF00B050"/>
        <rFont val="Aptos Narrow"/>
        <family val="2"/>
        <scheme val="minor"/>
      </rPr>
      <t>B</t>
    </r>
    <r>
      <rPr>
        <sz val="11"/>
        <color theme="1"/>
        <rFont val="Aptos Narrow"/>
        <family val="2"/>
        <scheme val="minor"/>
      </rPr>
      <t xml:space="preserve"> include the </t>
    </r>
    <r>
      <rPr>
        <b/>
        <sz val="11"/>
        <color theme="1"/>
        <rFont val="Aptos Narrow"/>
        <family val="2"/>
        <scheme val="minor"/>
      </rPr>
      <t>exterior</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t>
    </r>
  </si>
  <si>
    <r>
      <t xml:space="preserve">Do the </t>
    </r>
    <r>
      <rPr>
        <b/>
        <sz val="11"/>
        <color theme="1"/>
        <rFont val="Aptos Narrow"/>
        <family val="2"/>
        <scheme val="minor"/>
      </rPr>
      <t>interiors</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and </t>
    </r>
    <r>
      <rPr>
        <b/>
        <sz val="11"/>
        <color rgb="FF00B050"/>
        <rFont val="Aptos Narrow"/>
        <family val="2"/>
        <scheme val="minor"/>
      </rPr>
      <t xml:space="preserve">B </t>
    </r>
    <r>
      <rPr>
        <sz val="11"/>
        <color theme="1"/>
        <rFont val="Aptos Narrow"/>
        <family val="2"/>
        <scheme val="minor"/>
      </rPr>
      <t>overlap?</t>
    </r>
  </si>
  <si>
    <t>Complementary Matricies</t>
  </si>
  <si>
    <t>Standard Matricies</t>
  </si>
  <si>
    <r>
      <t xml:space="preserve">Do the </t>
    </r>
    <r>
      <rPr>
        <b/>
        <sz val="11"/>
        <color theme="1"/>
        <rFont val="Aptos Narrow"/>
        <family val="2"/>
        <scheme val="minor"/>
      </rPr>
      <t>external bounds</t>
    </r>
    <r>
      <rPr>
        <sz val="11"/>
        <color theme="1"/>
        <rFont val="Aptos Narrow"/>
        <family val="2"/>
        <scheme val="minor"/>
      </rPr>
      <t xml:space="preserve"> of </t>
    </r>
    <r>
      <rPr>
        <b/>
        <sz val="11"/>
        <color rgb="FF00B0F0"/>
        <rFont val="Aptos Narrow"/>
        <family val="2"/>
        <scheme val="minor"/>
      </rPr>
      <t xml:space="preserve">A </t>
    </r>
    <r>
      <rPr>
        <sz val="11"/>
        <color theme="1"/>
        <rFont val="Aptos Narrow"/>
        <family val="2"/>
        <scheme val="minor"/>
      </rPr>
      <t xml:space="preserve">contain the interior of </t>
    </r>
    <r>
      <rPr>
        <b/>
        <sz val="11"/>
        <color rgb="FF00B050"/>
        <rFont val="Aptos Narrow"/>
        <family val="2"/>
        <scheme val="minor"/>
      </rPr>
      <t>B</t>
    </r>
    <r>
      <rPr>
        <sz val="11"/>
        <color theme="1"/>
        <rFont val="Aptos Narrow"/>
        <family val="2"/>
        <scheme val="minor"/>
      </rPr>
      <t>?</t>
    </r>
  </si>
  <si>
    <t>`</t>
  </si>
  <si>
    <r>
      <t xml:space="preserve">Do the </t>
    </r>
    <r>
      <rPr>
        <b/>
        <sz val="11"/>
        <color theme="1"/>
        <rFont val="Aptos Narrow"/>
        <family val="2"/>
        <scheme val="minor"/>
      </rPr>
      <t>external bounds</t>
    </r>
    <r>
      <rPr>
        <sz val="11"/>
        <color theme="1"/>
        <rFont val="Aptos Narrow"/>
        <family val="2"/>
        <scheme val="minor"/>
      </rPr>
      <t xml:space="preserve"> of </t>
    </r>
    <r>
      <rPr>
        <b/>
        <sz val="11"/>
        <color rgb="FF00B0F0"/>
        <rFont val="Aptos Narrow"/>
        <family val="2"/>
        <scheme val="minor"/>
      </rPr>
      <t xml:space="preserve">A </t>
    </r>
    <r>
      <rPr>
        <sz val="11"/>
        <color theme="1"/>
        <rFont val="Aptos Narrow"/>
        <family val="2"/>
        <scheme val="minor"/>
      </rPr>
      <t xml:space="preserve">contain the </t>
    </r>
    <r>
      <rPr>
        <b/>
        <sz val="11"/>
        <color theme="1"/>
        <rFont val="Aptos Narrow"/>
        <family val="2"/>
        <scheme val="minor"/>
      </rPr>
      <t>exterior</t>
    </r>
    <r>
      <rPr>
        <sz val="11"/>
        <color theme="1"/>
        <rFont val="Aptos Narrow"/>
        <family val="2"/>
        <scheme val="minor"/>
      </rPr>
      <t xml:space="preserve"> of </t>
    </r>
    <r>
      <rPr>
        <b/>
        <sz val="11"/>
        <color rgb="FF00B050"/>
        <rFont val="Aptos Narrow"/>
        <family val="2"/>
        <scheme val="minor"/>
      </rPr>
      <t>B</t>
    </r>
    <r>
      <rPr>
        <sz val="11"/>
        <color theme="1"/>
        <rFont val="Aptos Narrow"/>
        <family val="2"/>
        <scheme val="minor"/>
      </rPr>
      <t>?</t>
    </r>
  </si>
  <si>
    <r>
      <t xml:space="preserve">Do the  </t>
    </r>
    <r>
      <rPr>
        <b/>
        <sz val="11"/>
        <color theme="1"/>
        <rFont val="Aptos Narrow"/>
        <family val="2"/>
        <scheme val="minor"/>
      </rPr>
      <t>external bounds</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t>
    </r>
    <r>
      <rPr>
        <b/>
        <sz val="11"/>
        <color theme="1"/>
        <rFont val="Aptos Narrow"/>
        <family val="2"/>
        <scheme val="minor"/>
      </rPr>
      <t>include</t>
    </r>
    <r>
      <rPr>
        <sz val="11"/>
        <color theme="1"/>
        <rFont val="Aptos Narrow"/>
        <family val="2"/>
        <scheme val="minor"/>
      </rPr>
      <t xml:space="preserve"> the interior of </t>
    </r>
    <r>
      <rPr>
        <b/>
        <sz val="11"/>
        <color rgb="FF00B050"/>
        <rFont val="Aptos Narrow"/>
        <family val="2"/>
        <scheme val="minor"/>
      </rPr>
      <t>B</t>
    </r>
    <r>
      <rPr>
        <sz val="11"/>
        <color theme="1"/>
        <rFont val="Aptos Narrow"/>
        <family val="2"/>
        <scheme val="minor"/>
      </rPr>
      <t>?</t>
    </r>
  </si>
  <si>
    <r>
      <t xml:space="preserve">Does the </t>
    </r>
    <r>
      <rPr>
        <b/>
        <sz val="11"/>
        <color theme="1"/>
        <rFont val="Aptos Narrow"/>
        <family val="2"/>
        <scheme val="minor"/>
      </rPr>
      <t>convex hull</t>
    </r>
    <r>
      <rPr>
        <sz val="11"/>
        <color theme="1"/>
        <rFont val="Aptos Narrow"/>
        <family val="2"/>
        <scheme val="minor"/>
      </rPr>
      <t xml:space="preserve"> of </t>
    </r>
    <r>
      <rPr>
        <b/>
        <sz val="11"/>
        <color rgb="FF00B0F0"/>
        <rFont val="Aptos Narrow"/>
        <family val="2"/>
        <scheme val="minor"/>
      </rPr>
      <t>A</t>
    </r>
    <r>
      <rPr>
        <sz val="11"/>
        <color theme="1"/>
        <rFont val="Aptos Narrow"/>
        <family val="2"/>
        <scheme val="minor"/>
      </rPr>
      <t xml:space="preserve"> include the </t>
    </r>
    <r>
      <rPr>
        <b/>
        <sz val="11"/>
        <color theme="1"/>
        <rFont val="Aptos Narrow"/>
        <family val="2"/>
        <scheme val="minor"/>
      </rPr>
      <t>exterior</t>
    </r>
    <r>
      <rPr>
        <sz val="11"/>
        <color theme="1"/>
        <rFont val="Aptos Narrow"/>
        <family val="2"/>
        <scheme val="minor"/>
      </rPr>
      <t xml:space="preserve"> of </t>
    </r>
    <r>
      <rPr>
        <b/>
        <sz val="11"/>
        <color rgb="FF00B050"/>
        <rFont val="Aptos Narrow"/>
        <family val="2"/>
        <scheme val="minor"/>
      </rPr>
      <t>B</t>
    </r>
    <r>
      <rPr>
        <sz val="11"/>
        <color theme="1"/>
        <rFont val="Aptos Narrow"/>
        <family val="2"/>
        <scheme val="minor"/>
      </rPr>
      <t>?</t>
    </r>
  </si>
  <si>
    <t>This test fails because eth convex hull of B is not calculated</t>
  </si>
  <si>
    <t>What are nessesary and sufficient conditions to distinguish between Disjoint, Shelters and Sheltered?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</si>
</sst>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x14ac:knownFonts="1">
    <font>
      <sz val="11"/>
      <color theme="1"/>
      <name val="Aptos Narrow"/>
      <family val="2"/>
      <scheme val="minor"/>
    </font>
    <font>
      <b/>
      <sz val="11"/>
      <color theme="3"/>
      <name val="Aptos Narrow"/>
      <family val="2"/>
      <scheme val="minor"/>
    </font>
    <font>
      <sz val="11"/>
      <color theme="1"/>
      <name val="Aptos"/>
      <family val="2"/>
    </font>
    <font>
      <sz val="14"/>
      <color rgb="FF000000"/>
      <name val="Courier New"/>
      <family val="3"/>
    </font>
    <font>
      <sz val="14"/>
      <color theme="1"/>
      <name val="Courier New"/>
      <family val="3"/>
    </font>
    <font>
      <b/>
      <sz val="14"/>
      <color theme="1"/>
      <name val="Aptos"/>
      <family val="2"/>
    </font>
    <font>
      <i/>
      <sz val="10"/>
      <color theme="1"/>
      <name val="Aptos"/>
      <family val="2"/>
    </font>
    <font>
      <b/>
      <sz val="15"/>
      <color theme="3"/>
      <name val="Aptos Narrow"/>
      <family val="2"/>
      <scheme val="minor"/>
    </font>
    <font>
      <sz val="11"/>
      <color theme="1"/>
      <name val="Arial"/>
      <family val="2"/>
    </font>
    <font>
      <sz val="11"/>
      <color theme="1"/>
      <name val="Aptos Narrow"/>
      <family val="2"/>
      <scheme val="minor"/>
    </font>
    <font>
      <b/>
      <sz val="11"/>
      <color theme="1"/>
      <name val="Aptos Narrow"/>
      <family val="2"/>
      <scheme val="minor"/>
    </font>
    <font>
      <b/>
      <sz val="12"/>
      <color theme="1"/>
      <name val="Aptos Narrow"/>
      <family val="2"/>
      <scheme val="minor"/>
    </font>
    <font>
      <sz val="12"/>
      <color theme="1"/>
      <name val="Aptos Narrow"/>
      <family val="2"/>
      <scheme val="minor"/>
    </font>
    <font>
      <b/>
      <sz val="14"/>
      <color theme="0"/>
      <name val="Aptos Narrow"/>
      <family val="2"/>
      <scheme val="minor"/>
    </font>
    <font>
      <b/>
      <sz val="11"/>
      <color rgb="FF00B0F0"/>
      <name val="Aptos Narrow"/>
      <family val="2"/>
      <scheme val="minor"/>
    </font>
    <font>
      <b/>
      <sz val="11"/>
      <color rgb="FF00B050"/>
      <name val="Aptos Narrow"/>
      <family val="2"/>
      <scheme val="minor"/>
    </font>
    <font>
      <b/>
      <sz val="14"/>
      <name val="Aptos Narrow"/>
      <family val="2"/>
      <scheme val="minor"/>
    </font>
    <font>
      <b/>
      <i/>
      <sz val="11"/>
      <color theme="1"/>
      <name val="Aptos Narrow"/>
      <family val="2"/>
      <scheme val="minor"/>
    </font>
    <font>
      <b/>
      <sz val="12"/>
      <color theme="1"/>
      <name val="Aptos"/>
      <family val="2"/>
    </font>
    <font>
      <i/>
      <sz val="11"/>
      <color theme="1"/>
      <name val="Aptos"/>
      <family val="2"/>
    </font>
    <font>
      <b/>
      <i/>
      <sz val="14"/>
      <color rgb="FF5B9BD5"/>
      <name val="Calibri"/>
      <family val="2"/>
    </font>
    <font>
      <sz val="10"/>
      <color rgb="FF202122"/>
      <name val="Calibri"/>
      <family val="2"/>
    </font>
    <font>
      <sz val="11"/>
      <color rgb="FF000000"/>
      <name val="Aptos"/>
      <family val="2"/>
    </font>
    <font>
      <b/>
      <i/>
      <sz val="14"/>
      <color rgb="FF00B050"/>
      <name val="Calibri"/>
      <family val="2"/>
    </font>
    <font>
      <sz val="10"/>
      <color rgb="FF000000"/>
      <name val="Aptos"/>
      <family val="2"/>
    </font>
    <font>
      <i/>
      <sz val="11"/>
      <color rgb="FF000000"/>
      <name val="Aptos"/>
      <family val="2"/>
    </font>
    <font>
      <sz val="10"/>
      <color theme="1"/>
      <name val="Aptos"/>
      <family val="2"/>
    </font>
    <font>
      <sz val="12"/>
      <color theme="1"/>
      <name val="Times New Roman"/>
      <family val="1"/>
    </font>
    <font>
      <i/>
      <sz val="10"/>
      <color rgb="FF202122"/>
      <name val="Calibri"/>
      <family val="2"/>
    </font>
    <font>
      <b/>
      <sz val="11"/>
      <color rgb="FF2E75B5"/>
      <name val="Times New Roman"/>
      <family val="1"/>
    </font>
    <font>
      <sz val="10.5"/>
      <color rgb="FF202122"/>
      <name val="Arial"/>
      <family val="2"/>
    </font>
    <font>
      <b/>
      <i/>
      <sz val="14"/>
      <color rgb="FFD39307"/>
      <name val="Calibri"/>
      <family val="2"/>
    </font>
    <font>
      <sz val="12"/>
      <color rgb="FF000000"/>
      <name val="Aptos"/>
      <family val="2"/>
    </font>
    <font>
      <b/>
      <i/>
      <sz val="12"/>
      <color rgb="FF5B9BD5"/>
      <name val="Calibri"/>
      <family val="2"/>
    </font>
    <font>
      <b/>
      <i/>
      <sz val="12"/>
      <color rgb="FF00B050"/>
      <name val="Calibri"/>
      <family val="2"/>
    </font>
    <font>
      <b/>
      <i/>
      <sz val="12"/>
      <color rgb="FFF7AC08"/>
      <name val="Calibri"/>
      <family val="2"/>
    </font>
    <font>
      <b/>
      <sz val="11"/>
      <color rgb="FF000000"/>
      <name val="Aptos"/>
      <family val="2"/>
    </font>
    <font>
      <sz val="11"/>
      <color rgb="FF9C6500"/>
      <name val="Aptos Narrow"/>
      <family val="2"/>
      <scheme val="minor"/>
    </font>
    <font>
      <sz val="9"/>
      <color indexed="81"/>
      <name val="Tahoma"/>
      <family val="2"/>
    </font>
    <font>
      <b/>
      <sz val="9"/>
      <color indexed="81"/>
      <name val="Tahoma"/>
      <family val="2"/>
    </font>
    <font>
      <sz val="11"/>
      <color rgb="FF000000"/>
      <name val="Hack"/>
      <family val="3"/>
    </font>
    <font>
      <b/>
      <sz val="12"/>
      <color theme="1"/>
      <name val="Aptos Narrow"/>
      <scheme val="minor"/>
    </font>
    <font>
      <b/>
      <sz val="11"/>
      <color rgb="FFFF0000"/>
      <name val="Aptos Narrow"/>
      <scheme val="minor"/>
    </font>
    <font>
      <b/>
      <sz val="11"/>
      <color rgb="FFFF0000"/>
      <name val="Aptos Narrow"/>
      <family val="2"/>
      <scheme val="minor"/>
    </font>
    <font>
      <sz val="9"/>
      <color indexed="81"/>
      <name val="Tahoma"/>
      <charset val="1"/>
    </font>
    <font>
      <b/>
      <sz val="9"/>
      <color indexed="81"/>
      <name val="Tahoma"/>
      <charset val="1"/>
    </font>
    <font>
      <sz val="11"/>
      <color theme="0"/>
      <name val="Aptos Narrow"/>
      <family val="2"/>
      <scheme val="minor"/>
    </font>
    <font>
      <b/>
      <sz val="12"/>
      <color theme="0"/>
      <name val="Aptos Narrow"/>
      <family val="2"/>
      <scheme val="minor"/>
    </font>
    <font>
      <i/>
      <sz val="11"/>
      <color rgb="FF7F7F7F"/>
      <name val="Aptos Narrow"/>
      <family val="2"/>
      <scheme val="minor"/>
    </font>
    <font>
      <b/>
      <sz val="16"/>
      <color theme="3"/>
      <name val="Aptos Narrow"/>
      <family val="2"/>
      <scheme val="minor"/>
    </font>
    <font>
      <b/>
      <sz val="11"/>
      <color theme="0"/>
      <name val="Aptos Narrow"/>
      <family val="2"/>
      <scheme val="minor"/>
    </font>
    <font>
      <b/>
      <sz val="12"/>
      <color rgb="FFFF0000"/>
      <name val="Aptos Narrow"/>
      <family val="2"/>
      <scheme val="minor"/>
    </font>
    <font>
      <b/>
      <sz val="12"/>
      <name val="Aptos Narrow"/>
      <family val="2"/>
      <scheme val="minor"/>
    </font>
  </fonts>
  <fills count="30">
    <fill>
      <patternFill patternType="none"/>
    </fill>
    <fill>
      <patternFill patternType="gray125"/>
    </fill>
    <fill>
      <patternFill patternType="solid">
        <fgColor theme="7" tint="0.59999389629810485"/>
        <bgColor indexed="65"/>
      </patternFill>
    </fill>
    <fill>
      <patternFill patternType="solid">
        <fgColor theme="8" tint="0.79998168889431442"/>
        <bgColor indexed="65"/>
      </patternFill>
    </fill>
    <fill>
      <patternFill patternType="solid">
        <fgColor theme="8" tint="0.39997558519241921"/>
        <bgColor indexed="65"/>
      </patternFill>
    </fill>
    <fill>
      <patternFill patternType="solid">
        <fgColor theme="0" tint="-0.34998626667073579"/>
        <bgColor indexed="64"/>
      </patternFill>
    </fill>
    <fill>
      <patternFill patternType="solid">
        <fgColor theme="8" tint="0.79998168889431442"/>
        <bgColor theme="8" tint="0.79998168889431442"/>
      </patternFill>
    </fill>
    <fill>
      <patternFill patternType="solid">
        <fgColor rgb="FFA50021"/>
        <bgColor indexed="64"/>
      </patternFill>
    </fill>
    <fill>
      <patternFill patternType="solid">
        <fgColor theme="0" tint="-0.249977111117893"/>
        <bgColor indexed="64"/>
      </patternFill>
    </fill>
    <fill>
      <patternFill patternType="solid">
        <fgColor theme="7" tint="0.39997558519241921"/>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rgb="FFCCFF99"/>
        <bgColor indexed="64"/>
      </patternFill>
    </fill>
    <fill>
      <patternFill patternType="solid">
        <fgColor rgb="FFFFEB9C"/>
      </patternFill>
    </fill>
    <fill>
      <patternFill patternType="solid">
        <fgColor rgb="FFFFFF00"/>
        <bgColor indexed="64"/>
      </patternFill>
    </fill>
    <fill>
      <patternFill patternType="solid">
        <fgColor theme="2" tint="-9.9978637043366805E-2"/>
        <bgColor indexed="64"/>
      </patternFill>
    </fill>
    <fill>
      <patternFill patternType="solid">
        <fgColor theme="4"/>
      </patternFill>
    </fill>
    <fill>
      <patternFill patternType="solid">
        <fgColor theme="8"/>
        <bgColor theme="8"/>
      </patternFill>
    </fill>
    <fill>
      <patternFill patternType="solid">
        <fgColor theme="4" tint="0.79998168889431442"/>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39997558519241921"/>
        <bgColor indexed="65"/>
      </patternFill>
    </fill>
    <fill>
      <patternFill patternType="solid">
        <fgColor rgb="FFCCCC00"/>
        <bgColor theme="8" tint="0.79998168889431442"/>
      </patternFill>
    </fill>
    <fill>
      <patternFill patternType="solid">
        <fgColor theme="0" tint="-0.14999847407452621"/>
        <bgColor theme="8" tint="0.79998168889431442"/>
      </patternFill>
    </fill>
    <fill>
      <patternFill patternType="solid">
        <fgColor theme="5"/>
      </patternFill>
    </fill>
    <fill>
      <patternFill patternType="solid">
        <fgColor theme="6"/>
      </patternFill>
    </fill>
    <fill>
      <patternFill patternType="solid">
        <fgColor theme="1"/>
        <bgColor indexed="64"/>
      </patternFill>
    </fill>
    <fill>
      <patternFill patternType="solid">
        <fgColor theme="8"/>
        <bgColor indexed="64"/>
      </patternFill>
    </fill>
  </fills>
  <borders count="103">
    <border>
      <left/>
      <right/>
      <top/>
      <bottom/>
      <diagonal/>
    </border>
    <border>
      <left/>
      <right/>
      <top/>
      <bottom style="medium">
        <color theme="4" tint="0.39997558519241921"/>
      </bottom>
      <diagonal/>
    </border>
    <border>
      <left/>
      <right/>
      <top style="medium">
        <color indexed="64"/>
      </top>
      <bottom/>
      <diagonal/>
    </border>
    <border>
      <left/>
      <right/>
      <top/>
      <bottom style="medium">
        <color indexed="64"/>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style="medium">
        <color indexed="64"/>
      </left>
      <right/>
      <top/>
      <bottom/>
      <diagonal/>
    </border>
    <border>
      <left/>
      <right/>
      <top/>
      <bottom style="thick">
        <color theme="4"/>
      </bottom>
      <diagonal/>
    </border>
    <border>
      <left style="medium">
        <color indexed="64"/>
      </left>
      <right style="medium">
        <color indexed="64"/>
      </right>
      <top style="medium">
        <color indexed="64"/>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indexed="64"/>
      </top>
      <bottom style="thick">
        <color theme="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style="medium">
        <color indexed="64"/>
      </left>
      <right/>
      <top/>
      <bottom style="medium">
        <color indexed="64"/>
      </bottom>
      <diagonal/>
    </border>
    <border>
      <left/>
      <right style="thick">
        <color theme="4"/>
      </right>
      <top/>
      <bottom style="thick">
        <color theme="4"/>
      </bottom>
      <diagonal/>
    </border>
    <border>
      <left/>
      <right style="thick">
        <color theme="4"/>
      </right>
      <top/>
      <bottom style="medium">
        <color indexed="64"/>
      </bottom>
      <diagonal/>
    </border>
    <border>
      <left style="medium">
        <color indexed="64"/>
      </left>
      <right style="medium">
        <color indexed="64"/>
      </right>
      <top/>
      <bottom/>
      <diagonal/>
    </border>
    <border>
      <left style="medium">
        <color indexed="64"/>
      </left>
      <right style="thick">
        <color theme="4"/>
      </right>
      <top/>
      <bottom style="thick">
        <color theme="4"/>
      </bottom>
      <diagonal/>
    </border>
    <border>
      <left style="medium">
        <color indexed="64"/>
      </left>
      <right style="thick">
        <color theme="4"/>
      </right>
      <top/>
      <bottom style="medium">
        <color indexed="64"/>
      </bottom>
      <diagonal/>
    </border>
    <border>
      <left style="double">
        <color theme="8" tint="0.39991454817346722"/>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double">
        <color theme="8" tint="0.39994506668294322"/>
      </left>
      <right style="double">
        <color theme="8" tint="0.39991454817346722"/>
      </right>
      <top style="double">
        <color theme="8" tint="0.39991454817346722"/>
      </top>
      <bottom/>
      <diagonal/>
    </border>
    <border>
      <left style="double">
        <color theme="8" tint="0.39994506668294322"/>
      </left>
      <right style="double">
        <color theme="8" tint="0.39991454817346722"/>
      </right>
      <top/>
      <bottom/>
      <diagonal/>
    </border>
    <border>
      <left style="double">
        <color theme="8" tint="0.39994506668294322"/>
      </left>
      <right style="double">
        <color theme="8" tint="0.39991454817346722"/>
      </right>
      <top/>
      <bottom style="double">
        <color theme="8" tint="0.39991454817346722"/>
      </bottom>
      <diagonal/>
    </border>
    <border>
      <left style="double">
        <color theme="8" tint="0.39994506668294322"/>
      </left>
      <right style="double">
        <color theme="8" tint="0.39991454817346722"/>
      </right>
      <top style="double">
        <color theme="8" tint="0.39994506668294322"/>
      </top>
      <bottom/>
      <diagonal/>
    </border>
    <border>
      <left style="double">
        <color theme="8" tint="0.39994506668294322"/>
      </left>
      <right style="double">
        <color theme="8" tint="0.39991454817346722"/>
      </right>
      <top/>
      <bottom style="double">
        <color theme="8" tint="0.39994506668294322"/>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medium">
        <color indexed="64"/>
      </left>
      <right style="double">
        <color theme="8" tint="0.39991454817346722"/>
      </right>
      <top style="medium">
        <color indexed="64"/>
      </top>
      <bottom style="medium">
        <color indexed="64"/>
      </bottom>
      <diagonal/>
    </border>
    <border>
      <left style="thin">
        <color indexed="64"/>
      </left>
      <right style="thin">
        <color theme="0"/>
      </right>
      <top style="medium">
        <color indexed="64"/>
      </top>
      <bottom style="medium">
        <color indexed="64"/>
      </bottom>
      <diagonal/>
    </border>
    <border>
      <left style="thin">
        <color theme="0"/>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medium">
        <color indexed="64"/>
      </top>
      <bottom/>
      <diagonal/>
    </border>
    <border>
      <left style="thick">
        <color indexed="64"/>
      </left>
      <right/>
      <top style="medium">
        <color indexed="64"/>
      </top>
      <bottom/>
      <diagonal/>
    </border>
    <border>
      <left style="medium">
        <color indexed="64"/>
      </left>
      <right style="hair">
        <color indexed="64"/>
      </right>
      <top/>
      <bottom style="medium">
        <color indexed="64"/>
      </bottom>
      <diagonal/>
    </border>
    <border>
      <left style="medium">
        <color indexed="64"/>
      </left>
      <right style="hair">
        <color indexed="64"/>
      </right>
      <top style="hair">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double">
        <color theme="8" tint="0.39988402966399123"/>
      </left>
      <right style="double">
        <color theme="8" tint="0.39991454817346722"/>
      </right>
      <top style="double">
        <color theme="8" tint="0.39991454817346722"/>
      </top>
      <bottom/>
      <diagonal/>
    </border>
    <border>
      <left style="double">
        <color theme="8" tint="0.39988402966399123"/>
      </left>
      <right style="double">
        <color theme="8" tint="0.39991454817346722"/>
      </right>
      <top/>
      <bottom/>
      <diagonal/>
    </border>
    <border>
      <left style="double">
        <color theme="8" tint="0.39988402966399123"/>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4506668294322"/>
      </top>
      <bottom/>
      <diagonal/>
    </border>
    <border>
      <left style="double">
        <color theme="8" tint="0.39991454817346722"/>
      </left>
      <right style="double">
        <color theme="8" tint="0.39991454817346722"/>
      </right>
      <top/>
      <bottom/>
      <diagonal/>
    </border>
    <border>
      <left style="double">
        <color theme="8" tint="0.39991454817346722"/>
      </left>
      <right style="double">
        <color theme="8" tint="0.39991454817346722"/>
      </right>
      <top/>
      <bottom style="double">
        <color theme="8" tint="0.39991454817346722"/>
      </bottom>
      <diagonal/>
    </border>
    <border>
      <left style="double">
        <color theme="8" tint="0.39991454817346722"/>
      </left>
      <right style="double">
        <color theme="8" tint="0.39991454817346722"/>
      </right>
      <top style="double">
        <color theme="8" tint="0.39991454817346722"/>
      </top>
      <bottom/>
      <diagonal/>
    </border>
    <border>
      <left style="double">
        <color theme="8" tint="0.39991454817346722"/>
      </left>
      <right style="double">
        <color theme="8" tint="0.39991454817346722"/>
      </right>
      <top/>
      <bottom style="double">
        <color theme="8" tint="0.39994506668294322"/>
      </bottom>
      <diagonal/>
    </border>
    <border>
      <left style="double">
        <color theme="8" tint="0.39988402966399123"/>
      </left>
      <right style="double">
        <color theme="8" tint="0.39991454817346722"/>
      </right>
      <top/>
      <bottom style="double">
        <color theme="8" tint="0.39988402966399123"/>
      </bottom>
      <diagonal/>
    </border>
    <border>
      <left/>
      <right style="double">
        <color theme="8" tint="0.39988402966399123"/>
      </right>
      <top style="medium">
        <color indexed="64"/>
      </top>
      <bottom style="thick">
        <color theme="4"/>
      </bottom>
      <diagonal/>
    </border>
    <border>
      <left/>
      <right style="double">
        <color theme="8" tint="0.39988402966399123"/>
      </right>
      <top/>
      <bottom/>
      <diagonal/>
    </border>
    <border>
      <left style="thin">
        <color theme="0"/>
      </left>
      <right/>
      <top style="thin">
        <color theme="0"/>
      </top>
      <bottom/>
      <diagonal/>
    </border>
    <border>
      <left style="thin">
        <color theme="0"/>
      </left>
      <right/>
      <top style="thin">
        <color theme="0"/>
      </top>
      <bottom style="medium">
        <color indexed="64"/>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right/>
      <top style="thin">
        <color theme="0"/>
      </top>
      <bottom style="medium">
        <color indexed="64"/>
      </bottom>
      <diagonal/>
    </border>
    <border>
      <left/>
      <right/>
      <top style="thick">
        <color theme="4"/>
      </top>
      <bottom style="thin">
        <color theme="4"/>
      </bottom>
      <diagonal/>
    </border>
    <border>
      <left/>
      <right style="medium">
        <color indexed="64"/>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style="medium">
        <color indexed="64"/>
      </bottom>
      <diagonal/>
    </border>
    <border>
      <left style="thin">
        <color theme="0"/>
      </left>
      <right style="thin">
        <color theme="0"/>
      </right>
      <top style="thin">
        <color theme="0"/>
      </top>
      <bottom style="medium">
        <color rgb="FF000000"/>
      </bottom>
      <diagonal/>
    </border>
    <border>
      <left style="thin">
        <color theme="0"/>
      </left>
      <right/>
      <top style="thin">
        <color theme="0"/>
      </top>
      <bottom style="medium">
        <color rgb="FF000000"/>
      </bottom>
      <diagonal/>
    </border>
    <border>
      <left style="thin">
        <color theme="0"/>
      </left>
      <right style="thin">
        <color theme="0"/>
      </right>
      <top style="thick">
        <color theme="0"/>
      </top>
      <bottom style="thin">
        <color theme="0"/>
      </bottom>
      <diagonal/>
    </border>
    <border>
      <left style="thin">
        <color theme="0"/>
      </left>
      <right/>
      <top style="thick">
        <color theme="0"/>
      </top>
      <bottom style="thin">
        <color theme="0"/>
      </bottom>
      <diagonal/>
    </border>
    <border>
      <left/>
      <right style="thick">
        <color theme="4"/>
      </right>
      <top/>
      <bottom/>
      <diagonal/>
    </border>
    <border>
      <left style="double">
        <color theme="8" tint="0.39991454817346722"/>
      </left>
      <right style="thick">
        <color theme="4"/>
      </right>
      <top/>
      <bottom/>
      <diagonal/>
    </border>
    <border>
      <left style="double">
        <color theme="8" tint="0.39991454817346722"/>
      </left>
      <right style="thick">
        <color theme="4"/>
      </right>
      <top/>
      <bottom style="medium">
        <color indexed="64"/>
      </bottom>
      <diagonal/>
    </border>
    <border>
      <left/>
      <right/>
      <top style="thin">
        <color theme="4"/>
      </top>
      <bottom style="medium">
        <color indexed="64"/>
      </bottom>
      <diagonal/>
    </border>
    <border>
      <left/>
      <right/>
      <top style="thin">
        <color theme="0"/>
      </top>
      <bottom style="thin">
        <color theme="0"/>
      </bottom>
      <diagonal/>
    </border>
    <border>
      <left style="thin">
        <color theme="0"/>
      </left>
      <right/>
      <top style="thin">
        <color theme="0"/>
      </top>
      <bottom style="medium">
        <color theme="0"/>
      </bottom>
      <diagonal/>
    </border>
    <border>
      <left/>
      <right/>
      <top style="thin">
        <color theme="0"/>
      </top>
      <bottom style="medium">
        <color theme="0"/>
      </bottom>
      <diagonal/>
    </border>
    <border>
      <left style="thick">
        <color theme="4"/>
      </left>
      <right/>
      <top style="thick">
        <color theme="0"/>
      </top>
      <bottom/>
      <diagonal/>
    </border>
    <border>
      <left style="thin">
        <color indexed="64"/>
      </left>
      <right/>
      <top style="thick">
        <color theme="0"/>
      </top>
      <bottom style="thin">
        <color theme="0"/>
      </bottom>
      <diagonal/>
    </border>
    <border>
      <left/>
      <right/>
      <top style="thick">
        <color theme="0"/>
      </top>
      <bottom style="thin">
        <color theme="0"/>
      </bottom>
      <diagonal/>
    </border>
    <border>
      <left style="thick">
        <color theme="4"/>
      </left>
      <right/>
      <top/>
      <bottom/>
      <diagonal/>
    </border>
    <border>
      <left style="thin">
        <color indexed="64"/>
      </left>
      <right style="thin">
        <color theme="0"/>
      </right>
      <top style="thick">
        <color theme="0"/>
      </top>
      <bottom style="thin">
        <color theme="0"/>
      </bottom>
      <diagonal/>
    </border>
    <border>
      <left style="thick">
        <color theme="4"/>
      </left>
      <right/>
      <top style="thick">
        <color theme="0"/>
      </top>
      <bottom style="thin">
        <color theme="0"/>
      </bottom>
      <diagonal/>
    </border>
    <border>
      <left style="thick">
        <color theme="4"/>
      </left>
      <right/>
      <top style="thin">
        <color theme="0"/>
      </top>
      <bottom style="thin">
        <color theme="0"/>
      </bottom>
      <diagonal/>
    </border>
    <border>
      <left style="thick">
        <color theme="4"/>
      </left>
      <right/>
      <top style="thin">
        <color theme="0"/>
      </top>
      <bottom style="medium">
        <color indexed="64"/>
      </bottom>
      <diagonal/>
    </border>
  </borders>
  <cellStyleXfs count="19">
    <xf numFmtId="0" fontId="0" fillId="0" borderId="0"/>
    <xf numFmtId="0" fontId="1" fillId="0" borderId="1" applyNumberFormat="0" applyFill="0" applyAlignment="0" applyProtection="0"/>
    <xf numFmtId="0" fontId="7" fillId="0" borderId="8" applyNumberFormat="0" applyFill="0" applyAlignment="0" applyProtection="0"/>
    <xf numFmtId="0" fontId="9" fillId="2" borderId="0" applyNumberFormat="0" applyBorder="0" applyAlignment="0" applyProtection="0"/>
    <xf numFmtId="0" fontId="9" fillId="3" borderId="0" applyNumberFormat="0" applyBorder="0" applyAlignment="0" applyProtection="0"/>
    <xf numFmtId="0" fontId="9" fillId="4"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37" fillId="13" borderId="0" applyNumberFormat="0" applyBorder="0" applyAlignment="0" applyProtection="0"/>
    <xf numFmtId="0" fontId="46" fillId="16" borderId="0" applyNumberFormat="0" applyBorder="0" applyAlignment="0" applyProtection="0"/>
    <xf numFmtId="0" fontId="48" fillId="0" borderId="0" applyNumberFormat="0" applyFill="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46" fillId="26" borderId="0" applyNumberFormat="0" applyBorder="0" applyAlignment="0" applyProtection="0"/>
    <xf numFmtId="0" fontId="46" fillId="27" borderId="0" applyNumberFormat="0" applyBorder="0" applyAlignment="0" applyProtection="0"/>
  </cellStyleXfs>
  <cellXfs count="249">
    <xf numFmtId="0" fontId="0" fillId="0" borderId="0" xfId="0"/>
    <xf numFmtId="49" fontId="0" fillId="0" borderId="0" xfId="0" applyNumberFormat="1"/>
    <xf numFmtId="0" fontId="2"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0" fontId="6" fillId="0" borderId="16" xfId="0" applyFont="1" applyBorder="1" applyAlignment="1">
      <alignment horizontal="right" vertical="center"/>
    </xf>
    <xf numFmtId="0" fontId="3" fillId="0" borderId="17" xfId="0" applyFont="1" applyBorder="1" applyAlignment="1">
      <alignment vertical="center"/>
    </xf>
    <xf numFmtId="0" fontId="5" fillId="0" borderId="18" xfId="0" applyFont="1" applyBorder="1" applyAlignment="1">
      <alignment vertical="center"/>
    </xf>
    <xf numFmtId="0" fontId="6" fillId="0" borderId="14" xfId="0" applyFont="1" applyBorder="1" applyAlignment="1">
      <alignment horizontal="right" vertical="center"/>
    </xf>
    <xf numFmtId="0" fontId="3" fillId="0" borderId="15" xfId="0" applyFont="1" applyBorder="1" applyAlignment="1">
      <alignment vertical="center"/>
    </xf>
    <xf numFmtId="0" fontId="12" fillId="0" borderId="2" xfId="0" applyFont="1" applyBorder="1" applyAlignment="1">
      <alignment horizontal="center" vertical="center"/>
    </xf>
    <xf numFmtId="0" fontId="12" fillId="0" borderId="2" xfId="0" applyFont="1" applyBorder="1" applyAlignment="1">
      <alignment horizontal="center" vertical="top"/>
    </xf>
    <xf numFmtId="0" fontId="12" fillId="2" borderId="2" xfId="3" applyFont="1" applyBorder="1" applyAlignment="1">
      <alignment horizontal="center" vertical="top"/>
    </xf>
    <xf numFmtId="0" fontId="12" fillId="0" borderId="0" xfId="0" applyFont="1" applyAlignment="1">
      <alignment horizontal="center" vertical="top"/>
    </xf>
    <xf numFmtId="0" fontId="12" fillId="0" borderId="0" xfId="0" applyFont="1"/>
    <xf numFmtId="0" fontId="12" fillId="0" borderId="0" xfId="0" applyFont="1" applyAlignment="1">
      <alignment horizontal="center" vertical="center"/>
    </xf>
    <xf numFmtId="0" fontId="12" fillId="5" borderId="0" xfId="0" applyFont="1" applyFill="1" applyAlignment="1">
      <alignment horizontal="center" vertical="top"/>
    </xf>
    <xf numFmtId="0" fontId="12" fillId="2" borderId="0" xfId="3" applyFont="1" applyBorder="1" applyAlignment="1">
      <alignment horizontal="center" vertical="top"/>
    </xf>
    <xf numFmtId="0" fontId="12" fillId="0" borderId="3" xfId="0" applyFont="1" applyBorder="1" applyAlignment="1">
      <alignment horizontal="center" vertical="top"/>
    </xf>
    <xf numFmtId="0" fontId="12" fillId="2" borderId="3" xfId="3" applyFont="1" applyBorder="1" applyAlignment="1">
      <alignment horizontal="center" vertical="top"/>
    </xf>
    <xf numFmtId="0" fontId="12" fillId="0" borderId="5" xfId="0" applyFont="1" applyBorder="1" applyAlignment="1">
      <alignment horizontal="center" vertical="center"/>
    </xf>
    <xf numFmtId="0" fontId="12" fillId="0" borderId="7" xfId="0" applyFont="1" applyBorder="1" applyAlignment="1">
      <alignment horizontal="center" vertical="center"/>
    </xf>
    <xf numFmtId="0" fontId="12" fillId="6" borderId="36" xfId="0" applyFont="1" applyFill="1" applyBorder="1" applyAlignment="1">
      <alignment horizontal="center" vertical="top"/>
    </xf>
    <xf numFmtId="0" fontId="12" fillId="6" borderId="37" xfId="0" applyFont="1" applyFill="1" applyBorder="1" applyAlignment="1">
      <alignment horizontal="center" vertical="top"/>
    </xf>
    <xf numFmtId="0" fontId="10" fillId="8" borderId="38" xfId="0" applyFont="1" applyFill="1" applyBorder="1" applyAlignment="1">
      <alignment vertical="center" wrapText="1"/>
    </xf>
    <xf numFmtId="0" fontId="12" fillId="2" borderId="29" xfId="3" applyFont="1" applyBorder="1" applyAlignment="1">
      <alignment horizontal="center" vertical="top"/>
    </xf>
    <xf numFmtId="0" fontId="12" fillId="6" borderId="39" xfId="0" applyFont="1" applyFill="1" applyBorder="1" applyAlignment="1">
      <alignment horizontal="center" vertical="top"/>
    </xf>
    <xf numFmtId="0" fontId="12" fillId="6" borderId="40" xfId="0" applyFont="1" applyFill="1" applyBorder="1" applyAlignment="1">
      <alignment horizontal="center" vertical="top"/>
    </xf>
    <xf numFmtId="0" fontId="12" fillId="2" borderId="30" xfId="3" applyFont="1" applyBorder="1" applyAlignment="1">
      <alignment horizontal="center" vertical="top"/>
    </xf>
    <xf numFmtId="0" fontId="4" fillId="0" borderId="41" xfId="0" applyFont="1" applyBorder="1" applyAlignment="1">
      <alignment vertical="center" wrapText="1"/>
    </xf>
    <xf numFmtId="0" fontId="4" fillId="0" borderId="42" xfId="0" applyFont="1" applyBorder="1" applyAlignment="1">
      <alignment vertical="center" wrapText="1"/>
    </xf>
    <xf numFmtId="0" fontId="4" fillId="0" borderId="43" xfId="0" applyFont="1" applyBorder="1" applyAlignment="1">
      <alignment vertical="center" wrapText="1"/>
    </xf>
    <xf numFmtId="0" fontId="4" fillId="0" borderId="44" xfId="0" applyFont="1" applyBorder="1" applyAlignment="1">
      <alignment vertical="center" wrapText="1"/>
    </xf>
    <xf numFmtId="0" fontId="4" fillId="0" borderId="45" xfId="0" applyFont="1" applyBorder="1" applyAlignment="1">
      <alignment vertical="center" wrapText="1"/>
    </xf>
    <xf numFmtId="0" fontId="4" fillId="0" borderId="46" xfId="0" applyFont="1" applyBorder="1" applyAlignment="1">
      <alignment vertical="center" wrapText="1"/>
    </xf>
    <xf numFmtId="0" fontId="4" fillId="0" borderId="47" xfId="0" applyFont="1" applyBorder="1" applyAlignment="1">
      <alignment vertical="center" wrapText="1"/>
    </xf>
    <xf numFmtId="0" fontId="4" fillId="0" borderId="48" xfId="0" applyFont="1" applyBorder="1" applyAlignment="1">
      <alignment vertical="center" wrapText="1"/>
    </xf>
    <xf numFmtId="0" fontId="4" fillId="0" borderId="49" xfId="0" applyFont="1" applyBorder="1" applyAlignment="1">
      <alignment vertical="center" wrapText="1"/>
    </xf>
    <xf numFmtId="0" fontId="8" fillId="0" borderId="50" xfId="0" applyFont="1" applyBorder="1" applyAlignment="1">
      <alignment vertical="center" wrapText="1"/>
    </xf>
    <xf numFmtId="0" fontId="8" fillId="0" borderId="51" xfId="0" applyFont="1" applyBorder="1" applyAlignment="1">
      <alignment vertical="center" wrapText="1"/>
    </xf>
    <xf numFmtId="0" fontId="5" fillId="0" borderId="9" xfId="0" applyFont="1" applyBorder="1" applyAlignment="1">
      <alignment vertical="center" wrapText="1"/>
    </xf>
    <xf numFmtId="0" fontId="5" fillId="0" borderId="30" xfId="0" applyFont="1" applyBorder="1" applyAlignment="1">
      <alignment vertical="center" wrapText="1"/>
    </xf>
    <xf numFmtId="0" fontId="1" fillId="0" borderId="12" xfId="1" applyBorder="1" applyAlignment="1">
      <alignment vertical="center"/>
    </xf>
    <xf numFmtId="49" fontId="1" fillId="0" borderId="12" xfId="1" applyNumberFormat="1" applyBorder="1"/>
    <xf numFmtId="0" fontId="1" fillId="0" borderId="6" xfId="1" applyBorder="1" applyAlignment="1">
      <alignment vertical="center"/>
    </xf>
    <xf numFmtId="0" fontId="2" fillId="0" borderId="30" xfId="0" applyFont="1" applyBorder="1" applyAlignment="1">
      <alignment vertical="center"/>
    </xf>
    <xf numFmtId="49" fontId="1" fillId="0" borderId="21" xfId="1" applyNumberFormat="1" applyBorder="1"/>
    <xf numFmtId="0" fontId="3" fillId="0" borderId="52" xfId="0" applyFont="1" applyBorder="1" applyAlignment="1">
      <alignment vertical="center"/>
    </xf>
    <xf numFmtId="0" fontId="2" fillId="0" borderId="4" xfId="0" applyFont="1" applyBorder="1" applyAlignment="1">
      <alignment vertical="center"/>
    </xf>
    <xf numFmtId="0" fontId="3" fillId="0" borderId="53" xfId="0" applyFont="1" applyBorder="1" applyAlignment="1">
      <alignment vertical="center"/>
    </xf>
    <xf numFmtId="0" fontId="3" fillId="0" borderId="54" xfId="0" applyFont="1" applyBorder="1" applyAlignment="1">
      <alignment vertical="center"/>
    </xf>
    <xf numFmtId="0" fontId="5" fillId="0" borderId="3" xfId="0" applyFont="1" applyBorder="1" applyAlignment="1">
      <alignment vertical="center" wrapText="1"/>
    </xf>
    <xf numFmtId="0" fontId="12" fillId="11" borderId="2" xfId="3" applyFont="1" applyFill="1" applyBorder="1" applyAlignment="1">
      <alignment horizontal="center" vertical="top"/>
    </xf>
    <xf numFmtId="0" fontId="12" fillId="11" borderId="0" xfId="3" applyFont="1" applyFill="1" applyBorder="1" applyAlignment="1">
      <alignment horizontal="center" vertical="top"/>
    </xf>
    <xf numFmtId="0" fontId="12" fillId="11" borderId="3" xfId="3" applyFont="1" applyFill="1" applyBorder="1" applyAlignment="1">
      <alignment horizontal="center" vertical="top"/>
    </xf>
    <xf numFmtId="0" fontId="29" fillId="0" borderId="0" xfId="0" applyFont="1" applyAlignment="1">
      <alignment horizontal="left" vertical="center"/>
    </xf>
    <xf numFmtId="0" fontId="18" fillId="0" borderId="41" xfId="0" applyFont="1" applyBorder="1" applyAlignment="1">
      <alignment vertical="center"/>
    </xf>
    <xf numFmtId="0" fontId="19" fillId="0" borderId="42" xfId="0" applyFont="1" applyBorder="1" applyAlignment="1">
      <alignment vertical="center"/>
    </xf>
    <xf numFmtId="0" fontId="20" fillId="0" borderId="42" xfId="0" applyFont="1" applyBorder="1" applyAlignment="1">
      <alignment vertical="center" wrapText="1"/>
    </xf>
    <xf numFmtId="0" fontId="22" fillId="0" borderId="43" xfId="0" applyFont="1" applyBorder="1" applyAlignment="1">
      <alignment wrapText="1"/>
    </xf>
    <xf numFmtId="0" fontId="2" fillId="0" borderId="42" xfId="0" applyFont="1" applyBorder="1" applyAlignment="1">
      <alignment vertical="center" wrapText="1"/>
    </xf>
    <xf numFmtId="0" fontId="2" fillId="0" borderId="43" xfId="0" applyFont="1" applyBorder="1" applyAlignment="1">
      <alignment wrapText="1"/>
    </xf>
    <xf numFmtId="0" fontId="27" fillId="0" borderId="43" xfId="0" applyFont="1" applyBorder="1" applyAlignment="1">
      <alignment vertical="center" wrapText="1"/>
    </xf>
    <xf numFmtId="0" fontId="22" fillId="0" borderId="42" xfId="0" applyFont="1" applyBorder="1" applyAlignment="1">
      <alignment vertical="center" wrapText="1"/>
    </xf>
    <xf numFmtId="0" fontId="2" fillId="0" borderId="43" xfId="0" applyFont="1" applyBorder="1" applyAlignment="1">
      <alignment horizontal="center" vertical="center" wrapText="1"/>
    </xf>
    <xf numFmtId="0" fontId="2" fillId="0" borderId="42" xfId="0" applyFont="1" applyBorder="1" applyAlignment="1">
      <alignment vertical="center"/>
    </xf>
    <xf numFmtId="0" fontId="22" fillId="0" borderId="0" xfId="0" applyFont="1" applyAlignment="1">
      <alignment horizontal="left" vertical="center" indent="8"/>
    </xf>
    <xf numFmtId="0" fontId="22" fillId="0" borderId="0" xfId="0" applyFont="1" applyAlignment="1">
      <alignment horizontal="left" vertical="center" wrapText="1"/>
    </xf>
    <xf numFmtId="0" fontId="22" fillId="0" borderId="0" xfId="0" applyFont="1" applyAlignment="1">
      <alignment wrapText="1"/>
    </xf>
    <xf numFmtId="0" fontId="23" fillId="0" borderId="0" xfId="0" applyFont="1"/>
    <xf numFmtId="0" fontId="33" fillId="0" borderId="0" xfId="0" applyFont="1" applyAlignment="1">
      <alignment wrapText="1"/>
    </xf>
    <xf numFmtId="0" fontId="11" fillId="0" borderId="0" xfId="0" applyFont="1" applyAlignment="1">
      <alignment horizontal="center"/>
    </xf>
    <xf numFmtId="0" fontId="40" fillId="0" borderId="0" xfId="0" applyFont="1" applyAlignment="1">
      <alignment vertical="center"/>
    </xf>
    <xf numFmtId="0" fontId="8" fillId="0" borderId="57" xfId="0" applyFont="1" applyBorder="1" applyAlignment="1">
      <alignment vertical="center" wrapText="1"/>
    </xf>
    <xf numFmtId="0" fontId="4" fillId="0" borderId="58" xfId="0" applyFont="1" applyBorder="1" applyAlignment="1">
      <alignment vertical="center" wrapText="1"/>
    </xf>
    <xf numFmtId="0" fontId="4" fillId="0" borderId="59" xfId="0" applyFont="1" applyBorder="1" applyAlignment="1">
      <alignment vertical="center" wrapText="1"/>
    </xf>
    <xf numFmtId="0" fontId="4" fillId="0" borderId="60" xfId="0" applyFont="1" applyBorder="1" applyAlignment="1">
      <alignment vertical="center" wrapText="1"/>
    </xf>
    <xf numFmtId="0" fontId="41" fillId="14" borderId="0" xfId="0" applyFont="1" applyFill="1" applyAlignment="1">
      <alignment horizontal="center" vertical="top"/>
    </xf>
    <xf numFmtId="0" fontId="42" fillId="15" borderId="0" xfId="8" applyFont="1" applyFill="1" applyAlignment="1">
      <alignment horizontal="center" vertical="top"/>
    </xf>
    <xf numFmtId="0" fontId="11" fillId="14" borderId="3" xfId="0" applyFont="1" applyFill="1" applyBorder="1" applyAlignment="1">
      <alignment horizontal="center" vertical="top"/>
    </xf>
    <xf numFmtId="0" fontId="43" fillId="15" borderId="0" xfId="8" applyFont="1" applyFill="1" applyAlignment="1">
      <alignment horizontal="center" vertical="top"/>
    </xf>
    <xf numFmtId="0" fontId="11" fillId="14" borderId="0" xfId="0" applyFont="1" applyFill="1" applyAlignment="1">
      <alignment horizontal="center" vertical="top"/>
    </xf>
    <xf numFmtId="0" fontId="12" fillId="0" borderId="71" xfId="0" applyFont="1" applyBorder="1" applyAlignment="1">
      <alignment horizontal="center" vertical="top"/>
    </xf>
    <xf numFmtId="0" fontId="0" fillId="0" borderId="0" xfId="0" applyAlignment="1">
      <alignment horizontal="left" vertical="center" wrapText="1"/>
    </xf>
    <xf numFmtId="0" fontId="0" fillId="0" borderId="0" xfId="0" applyAlignment="1">
      <alignment vertical="center" wrapText="1"/>
    </xf>
    <xf numFmtId="0" fontId="12" fillId="0" borderId="27" xfId="0" applyFont="1" applyBorder="1"/>
    <xf numFmtId="0" fontId="47" fillId="5" borderId="0" xfId="0" applyFont="1" applyFill="1" applyAlignment="1">
      <alignment horizontal="center" vertical="top"/>
    </xf>
    <xf numFmtId="0" fontId="47" fillId="17" borderId="74" xfId="0" applyFont="1" applyFill="1" applyBorder="1" applyAlignment="1">
      <alignment horizontal="center" vertical="top"/>
    </xf>
    <xf numFmtId="0" fontId="47" fillId="17" borderId="75" xfId="0" applyFont="1" applyFill="1" applyBorder="1" applyAlignment="1">
      <alignment horizontal="center" vertical="top"/>
    </xf>
    <xf numFmtId="0" fontId="12" fillId="6" borderId="76" xfId="0" applyFont="1" applyFill="1" applyBorder="1" applyAlignment="1">
      <alignment horizontal="center" vertical="top"/>
    </xf>
    <xf numFmtId="0" fontId="47" fillId="17" borderId="77" xfId="0" applyFont="1" applyFill="1" applyBorder="1" applyAlignment="1">
      <alignment horizontal="center" vertical="top"/>
    </xf>
    <xf numFmtId="0" fontId="12" fillId="6" borderId="72" xfId="0" applyFont="1" applyFill="1" applyBorder="1" applyAlignment="1">
      <alignment horizontal="center" vertical="top"/>
    </xf>
    <xf numFmtId="0" fontId="47" fillId="17" borderId="78" xfId="0" applyFont="1" applyFill="1" applyBorder="1" applyAlignment="1">
      <alignment horizontal="center" vertical="top"/>
    </xf>
    <xf numFmtId="0" fontId="12" fillId="6" borderId="73" xfId="0" applyFont="1" applyFill="1" applyBorder="1" applyAlignment="1">
      <alignment horizontal="center" vertical="top"/>
    </xf>
    <xf numFmtId="0" fontId="9" fillId="22" borderId="0" xfId="15"/>
    <xf numFmtId="0" fontId="9" fillId="22" borderId="39" xfId="15" applyBorder="1" applyAlignment="1">
      <alignment horizontal="center" vertical="top"/>
    </xf>
    <xf numFmtId="0" fontId="9" fillId="23" borderId="39" xfId="16" applyBorder="1" applyAlignment="1">
      <alignment horizontal="center" vertical="top"/>
    </xf>
    <xf numFmtId="0" fontId="9" fillId="18" borderId="0" xfId="11"/>
    <xf numFmtId="0" fontId="9" fillId="18" borderId="37" xfId="11" applyBorder="1" applyAlignment="1">
      <alignment horizontal="center" vertical="top"/>
    </xf>
    <xf numFmtId="0" fontId="9" fillId="19" borderId="37" xfId="12" applyBorder="1" applyAlignment="1">
      <alignment horizontal="center" vertical="top"/>
    </xf>
    <xf numFmtId="0" fontId="9" fillId="20" borderId="0" xfId="13"/>
    <xf numFmtId="0" fontId="9" fillId="20" borderId="36" xfId="13" applyBorder="1" applyAlignment="1">
      <alignment horizontal="center" vertical="top"/>
    </xf>
    <xf numFmtId="0" fontId="9" fillId="21" borderId="36" xfId="14" applyBorder="1" applyAlignment="1">
      <alignment horizontal="center" vertical="top"/>
    </xf>
    <xf numFmtId="0" fontId="9" fillId="3" borderId="0" xfId="4"/>
    <xf numFmtId="0" fontId="9" fillId="3" borderId="36" xfId="4" applyBorder="1" applyAlignment="1">
      <alignment horizontal="center" vertical="top"/>
    </xf>
    <xf numFmtId="0" fontId="9" fillId="4" borderId="36" xfId="5" applyBorder="1" applyAlignment="1">
      <alignment horizontal="center" vertical="top"/>
    </xf>
    <xf numFmtId="0" fontId="48" fillId="24" borderId="36" xfId="10" applyFill="1" applyBorder="1" applyAlignment="1">
      <alignment horizontal="center" vertical="top"/>
    </xf>
    <xf numFmtId="0" fontId="12" fillId="25" borderId="36" xfId="0" applyFont="1" applyFill="1" applyBorder="1" applyAlignment="1">
      <alignment horizontal="center" vertical="top"/>
    </xf>
    <xf numFmtId="0" fontId="12" fillId="25" borderId="40" xfId="0" applyFont="1" applyFill="1" applyBorder="1" applyAlignment="1">
      <alignment horizontal="center" vertical="top"/>
    </xf>
    <xf numFmtId="0" fontId="12" fillId="25" borderId="39" xfId="0" applyFont="1" applyFill="1" applyBorder="1" applyAlignment="1">
      <alignment horizontal="center" vertical="top"/>
    </xf>
    <xf numFmtId="0" fontId="12" fillId="25" borderId="37" xfId="0" applyFont="1" applyFill="1" applyBorder="1" applyAlignment="1">
      <alignment horizontal="center" vertical="top"/>
    </xf>
    <xf numFmtId="0" fontId="9" fillId="0" borderId="37" xfId="11" applyFill="1" applyBorder="1" applyAlignment="1">
      <alignment horizontal="center" vertical="top"/>
    </xf>
    <xf numFmtId="0" fontId="43" fillId="0" borderId="37" xfId="11" applyFont="1" applyFill="1" applyBorder="1" applyAlignment="1">
      <alignment horizontal="center" vertical="top"/>
    </xf>
    <xf numFmtId="0" fontId="9" fillId="23" borderId="0" xfId="16" applyBorder="1" applyAlignment="1">
      <alignment horizontal="center" vertical="top"/>
    </xf>
    <xf numFmtId="0" fontId="9" fillId="19" borderId="0" xfId="12" applyBorder="1" applyAlignment="1">
      <alignment horizontal="center" vertical="top"/>
    </xf>
    <xf numFmtId="0" fontId="9" fillId="21" borderId="0" xfId="14" applyBorder="1" applyAlignment="1">
      <alignment horizontal="center" vertical="top"/>
    </xf>
    <xf numFmtId="0" fontId="9" fillId="22" borderId="0" xfId="15" applyBorder="1" applyAlignment="1">
      <alignment horizontal="center" vertical="top"/>
    </xf>
    <xf numFmtId="0" fontId="50" fillId="26" borderId="0" xfId="17" applyFont="1" applyBorder="1"/>
    <xf numFmtId="0" fontId="50" fillId="27" borderId="0" xfId="18" applyFont="1" applyBorder="1"/>
    <xf numFmtId="0" fontId="9" fillId="20" borderId="0" xfId="13" applyBorder="1" applyAlignment="1">
      <alignment horizontal="center" vertical="top"/>
    </xf>
    <xf numFmtId="0" fontId="50" fillId="16" borderId="0" xfId="9" applyFont="1" applyBorder="1"/>
    <xf numFmtId="0" fontId="9" fillId="18" borderId="0" xfId="11" applyBorder="1" applyAlignment="1">
      <alignment horizontal="center" vertical="top"/>
    </xf>
    <xf numFmtId="0" fontId="50" fillId="29" borderId="0" xfId="17" applyFont="1" applyFill="1" applyBorder="1"/>
    <xf numFmtId="0" fontId="0" fillId="28" borderId="0" xfId="0" applyFill="1"/>
    <xf numFmtId="0" fontId="12" fillId="6" borderId="0" xfId="0" applyFont="1" applyFill="1" applyAlignment="1">
      <alignment horizontal="center" vertical="top"/>
    </xf>
    <xf numFmtId="0" fontId="9" fillId="4" borderId="0" xfId="5" applyBorder="1" applyAlignment="1">
      <alignment horizontal="center" vertical="top"/>
    </xf>
    <xf numFmtId="0" fontId="10" fillId="8" borderId="0" xfId="0" applyFont="1" applyFill="1" applyAlignment="1">
      <alignment vertical="center"/>
    </xf>
    <xf numFmtId="0" fontId="52" fillId="29" borderId="0" xfId="17" applyFont="1" applyFill="1" applyBorder="1" applyAlignment="1">
      <alignment horizontal="center"/>
    </xf>
    <xf numFmtId="0" fontId="51" fillId="16" borderId="0" xfId="9" applyFont="1" applyBorder="1" applyAlignment="1">
      <alignment horizontal="center" vertical="center"/>
    </xf>
    <xf numFmtId="0" fontId="52" fillId="26" borderId="0" xfId="17" applyFont="1" applyBorder="1" applyAlignment="1">
      <alignment horizontal="center" vertical="center"/>
    </xf>
    <xf numFmtId="0" fontId="10" fillId="8" borderId="0" xfId="0" applyFont="1" applyFill="1" applyAlignment="1">
      <alignment vertical="center" wrapText="1"/>
    </xf>
    <xf numFmtId="0" fontId="51" fillId="27" borderId="0" xfId="18" applyFont="1" applyBorder="1" applyAlignment="1">
      <alignment horizontal="center" vertical="center"/>
    </xf>
    <xf numFmtId="0" fontId="46" fillId="27" borderId="39" xfId="18" applyBorder="1" applyAlignment="1">
      <alignment horizontal="center" vertical="top"/>
    </xf>
    <xf numFmtId="0" fontId="46" fillId="27" borderId="36" xfId="18" applyBorder="1" applyAlignment="1">
      <alignment horizontal="center" vertical="top"/>
    </xf>
    <xf numFmtId="0" fontId="46" fillId="27" borderId="40" xfId="18" applyBorder="1" applyAlignment="1">
      <alignment horizontal="center" vertical="top"/>
    </xf>
    <xf numFmtId="0" fontId="9" fillId="18" borderId="36" xfId="11" applyBorder="1" applyAlignment="1">
      <alignment horizontal="center" vertical="top"/>
    </xf>
    <xf numFmtId="0" fontId="9" fillId="19" borderId="36" xfId="12" applyBorder="1" applyAlignment="1">
      <alignment horizontal="center" vertical="top"/>
    </xf>
    <xf numFmtId="0" fontId="9" fillId="20" borderId="37" xfId="13" applyBorder="1" applyAlignment="1">
      <alignment horizontal="center" vertical="top"/>
    </xf>
    <xf numFmtId="0" fontId="9" fillId="21" borderId="37" xfId="14" applyBorder="1" applyAlignment="1">
      <alignment horizontal="center" vertical="top"/>
    </xf>
    <xf numFmtId="0" fontId="9" fillId="3" borderId="37" xfId="4" applyBorder="1" applyAlignment="1">
      <alignment horizontal="center" vertical="top"/>
    </xf>
    <xf numFmtId="0" fontId="9" fillId="4" borderId="37" xfId="5" applyBorder="1" applyAlignment="1">
      <alignment horizontal="center" vertical="top"/>
    </xf>
    <xf numFmtId="0" fontId="9" fillId="19" borderId="82" xfId="12" applyBorder="1" applyAlignment="1">
      <alignment horizontal="center" vertical="top"/>
    </xf>
    <xf numFmtId="0" fontId="46" fillId="27" borderId="92" xfId="18" applyBorder="1" applyAlignment="1">
      <alignment horizontal="center" vertical="top"/>
    </xf>
    <xf numFmtId="0" fontId="9" fillId="3" borderId="92" xfId="4" applyBorder="1" applyAlignment="1">
      <alignment horizontal="center" vertical="top"/>
    </xf>
    <xf numFmtId="0" fontId="9" fillId="21" borderId="93" xfId="14" applyBorder="1" applyAlignment="1">
      <alignment horizontal="center" vertical="top"/>
    </xf>
    <xf numFmtId="0" fontId="9" fillId="4" borderId="94" xfId="5" applyBorder="1" applyAlignment="1">
      <alignment horizontal="center" vertical="top"/>
    </xf>
    <xf numFmtId="0" fontId="12" fillId="0" borderId="95" xfId="0" applyFont="1" applyBorder="1" applyAlignment="1">
      <alignment horizontal="center" vertical="top"/>
    </xf>
    <xf numFmtId="0" fontId="46" fillId="27" borderId="96" xfId="18" applyBorder="1" applyAlignment="1">
      <alignment horizontal="center" vertical="top"/>
    </xf>
    <xf numFmtId="0" fontId="9" fillId="18" borderId="97" xfId="11" applyBorder="1" applyAlignment="1">
      <alignment horizontal="center" vertical="top"/>
    </xf>
    <xf numFmtId="0" fontId="9" fillId="20" borderId="97" xfId="13" applyBorder="1" applyAlignment="1">
      <alignment horizontal="center" vertical="top"/>
    </xf>
    <xf numFmtId="0" fontId="12" fillId="0" borderId="98" xfId="0" applyFont="1" applyBorder="1" applyAlignment="1">
      <alignment horizontal="center" vertical="top"/>
    </xf>
    <xf numFmtId="0" fontId="12" fillId="0" borderId="100" xfId="0" applyFont="1" applyBorder="1" applyAlignment="1">
      <alignment horizontal="center" vertical="top"/>
    </xf>
    <xf numFmtId="0" fontId="46" fillId="27" borderId="99" xfId="18" applyBorder="1" applyAlignment="1">
      <alignment horizontal="center" vertical="top"/>
    </xf>
    <xf numFmtId="0" fontId="9" fillId="19" borderId="86" xfId="12" applyBorder="1" applyAlignment="1">
      <alignment horizontal="center" vertical="top"/>
    </xf>
    <xf numFmtId="0" fontId="9" fillId="21" borderId="87" xfId="14" applyBorder="1" applyAlignment="1">
      <alignment horizontal="center" vertical="top"/>
    </xf>
    <xf numFmtId="0" fontId="12" fillId="0" borderId="101" xfId="0" applyFont="1" applyBorder="1" applyAlignment="1">
      <alignment horizontal="center" vertical="top"/>
    </xf>
    <xf numFmtId="0" fontId="9" fillId="18" borderId="81" xfId="11" applyBorder="1" applyAlignment="1">
      <alignment horizontal="center" vertical="top"/>
    </xf>
    <xf numFmtId="0" fontId="46" fillId="27" borderId="81" xfId="18" applyBorder="1" applyAlignment="1">
      <alignment horizontal="center" vertical="top"/>
    </xf>
    <xf numFmtId="0" fontId="9" fillId="4" borderId="82" xfId="5" applyBorder="1" applyAlignment="1">
      <alignment horizontal="center" vertical="top"/>
    </xf>
    <xf numFmtId="0" fontId="12" fillId="0" borderId="102" xfId="0" applyFont="1" applyBorder="1" applyAlignment="1">
      <alignment horizontal="center" vertical="top"/>
    </xf>
    <xf numFmtId="0" fontId="9" fillId="20" borderId="83" xfId="13" applyBorder="1" applyAlignment="1">
      <alignment horizontal="center" vertical="top"/>
    </xf>
    <xf numFmtId="0" fontId="9" fillId="3" borderId="83" xfId="4" applyBorder="1" applyAlignment="1">
      <alignment horizontal="center" vertical="top"/>
    </xf>
    <xf numFmtId="0" fontId="46" fillId="27" borderId="94" xfId="18" applyBorder="1" applyAlignment="1">
      <alignment horizontal="center" vertical="top"/>
    </xf>
    <xf numFmtId="0" fontId="46" fillId="27" borderId="73" xfId="18" applyBorder="1" applyAlignment="1">
      <alignment horizontal="center" vertical="top"/>
    </xf>
    <xf numFmtId="0" fontId="0" fillId="19" borderId="86" xfId="12" applyFont="1" applyBorder="1" applyAlignment="1">
      <alignment horizontal="center" vertical="top"/>
    </xf>
    <xf numFmtId="0" fontId="0" fillId="21" borderId="87" xfId="14" applyFont="1" applyBorder="1" applyAlignment="1">
      <alignment horizontal="center" vertical="top"/>
    </xf>
    <xf numFmtId="0" fontId="0" fillId="18" borderId="81" xfId="11" applyFont="1" applyBorder="1" applyAlignment="1">
      <alignment horizontal="center" vertical="top"/>
    </xf>
    <xf numFmtId="0" fontId="0" fillId="4" borderId="82" xfId="5" applyFont="1" applyBorder="1" applyAlignment="1">
      <alignment horizontal="center" vertical="top"/>
    </xf>
    <xf numFmtId="0" fontId="0" fillId="20" borderId="84" xfId="13" applyFont="1" applyBorder="1" applyAlignment="1">
      <alignment horizontal="center" vertical="top"/>
    </xf>
    <xf numFmtId="0" fontId="0" fillId="3" borderId="84" xfId="4" applyFont="1" applyBorder="1" applyAlignment="1">
      <alignment horizontal="center" vertical="top"/>
    </xf>
    <xf numFmtId="0" fontId="46" fillId="27" borderId="85" xfId="18" applyBorder="1" applyAlignment="1">
      <alignment horizontal="center" vertical="top"/>
    </xf>
    <xf numFmtId="0" fontId="43" fillId="0" borderId="0" xfId="0" applyFont="1"/>
    <xf numFmtId="0" fontId="5" fillId="0" borderId="3" xfId="0" applyFont="1" applyBorder="1" applyAlignment="1">
      <alignment horizontal="center" vertical="center" wrapText="1"/>
    </xf>
    <xf numFmtId="0" fontId="0" fillId="0" borderId="0" xfId="0" applyAlignment="1">
      <alignment horizontal="center" vertical="center" wrapText="1"/>
    </xf>
    <xf numFmtId="0" fontId="0" fillId="14" borderId="0" xfId="0" applyFill="1" applyAlignment="1">
      <alignment horizontal="center"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0" fontId="0" fillId="0" borderId="21" xfId="0" applyBorder="1" applyAlignment="1">
      <alignment horizontal="left" vertical="center" wrapText="1"/>
    </xf>
    <xf numFmtId="0" fontId="12" fillId="0" borderId="0" xfId="0" applyFont="1" applyAlignment="1">
      <alignment horizontal="center" vertical="top"/>
    </xf>
    <xf numFmtId="0" fontId="12" fillId="0" borderId="3" xfId="0" applyFont="1" applyBorder="1" applyAlignment="1">
      <alignment horizontal="center" vertical="top"/>
    </xf>
    <xf numFmtId="0" fontId="12" fillId="0" borderId="0" xfId="0" applyFont="1" applyAlignment="1">
      <alignment horizontal="center"/>
    </xf>
    <xf numFmtId="0" fontId="12" fillId="0" borderId="3" xfId="0" applyFont="1" applyBorder="1" applyAlignment="1">
      <alignment horizontal="center"/>
    </xf>
    <xf numFmtId="0" fontId="0" fillId="0" borderId="3" xfId="0" applyBorder="1" applyAlignment="1">
      <alignment horizontal="center" vertical="center" wrapText="1"/>
    </xf>
    <xf numFmtId="0" fontId="12" fillId="0" borderId="2" xfId="0" applyFont="1" applyBorder="1" applyAlignment="1">
      <alignment horizontal="center"/>
    </xf>
    <xf numFmtId="0" fontId="0" fillId="0" borderId="28" xfId="0" applyBorder="1" applyAlignment="1">
      <alignment horizontal="left" vertical="center" wrapText="1"/>
    </xf>
    <xf numFmtId="0" fontId="0" fillId="0" borderId="24" xfId="0" applyBorder="1" applyAlignment="1">
      <alignment horizontal="left" vertical="center" wrapText="1"/>
    </xf>
    <xf numFmtId="0" fontId="0" fillId="0" borderId="12" xfId="0" applyBorder="1" applyAlignment="1">
      <alignment horizontal="left" vertical="center" wrapText="1"/>
    </xf>
    <xf numFmtId="0" fontId="10" fillId="10" borderId="13" xfId="7" applyFont="1" applyBorder="1" applyAlignment="1">
      <alignment horizontal="center" vertical="top"/>
    </xf>
    <xf numFmtId="0" fontId="9" fillId="9" borderId="25" xfId="6" applyBorder="1" applyAlignment="1">
      <alignment horizontal="center" vertical="center"/>
    </xf>
    <xf numFmtId="0" fontId="9" fillId="9" borderId="26" xfId="6" applyBorder="1" applyAlignment="1">
      <alignment horizontal="center" vertical="center"/>
    </xf>
    <xf numFmtId="0" fontId="10" fillId="8" borderId="67" xfId="0" applyFont="1" applyFill="1" applyBorder="1" applyAlignment="1">
      <alignment horizontal="center" vertical="center" wrapText="1"/>
    </xf>
    <xf numFmtId="0" fontId="10" fillId="8" borderId="65" xfId="0" applyFont="1" applyFill="1" applyBorder="1" applyAlignment="1">
      <alignment horizontal="center" vertical="center" wrapText="1"/>
    </xf>
    <xf numFmtId="0" fontId="10" fillId="8" borderId="66" xfId="0" applyFont="1" applyFill="1" applyBorder="1" applyAlignment="1">
      <alignment horizontal="center" vertical="center" wrapText="1"/>
    </xf>
    <xf numFmtId="0" fontId="16" fillId="12" borderId="5" xfId="4" applyFont="1" applyFill="1" applyBorder="1" applyAlignment="1">
      <alignment horizontal="right" vertical="center" textRotation="90"/>
    </xf>
    <xf numFmtId="0" fontId="16" fillId="12" borderId="7" xfId="4" applyFont="1" applyFill="1" applyBorder="1" applyAlignment="1">
      <alignment horizontal="right" vertical="center" textRotation="90"/>
    </xf>
    <xf numFmtId="0" fontId="16" fillId="12" borderId="21" xfId="4" applyFont="1" applyFill="1" applyBorder="1" applyAlignment="1">
      <alignment horizontal="right" vertical="center" textRotation="90"/>
    </xf>
    <xf numFmtId="0" fontId="13" fillId="7" borderId="5" xfId="4" applyFont="1" applyFill="1" applyBorder="1" applyAlignment="1">
      <alignment horizontal="right" vertical="center" textRotation="90"/>
    </xf>
    <xf numFmtId="0" fontId="13" fillId="7" borderId="7" xfId="4" applyFont="1" applyFill="1" applyBorder="1" applyAlignment="1">
      <alignment horizontal="right" vertical="center" textRotation="90"/>
    </xf>
    <xf numFmtId="0" fontId="13" fillId="7" borderId="21" xfId="4" applyFont="1" applyFill="1" applyBorder="1" applyAlignment="1">
      <alignment horizontal="right" vertical="center" textRotation="90"/>
    </xf>
    <xf numFmtId="0" fontId="10" fillId="8" borderId="61" xfId="0" applyFont="1" applyFill="1" applyBorder="1" applyAlignment="1">
      <alignment horizontal="center" vertical="center" wrapText="1"/>
    </xf>
    <xf numFmtId="0" fontId="10" fillId="8" borderId="62" xfId="0" applyFont="1" applyFill="1" applyBorder="1" applyAlignment="1">
      <alignment horizontal="center" vertical="center" wrapText="1"/>
    </xf>
    <xf numFmtId="0" fontId="10" fillId="8" borderId="69" xfId="0" applyFont="1" applyFill="1" applyBorder="1" applyAlignment="1">
      <alignment horizontal="center" vertical="center" wrapText="1"/>
    </xf>
    <xf numFmtId="0" fontId="0" fillId="0" borderId="7" xfId="0" applyBorder="1" applyAlignment="1">
      <alignment horizontal="center" vertical="center" wrapText="1"/>
    </xf>
    <xf numFmtId="0" fontId="10" fillId="8" borderId="64" xfId="0" applyFont="1" applyFill="1" applyBorder="1" applyAlignment="1">
      <alignment horizontal="center" vertical="center" wrapText="1"/>
    </xf>
    <xf numFmtId="0" fontId="10" fillId="8" borderId="68" xfId="0" applyFont="1" applyFill="1" applyBorder="1" applyAlignment="1">
      <alignment horizontal="center" vertical="center" wrapText="1"/>
    </xf>
    <xf numFmtId="0" fontId="12" fillId="4" borderId="22" xfId="5" applyFont="1" applyBorder="1" applyAlignment="1">
      <alignment horizontal="right" vertical="center"/>
    </xf>
    <xf numFmtId="0" fontId="12" fillId="4" borderId="23" xfId="5" applyFont="1" applyBorder="1" applyAlignment="1">
      <alignment horizontal="right" vertical="center"/>
    </xf>
    <xf numFmtId="0" fontId="12" fillId="4" borderId="22" xfId="5" applyFont="1" applyBorder="1" applyAlignment="1">
      <alignment horizontal="center" vertical="top"/>
    </xf>
    <xf numFmtId="0" fontId="12" fillId="4" borderId="23" xfId="5" applyFont="1" applyBorder="1" applyAlignment="1">
      <alignment horizontal="center" vertical="top"/>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12" xfId="0" applyBorder="1" applyAlignment="1">
      <alignment horizontal="center" vertical="center" wrapText="1"/>
    </xf>
    <xf numFmtId="0" fontId="10" fillId="8" borderId="63" xfId="0" applyFont="1" applyFill="1" applyBorder="1" applyAlignment="1">
      <alignment horizontal="center" vertical="center" wrapText="1"/>
    </xf>
    <xf numFmtId="0" fontId="13" fillId="7" borderId="4" xfId="4" applyFont="1" applyFill="1" applyBorder="1" applyAlignment="1">
      <alignment horizontal="right" vertical="center" textRotation="90"/>
    </xf>
    <xf numFmtId="0" fontId="13" fillId="7" borderId="80" xfId="4" applyFont="1" applyFill="1" applyBorder="1" applyAlignment="1">
      <alignment horizontal="right" vertical="center" textRotation="90"/>
    </xf>
    <xf numFmtId="0" fontId="13" fillId="7" borderId="6" xfId="4" applyFont="1" applyFill="1" applyBorder="1" applyAlignment="1">
      <alignment horizontal="right" vertical="center" textRotation="90"/>
    </xf>
    <xf numFmtId="0" fontId="16" fillId="12" borderId="2" xfId="4" applyFont="1" applyFill="1" applyBorder="1" applyAlignment="1">
      <alignment horizontal="right" vertical="center" textRotation="90"/>
    </xf>
    <xf numFmtId="0" fontId="16" fillId="12" borderId="0" xfId="4" applyFont="1" applyFill="1" applyBorder="1" applyAlignment="1">
      <alignment horizontal="right" vertical="center" textRotation="90"/>
    </xf>
    <xf numFmtId="0" fontId="16" fillId="12" borderId="3" xfId="4" applyFont="1" applyFill="1" applyBorder="1" applyAlignment="1">
      <alignment horizontal="right" vertical="center" textRotation="90"/>
    </xf>
    <xf numFmtId="0" fontId="10" fillId="10" borderId="70" xfId="7" applyFont="1" applyBorder="1" applyAlignment="1">
      <alignment horizontal="center" vertical="top"/>
    </xf>
    <xf numFmtId="0" fontId="12" fillId="4" borderId="13" xfId="5" applyFont="1" applyBorder="1" applyAlignment="1">
      <alignment horizontal="center" vertical="top"/>
    </xf>
    <xf numFmtId="0" fontId="16" fillId="12" borderId="4" xfId="4" applyFont="1" applyFill="1" applyBorder="1" applyAlignment="1">
      <alignment horizontal="right" vertical="center" textRotation="90"/>
    </xf>
    <xf numFmtId="0" fontId="16" fillId="12" borderId="80" xfId="4" applyFont="1" applyFill="1" applyBorder="1" applyAlignment="1">
      <alignment horizontal="right" vertical="center" textRotation="90"/>
    </xf>
    <xf numFmtId="0" fontId="16" fillId="12" borderId="6" xfId="4" applyFont="1" applyFill="1" applyBorder="1" applyAlignment="1">
      <alignment horizontal="right" vertical="center" textRotation="90"/>
    </xf>
    <xf numFmtId="0" fontId="10" fillId="8" borderId="31" xfId="0" applyFont="1" applyFill="1" applyBorder="1" applyAlignment="1">
      <alignment horizontal="center" vertical="center" wrapText="1"/>
    </xf>
    <xf numFmtId="0" fontId="10" fillId="8" borderId="32" xfId="0" applyFont="1" applyFill="1" applyBorder="1" applyAlignment="1">
      <alignment horizontal="center" vertical="center" wrapText="1"/>
    </xf>
    <xf numFmtId="0" fontId="10" fillId="8" borderId="33" xfId="0" applyFont="1" applyFill="1" applyBorder="1" applyAlignment="1">
      <alignment horizontal="center" vertical="center" wrapText="1"/>
    </xf>
    <xf numFmtId="0" fontId="12" fillId="4" borderId="25" xfId="5" applyFont="1" applyBorder="1" applyAlignment="1">
      <alignment horizontal="right" vertical="center"/>
    </xf>
    <xf numFmtId="0" fontId="12" fillId="4" borderId="26" xfId="5" applyFont="1" applyBorder="1" applyAlignment="1">
      <alignment horizontal="right" vertical="center"/>
    </xf>
    <xf numFmtId="0" fontId="10" fillId="8" borderId="34" xfId="0" applyFont="1" applyFill="1" applyBorder="1" applyAlignment="1">
      <alignment horizontal="center" vertical="center" wrapText="1"/>
    </xf>
    <xf numFmtId="0" fontId="10" fillId="8" borderId="35" xfId="0" applyFont="1" applyFill="1" applyBorder="1" applyAlignment="1">
      <alignment horizontal="center" vertical="center" wrapText="1"/>
    </xf>
    <xf numFmtId="0" fontId="18" fillId="0" borderId="3" xfId="0" applyFont="1" applyBorder="1" applyAlignment="1">
      <alignment horizontal="center" vertical="center" wrapText="1"/>
    </xf>
    <xf numFmtId="0" fontId="49" fillId="0" borderId="79" xfId="2" applyFont="1" applyBorder="1" applyAlignment="1">
      <alignment horizontal="center"/>
    </xf>
    <xf numFmtId="0" fontId="7" fillId="0" borderId="8" xfId="2" applyAlignment="1">
      <alignment horizontal="center"/>
    </xf>
    <xf numFmtId="49" fontId="7" fillId="0" borderId="5" xfId="2" applyNumberFormat="1" applyBorder="1" applyAlignment="1">
      <alignment horizontal="center"/>
    </xf>
    <xf numFmtId="49" fontId="7" fillId="0" borderId="2" xfId="2" applyNumberFormat="1" applyBorder="1" applyAlignment="1">
      <alignment horizontal="center"/>
    </xf>
    <xf numFmtId="49" fontId="7" fillId="0" borderId="4" xfId="2" applyNumberFormat="1" applyBorder="1" applyAlignment="1">
      <alignment horizontal="center"/>
    </xf>
    <xf numFmtId="0" fontId="5" fillId="0" borderId="91" xfId="0" applyFont="1" applyBorder="1" applyAlignment="1">
      <alignment horizontal="center" vertical="center" wrapText="1"/>
    </xf>
    <xf numFmtId="0" fontId="18" fillId="0" borderId="91" xfId="0" applyFont="1" applyBorder="1" applyAlignment="1">
      <alignment horizontal="center" vertical="center" wrapText="1"/>
    </xf>
    <xf numFmtId="0" fontId="12" fillId="4" borderId="89" xfId="5" applyFont="1" applyBorder="1" applyAlignment="1">
      <alignment horizontal="right" vertical="center"/>
    </xf>
    <xf numFmtId="0" fontId="12" fillId="4" borderId="90" xfId="5" applyFont="1" applyBorder="1" applyAlignment="1">
      <alignment horizontal="right" vertical="center"/>
    </xf>
    <xf numFmtId="0" fontId="12" fillId="4" borderId="88" xfId="5" applyFont="1" applyBorder="1" applyAlignment="1">
      <alignment horizontal="right" vertical="center"/>
    </xf>
    <xf numFmtId="0" fontId="12" fillId="4" borderId="88" xfId="5" applyFont="1" applyBorder="1" applyAlignment="1">
      <alignment horizontal="center" vertical="top"/>
    </xf>
    <xf numFmtId="0" fontId="12" fillId="4" borderId="8" xfId="5" applyFont="1" applyBorder="1" applyAlignment="1">
      <alignment horizontal="center" vertical="top"/>
    </xf>
    <xf numFmtId="0" fontId="2" fillId="0" borderId="56" xfId="0" applyFont="1" applyBorder="1" applyAlignment="1">
      <alignment horizontal="left" vertical="center"/>
    </xf>
    <xf numFmtId="0" fontId="2" fillId="0" borderId="55" xfId="0" applyFont="1" applyBorder="1" applyAlignment="1">
      <alignment horizontal="lef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10" fillId="14" borderId="0" xfId="0" applyFont="1" applyFill="1" applyAlignment="1">
      <alignment horizontal="center"/>
    </xf>
  </cellXfs>
  <cellStyles count="19">
    <cellStyle name="20% - Accent1" xfId="11" builtinId="30"/>
    <cellStyle name="20% - Accent2" xfId="13" builtinId="34"/>
    <cellStyle name="20% - Accent3" xfId="15" builtinId="38"/>
    <cellStyle name="20% - Accent5" xfId="4" builtinId="46"/>
    <cellStyle name="40% - Accent4" xfId="3" builtinId="43"/>
    <cellStyle name="60% - Accent1" xfId="12" builtinId="32"/>
    <cellStyle name="60% - Accent2" xfId="14" builtinId="36"/>
    <cellStyle name="60% - Accent3" xfId="16" builtinId="40"/>
    <cellStyle name="60% - Accent4" xfId="6" builtinId="44"/>
    <cellStyle name="60% - Accent5" xfId="5" builtinId="48"/>
    <cellStyle name="60% - Accent6" xfId="7" builtinId="52"/>
    <cellStyle name="Accent1" xfId="9" builtinId="29"/>
    <cellStyle name="Accent2" xfId="17" builtinId="33"/>
    <cellStyle name="Accent3" xfId="18" builtinId="37"/>
    <cellStyle name="Explanatory Text" xfId="10" builtinId="53"/>
    <cellStyle name="Heading 1" xfId="2" builtinId="16"/>
    <cellStyle name="Heading 3" xfId="1" builtinId="18"/>
    <cellStyle name="Neutral" xfId="8" builtinId="28"/>
    <cellStyle name="Normal" xfId="0" builtinId="0"/>
  </cellStyles>
  <dxfs count="1052">
    <dxf>
      <fill>
        <patternFill>
          <bgColor rgb="FF66FF66"/>
        </patternFill>
      </fill>
    </dxf>
    <dxf>
      <fill>
        <patternFill>
          <bgColor rgb="FFFFFF00"/>
        </patternFill>
      </fill>
    </dxf>
    <dxf>
      <fill>
        <patternFill>
          <bgColor rgb="FFFFFF00"/>
        </patternFill>
      </fill>
      <border>
        <left style="thin">
          <color rgb="FFFF0000"/>
        </left>
        <right style="thin">
          <color rgb="FFFF0000"/>
        </right>
        <top style="thin">
          <color rgb="FFFF0000"/>
        </top>
        <bottom style="thin">
          <color rgb="FFFF0000"/>
        </bottom>
        <vertical/>
        <horizontal/>
      </border>
    </dxf>
    <dxf>
      <font>
        <b val="0"/>
        <i/>
        <color theme="0" tint="-0.499984740745262"/>
      </font>
      <fill>
        <patternFill>
          <bgColor rgb="FFCCCC00"/>
        </patternFill>
      </fill>
    </dxf>
    <dxf>
      <font>
        <b val="0"/>
        <i/>
        <color theme="0" tint="-0.499984740745262"/>
      </font>
      <fill>
        <patternFill>
          <bgColor rgb="FFCCCC00"/>
        </patternFill>
      </fill>
    </dxf>
    <dxf>
      <fill>
        <patternFill>
          <bgColor theme="0" tint="-0.14996795556505021"/>
        </patternFill>
      </fill>
    </dxf>
    <dxf>
      <font>
        <b val="0"/>
        <i/>
        <color theme="0" tint="-0.499984740745262"/>
      </font>
      <fill>
        <patternFill>
          <bgColor rgb="FFCCCC00"/>
        </patternFill>
      </fill>
    </dxf>
    <dxf>
      <fill>
        <patternFill>
          <bgColor rgb="FF66FF66"/>
        </patternFill>
      </fill>
    </dxf>
    <dxf>
      <fill>
        <patternFill>
          <bgColor rgb="FFFFFF00"/>
        </patternFill>
      </fill>
    </dxf>
    <dxf>
      <border diagonalUp="0" diagonalDown="0">
        <left style="medium">
          <color indexed="64"/>
        </left>
        <right style="medium">
          <color indexed="64"/>
        </right>
        <top style="medium">
          <color indexed="64"/>
        </top>
        <bottom style="medium">
          <color indexed="64"/>
        </bottom>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top style="thin">
          <color theme="0"/>
        </top>
        <bottom style="thin">
          <color theme="0"/>
        </bottom>
        <horizontal style="thin">
          <color theme="0"/>
        </horizontal>
      </border>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border diagonalUp="0" diagonalDown="0">
        <right/>
        <top style="thin">
          <color theme="0"/>
        </top>
        <bottom style="thin">
          <color theme="0"/>
        </bottom>
        <vertical/>
        <horizontal style="thin">
          <color theme="0"/>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border diagonalUp="0" diagonalDown="0">
        <left/>
        <right/>
        <top style="thin">
          <color theme="0"/>
        </top>
        <bottom style="thin">
          <color theme="0"/>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alignment horizontal="general" vertical="center" textRotation="0" wrapText="0" indent="0" justifyLastLine="0" shrinkToFit="0" readingOrder="0"/>
      <border diagonalUp="0" diagonalDown="0">
        <left/>
        <right style="medium">
          <color indexed="64"/>
        </right>
        <top style="medium">
          <color indexed="64"/>
        </top>
        <bottom style="medium">
          <color indexed="64"/>
        </bottom>
        <vertical/>
        <horizontal/>
      </border>
    </dxf>
    <dxf>
      <border outline="0">
        <left style="medium">
          <color indexed="64"/>
        </left>
        <right style="medium">
          <color indexed="64"/>
        </right>
        <bottom style="medium">
          <color indexed="64"/>
        </bottom>
      </border>
    </dxf>
    <dxf>
      <border outline="0">
        <bottom style="medium">
          <color indexed="64"/>
        </bottom>
      </border>
    </dxf>
    <dxf>
      <numFmt numFmtId="30" formatCode="@"/>
      <border diagonalUp="0" diagonalDown="0" outline="0">
        <left style="medium">
          <color indexed="64"/>
        </left>
        <right style="medium">
          <color indexed="64"/>
        </right>
        <top/>
        <bottom/>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medium">
          <color indexed="64"/>
        </right>
        <top style="medium">
          <color indexed="64"/>
        </top>
        <bottom style="medium">
          <color indexed="64"/>
        </bottom>
        <vertical/>
        <horizontal/>
      </border>
    </dxf>
    <dxf>
      <font>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4"/>
        <color rgb="FF000000"/>
        <name val="Courier New"/>
        <scheme val="none"/>
      </font>
      <numFmt numFmtId="0" formatCode="General"/>
      <alignment horizontal="general" vertical="center" textRotation="0" wrapText="0" indent="0" justifyLastLine="0" shrinkToFit="0" readingOrder="0"/>
      <border diagonalUp="0" diagonalDown="0">
        <left style="thick">
          <color indexed="64"/>
        </left>
        <right style="thick">
          <color indexed="64"/>
        </right>
        <top style="medium">
          <color indexed="64"/>
        </top>
        <bottom style="medium">
          <color indexed="64"/>
        </bottom>
        <vertical/>
        <horizontal/>
      </border>
    </dxf>
    <dxf>
      <font>
        <b val="0"/>
        <i val="0"/>
        <strike val="0"/>
        <condense val="0"/>
        <extend val="0"/>
        <outline val="0"/>
        <shadow val="0"/>
        <u val="none"/>
        <vertAlign val="baseline"/>
        <sz val="11"/>
        <color theme="1"/>
        <name val="Aptos"/>
        <scheme val="none"/>
      </font>
      <numFmt numFmtId="0" formatCode="General"/>
      <alignment horizontal="general" vertical="center" textRotation="0" wrapText="0" indent="0" justifyLastLine="0" shrinkToFit="0" readingOrder="0"/>
      <border diagonalUp="0" diagonalDown="0">
        <left style="medium">
          <color indexed="64"/>
        </left>
        <right style="medium">
          <color indexed="64"/>
        </right>
        <top style="medium">
          <color indexed="64"/>
        </top>
        <bottom style="medium">
          <color indexed="64"/>
        </bottom>
        <vertical/>
        <horizontal/>
      </border>
    </dxf>
    <dxf>
      <border outline="0">
        <top style="thick">
          <color theme="4"/>
        </top>
      </border>
    </dxf>
    <dxf>
      <border>
        <bottom style="medium">
          <color indexed="64"/>
        </bottom>
      </border>
    </dxf>
    <dxf>
      <numFmt numFmtId="30" formatCode="@"/>
      <border diagonalUp="0" diagonalDown="0">
        <left style="medium">
          <color indexed="64"/>
        </left>
        <right style="medium">
          <color indexed="64"/>
        </right>
        <top/>
        <bottom/>
        <vertical style="medium">
          <color indexed="64"/>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numFmt numFmtId="0" formatCode="General"/>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fill>
        <patternFill patternType="solid">
          <fgColor theme="8" tint="0.79998168889431442"/>
          <bgColor theme="8" tint="0.79998168889431442"/>
        </patternFill>
      </fill>
      <alignment horizontal="center" vertical="top" textRotation="0" wrapText="0" indent="0" justifyLastLine="0" shrinkToFit="0" readingOrder="0"/>
      <border diagonalUp="0" diagonalDown="0">
        <left style="thin">
          <color theme="0"/>
        </left>
        <right/>
        <top style="thin">
          <color theme="0"/>
        </top>
        <bottom/>
        <vertical/>
        <horizontal/>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numFmt numFmtId="0" formatCode="General"/>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rgb="FF000000"/>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double">
          <color rgb="FFD86DCD"/>
        </right>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rgb="FF000000"/>
        </bottom>
      </border>
    </dxf>
    <dxf>
      <font>
        <b val="0"/>
        <strike val="0"/>
        <outline val="0"/>
        <shadow val="0"/>
        <u val="none"/>
        <vertAlign val="baseline"/>
        <sz val="12"/>
        <color rgb="FF000000"/>
        <name val="Aptos Narrow"/>
        <scheme val="none"/>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right style="medium">
          <color indexed="64"/>
        </right>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strike val="0"/>
        <outline val="0"/>
        <shadow val="0"/>
        <u val="none"/>
        <vertAlign val="baseline"/>
        <sz val="12"/>
        <color theme="1"/>
        <name val="Aptos Narrow"/>
        <scheme val="minor"/>
      </font>
      <alignment horizontal="center" vertical="top" textRotation="0" wrapText="0" indent="0" justifyLastLine="0" shrinkToFit="0" readingOrder="0"/>
    </dxf>
    <dxf>
      <border outline="0">
        <bottom style="medium">
          <color indexed="64"/>
        </bottom>
      </border>
    </dxf>
    <dxf>
      <font>
        <b val="0"/>
        <strike val="0"/>
        <outline val="0"/>
        <shadow val="0"/>
        <u val="none"/>
        <vertAlign val="baseline"/>
        <sz val="12"/>
        <color theme="1"/>
        <name val="Aptos Narrow"/>
        <scheme val="minor"/>
      </font>
      <alignment horizontal="center" vertical="top" textRotation="0" wrapText="0" indent="0" justifyLastLine="0" shrinkToFit="0" readingOrder="0"/>
    </dxf>
    <dxf>
      <font>
        <b val="0"/>
        <i val="0"/>
        <strike val="0"/>
        <condense val="0"/>
        <extend val="0"/>
        <outline val="0"/>
        <shadow val="0"/>
        <u val="none"/>
        <vertAlign val="baseline"/>
        <sz val="12"/>
        <color theme="1"/>
        <name val="Aptos Narrow"/>
        <scheme val="minor"/>
      </font>
      <alignment horizontal="center" vertical="top" textRotation="0" wrapText="0" indent="0" justifyLastLine="0" shrinkToFit="0" readingOrder="0"/>
    </dxf>
  </dxfs>
  <tableStyles count="0" defaultTableStyle="TableStyleMedium2" defaultPivotStyle="PivotStyleLight16"/>
  <colors>
    <mruColors>
      <color rgb="FF66FF66"/>
      <color rgb="FFCCCC00"/>
      <color rgb="FFFF9900"/>
      <color rgb="FFD0AC95"/>
      <color rgb="FFA7FBFF"/>
      <color rgb="FFFFF2B9"/>
      <color rgb="FFCCFF99"/>
      <color rgb="FF3399FF"/>
      <color rgb="FFA5002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iagrams/colors1.xml><?xml version="1.0" encoding="utf-8"?>
<dgm:colorsDef xmlns:dgm="http://schemas.openxmlformats.org/drawingml/2006/diagram" xmlns:a="http://schemas.openxmlformats.org/drawingml/2006/main" uniqueId="urn:microsoft.com/office/officeart/2005/8/colors/accent0_1">
  <dgm:title val=""/>
  <dgm:desc val=""/>
  <dgm:catLst>
    <dgm:cat type="mainScheme" pri="10100"/>
  </dgm:catLst>
  <dgm:styleLbl name="node0">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lig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lnNode1">
    <dgm:fillClrLst meth="repeat">
      <a:schemeClr val="lt1"/>
    </dgm:fillClrLst>
    <dgm:linClrLst meth="repeat">
      <a:schemeClr val="dk1">
        <a:shade val="80000"/>
      </a:schemeClr>
    </dgm:linClrLst>
    <dgm:effectClrLst/>
    <dgm:txLinClrLst/>
    <dgm:txFillClrLst meth="repeat">
      <a:schemeClr val="dk1"/>
    </dgm:txFillClrLst>
    <dgm:txEffectClrLst/>
  </dgm:styleLbl>
  <dgm:styleLbl name="vennNode1">
    <dgm:fillClrLst meth="repeat">
      <a:schemeClr val="lt1">
        <a:alpha val="50000"/>
      </a:schemeClr>
    </dgm:fillClrLst>
    <dgm:linClrLst meth="repeat">
      <a:schemeClr val="dk1">
        <a:shade val="80000"/>
      </a:schemeClr>
    </dgm:linClrLst>
    <dgm:effectClrLst/>
    <dgm:txLinClrLst/>
    <dgm:txFillClrLst/>
    <dgm:txEffectClrLst/>
  </dgm:styleLbl>
  <dgm:styleLbl name="node2">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3">
    <dgm:fillClrLst meth="repeat">
      <a:schemeClr val="lt1"/>
    </dgm:fillClrLst>
    <dgm:linClrLst meth="repeat">
      <a:schemeClr val="dk1">
        <a:shade val="80000"/>
      </a:schemeClr>
    </dgm:linClrLst>
    <dgm:effectClrLst/>
    <dgm:txLinClrLst/>
    <dgm:txFillClrLst meth="repeat">
      <a:schemeClr val="dk1"/>
    </dgm:txFillClrLst>
    <dgm:txEffectClrLst/>
  </dgm:styleLbl>
  <dgm:styleLbl name="node4">
    <dgm:fillClrLst meth="repeat">
      <a:schemeClr val="lt1"/>
    </dgm:fillClrLst>
    <dgm:linClrLst meth="repeat">
      <a:schemeClr val="dk1">
        <a:shade val="80000"/>
      </a:schemeClr>
    </dgm:linClrLst>
    <dgm:effectClrLst/>
    <dgm:txLinClrLst/>
    <dgm:txFillClrLst meth="repeat">
      <a:schemeClr val="dk1"/>
    </dgm:txFillClrLst>
    <dgm:txEffectClrLst/>
  </dgm:styleLbl>
  <dgm:styleLbl name="f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align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bgImgPlace1">
    <dgm:fillClrLst meth="repeat">
      <a:schemeClr val="dk1">
        <a:tint val="40000"/>
      </a:schemeClr>
    </dgm:fillClrLst>
    <dgm:linClrLst meth="repeat">
      <a:schemeClr val="dk1">
        <a:shade val="80000"/>
      </a:schemeClr>
    </dgm:linClrLst>
    <dgm:effectClrLst/>
    <dgm:txLinClrLst/>
    <dgm:txFillClrLst meth="repeat">
      <a:schemeClr val="lt1"/>
    </dgm:txFillClrLst>
    <dgm:txEffectClrLst/>
  </dgm:styleLbl>
  <dgm:styleLbl name="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f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bgSibTrans2D1">
    <dgm:fillClrLst meth="repeat">
      <a:schemeClr val="dk1">
        <a:tint val="60000"/>
      </a:schemeClr>
    </dgm:fillClrLst>
    <dgm:linClrLst meth="repeat">
      <a:schemeClr val="dk1">
        <a:tint val="60000"/>
      </a:schemeClr>
    </dgm:linClrLst>
    <dgm:effectClrLst/>
    <dgm:txLinClrLst/>
    <dgm:txFillClrLst meth="repeat">
      <a:schemeClr val="dk1"/>
    </dgm:txFillClrLst>
    <dgm:txEffectClrLst/>
  </dgm:styleLbl>
  <dgm:styleLbl name="sibTrans1D1">
    <dgm:fillClrLst meth="repeat">
      <a:schemeClr val="dk1"/>
    </dgm:fillClrLst>
    <dgm:linClrLst meth="repeat">
      <a:schemeClr val="dk1"/>
    </dgm:linClrLst>
    <dgm:effectClrLst/>
    <dgm:txLinClrLst/>
    <dgm:txFillClrLst meth="repeat">
      <a:schemeClr val="tx1"/>
    </dgm:txFillClrLst>
    <dgm:txEffectClrLst/>
  </dgm:styleLbl>
  <dgm:styleLbl name="callout">
    <dgm:fillClrLst meth="repeat">
      <a:schemeClr val="dk1"/>
    </dgm:fillClrLst>
    <dgm:linClrLst meth="repeat">
      <a:schemeClr val="dk1"/>
    </dgm:linClrLst>
    <dgm:effectClrLst/>
    <dgm:txLinClrLst/>
    <dgm:txFillClrLst meth="repeat">
      <a:schemeClr val="tx1"/>
    </dgm:txFillClrLst>
    <dgm:txEffectClrLst/>
  </dgm:styleLbl>
  <dgm:styleLbl name="asst0">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1">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2">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3">
    <dgm:fillClrLst meth="repeat">
      <a:schemeClr val="lt1"/>
    </dgm:fillClrLst>
    <dgm:linClrLst meth="repeat">
      <a:schemeClr val="dk1">
        <a:shade val="80000"/>
      </a:schemeClr>
    </dgm:linClrLst>
    <dgm:effectClrLst/>
    <dgm:txLinClrLst/>
    <dgm:txFillClrLst meth="repeat">
      <a:schemeClr val="dk1"/>
    </dgm:txFillClrLst>
    <dgm:txEffectClrLst/>
  </dgm:styleLbl>
  <dgm:styleLbl name="asst4">
    <dgm:fillClrLst meth="repeat">
      <a:schemeClr val="lt1"/>
    </dgm:fillClrLst>
    <dgm:linClrLst meth="repeat">
      <a:schemeClr val="dk1">
        <a:shade val="80000"/>
      </a:schemeClr>
    </dgm:linClrLst>
    <dgm:effectClrLst/>
    <dgm:txLinClrLst/>
    <dgm:txFillClrLst meth="repeat">
      <a:schemeClr val="dk1"/>
    </dgm:txFillClrLst>
    <dgm:txEffectClrLst/>
  </dgm:styleLbl>
  <dgm:styleLbl name="parChTrans2D1">
    <dgm:fillClrLst meth="repeat">
      <a:schemeClr val="dk1">
        <a:tint val="60000"/>
      </a:schemeClr>
    </dgm:fillClrLst>
    <dgm:linClrLst meth="repeat">
      <a:schemeClr val="dk1">
        <a:tint val="60000"/>
      </a:schemeClr>
    </dgm:linClrLst>
    <dgm:effectClrLst/>
    <dgm:txLinClrLst/>
    <dgm:txFillClrLst/>
    <dgm:txEffectClrLst/>
  </dgm:styleLbl>
  <dgm:styleLbl name="parChTrans2D2">
    <dgm:fillClrLst meth="repeat">
      <a:schemeClr val="dk1"/>
    </dgm:fillClrLst>
    <dgm:linClrLst meth="repeat">
      <a:schemeClr val="dk1"/>
    </dgm:linClrLst>
    <dgm:effectClrLst/>
    <dgm:txLinClrLst/>
    <dgm:txFillClrLst/>
    <dgm:txEffectClrLst/>
  </dgm:styleLbl>
  <dgm:styleLbl name="parChTrans2D3">
    <dgm:fillClrLst meth="repeat">
      <a:schemeClr val="dk1"/>
    </dgm:fillClrLst>
    <dgm:linClrLst meth="repeat">
      <a:schemeClr val="dk1"/>
    </dgm:linClrLst>
    <dgm:effectClrLst/>
    <dgm:txLinClrLst/>
    <dgm:txFillClrLst/>
    <dgm:txEffectClrLst/>
  </dgm:styleLbl>
  <dgm:styleLbl name="parChTrans2D4">
    <dgm:fillClrLst meth="repeat">
      <a:schemeClr val="dk1"/>
    </dgm:fillClrLst>
    <dgm:linClrLst meth="repeat">
      <a:schemeClr val="dk1"/>
    </dgm:linClrLst>
    <dgm:effectClrLst/>
    <dgm:txLinClrLst/>
    <dgm:txFillClrLst meth="repeat">
      <a:schemeClr val="lt1"/>
    </dgm:txFillClrLst>
    <dgm:txEffectClrLst/>
  </dgm:styleLbl>
  <dgm:styleLbl name="parChTrans1D1">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2">
    <dgm:fillClrLst meth="repeat">
      <a:schemeClr val="dk1"/>
    </dgm:fillClrLst>
    <dgm:linClrLst meth="repeat">
      <a:schemeClr val="dk1">
        <a:shade val="60000"/>
      </a:schemeClr>
    </dgm:linClrLst>
    <dgm:effectClrLst/>
    <dgm:txLinClrLst/>
    <dgm:txFillClrLst meth="repeat">
      <a:schemeClr val="tx1"/>
    </dgm:txFillClrLst>
    <dgm:txEffectClrLst/>
  </dgm:styleLbl>
  <dgm:styleLbl name="parChTrans1D3">
    <dgm:fillClrLst meth="repeat">
      <a:schemeClr val="dk1"/>
    </dgm:fillClrLst>
    <dgm:linClrLst meth="repeat">
      <a:schemeClr val="dk1">
        <a:shade val="80000"/>
      </a:schemeClr>
    </dgm:linClrLst>
    <dgm:effectClrLst/>
    <dgm:txLinClrLst/>
    <dgm:txFillClrLst meth="repeat">
      <a:schemeClr val="tx1"/>
    </dgm:txFillClrLst>
    <dgm:txEffectClrLst/>
  </dgm:styleLbl>
  <dgm:styleLbl name="parChTrans1D4">
    <dgm:fillClrLst meth="repeat">
      <a:schemeClr val="dk1"/>
    </dgm:fillClrLst>
    <dgm:linClrLst meth="repeat">
      <a:schemeClr val="dk1">
        <a:shade val="80000"/>
      </a:schemeClr>
    </dgm:linClrLst>
    <dgm:effectClrLst/>
    <dgm:txLinClrLst/>
    <dgm:txFillClrLst meth="repeat">
      <a:schemeClr val="tx1"/>
    </dgm:txFillClrLst>
    <dgm:txEffectClrLst/>
  </dgm:styleLbl>
  <dgm:styleLbl name="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conF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align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trAlignAcc1">
    <dgm:fillClrLst meth="repeat">
      <a:schemeClr val="dk1">
        <a:alpha val="40000"/>
        <a:tint val="40000"/>
      </a:schemeClr>
    </dgm:fillClrLst>
    <dgm:linClrLst meth="repeat">
      <a:schemeClr val="dk1"/>
    </dgm:linClrLst>
    <dgm:effectClrLst/>
    <dgm:txLinClrLst/>
    <dgm:txFillClrLst meth="repeat">
      <a:schemeClr val="dk1"/>
    </dgm:txFillClrLst>
    <dgm:txEffectClrLst/>
  </dgm:styleLbl>
  <dgm:styleLbl name="bgAcc1">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solidFgAcc1">
    <dgm:fillClrLst meth="repeat">
      <a:schemeClr val="lt1"/>
    </dgm:fillClrLst>
    <dgm:linClrLst meth="repeat">
      <a:schemeClr val="dk1"/>
    </dgm:linClrLst>
    <dgm:effectClrLst/>
    <dgm:txLinClrLst/>
    <dgm:txFillClrLst meth="repeat">
      <a:schemeClr val="dk1"/>
    </dgm:txFillClrLst>
    <dgm:txEffectClrLst/>
  </dgm:styleLbl>
  <dgm:styleLbl name="solidAlignAcc1">
    <dgm:fillClrLst meth="repeat">
      <a:schemeClr val="lt1"/>
    </dgm:fillClrLst>
    <dgm:linClrLst meth="repeat">
      <a:schemeClr val="dk1"/>
    </dgm:linClrLst>
    <dgm:effectClrLst/>
    <dgm:txLinClrLst/>
    <dgm:txFillClrLst meth="repeat">
      <a:schemeClr val="dk1"/>
    </dgm:txFillClrLst>
    <dgm:txEffectClrLst/>
  </dgm:styleLbl>
  <dgm:styleLbl name="solidBgAcc1">
    <dgm:fillClrLst meth="repeat">
      <a:schemeClr val="lt1"/>
    </dgm:fillClrLst>
    <dgm:linClrLst meth="repeat">
      <a:schemeClr val="dk1"/>
    </dgm:linClrLst>
    <dgm:effectClrLst/>
    <dgm:txLinClrLst/>
    <dgm:txFillClrLst meth="repeat">
      <a:schemeClr val="dk1"/>
    </dgm:txFillClrLst>
    <dgm:txEffectClrLst/>
  </dgm:styleLbl>
  <dgm:styleLbl name="f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align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bgAccFollowNode1">
    <dgm:fillClrLst meth="repeat">
      <a:schemeClr val="lt1">
        <a:alpha val="90000"/>
        <a:tint val="40000"/>
      </a:schemeClr>
    </dgm:fillClrLst>
    <dgm:linClrLst meth="repeat">
      <a:schemeClr val="dk1">
        <a:alpha val="90000"/>
      </a:schemeClr>
    </dgm:linClrLst>
    <dgm:effectClrLst/>
    <dgm:txLinClrLst/>
    <dgm:txFillClrLst meth="repeat">
      <a:schemeClr val="dk1"/>
    </dgm:txFillClrLst>
    <dgm:txEffectClrLst/>
  </dgm:styleLbl>
  <dgm:styleLbl name="fgAcc0">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2">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3">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fgAcc4">
    <dgm:fillClrLst meth="repeat">
      <a:schemeClr val="dk1">
        <a:alpha val="90000"/>
        <a:tint val="40000"/>
      </a:schemeClr>
    </dgm:fillClrLst>
    <dgm:linClrLst meth="repeat">
      <a:schemeClr val="dk1"/>
    </dgm:linClrLst>
    <dgm:effectClrLst/>
    <dgm:txLinClrLst/>
    <dgm:txFillClrLst meth="repeat">
      <a:schemeClr val="dk1"/>
    </dgm:txFillClrLst>
    <dgm:txEffectClrLst/>
  </dgm:styleLbl>
  <dgm:styleLbl name="bgShp">
    <dgm:fillClrLst meth="repeat">
      <a:schemeClr val="dk1">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dk1">
        <a:shade val="80000"/>
      </a:schemeClr>
    </dgm:fillClrLst>
    <dgm:linClrLst meth="repeat">
      <a:schemeClr val="dk1"/>
    </dgm:linClrLst>
    <dgm:effectClrLst/>
    <dgm:txLinClrLst/>
    <dgm:txFillClrLst meth="repeat">
      <a:schemeClr val="lt1"/>
    </dgm:txFillClrLst>
    <dgm:txEffectClrLst/>
  </dgm:styleLbl>
  <dgm:styleLbl name="trBgShp">
    <dgm:fillClrLst meth="repeat">
      <a:schemeClr val="dk1">
        <a:tint val="50000"/>
        <a:alpha val="40000"/>
      </a:schemeClr>
    </dgm:fillClrLst>
    <dgm:linClrLst meth="repeat">
      <a:schemeClr val="dk1"/>
    </dgm:linClrLst>
    <dgm:effectClrLst/>
    <dgm:txLinClrLst/>
    <dgm:txFillClrLst meth="repeat">
      <a:schemeClr val="lt1"/>
    </dgm:txFillClrLst>
    <dgm:txEffectClrLst/>
  </dgm:styleLbl>
  <dgm:styleLbl name="fgShp">
    <dgm:fillClrLst meth="repeat">
      <a:schemeClr val="dk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E11C2CE7-F243-4F6E-9D3B-6A7F5BC585D0}" type="doc">
      <dgm:prSet loTypeId="urn:microsoft.com/office/officeart/2005/8/layout/hierarchy2" loCatId="hierarchy" qsTypeId="urn:microsoft.com/office/officeart/2005/8/quickstyle/simple1" qsCatId="simple" csTypeId="urn:microsoft.com/office/officeart/2005/8/colors/accent0_1" csCatId="mainScheme" phldr="1"/>
      <dgm:spPr/>
      <dgm:t>
        <a:bodyPr/>
        <a:lstStyle/>
        <a:p>
          <a:endParaRPr lang="en-CA"/>
        </a:p>
      </dgm:t>
    </dgm:pt>
    <dgm:pt modelId="{4BEC090C-1E15-4161-8659-B6B7DA165CC0}">
      <dgm:prSet phldrT="[Text]" custT="1"/>
      <dgm:spPr/>
      <dgm:t>
        <a:bodyPr/>
        <a:lstStyle/>
        <a:p>
          <a:r>
            <a:rPr lang="en-US" sz="1400" dirty="0"/>
            <a:t>Do the interiors of </a:t>
          </a:r>
          <a:r>
            <a:rPr lang="en-US" sz="1400" b="1" dirty="0">
              <a:solidFill>
                <a:srgbClr val="00B0F0"/>
              </a:solidFill>
            </a:rPr>
            <a:t>A</a:t>
          </a:r>
          <a:r>
            <a:rPr lang="en-US" sz="1400" dirty="0"/>
            <a:t> and </a:t>
          </a:r>
          <a:r>
            <a:rPr lang="en-US" sz="1400" b="1" dirty="0">
              <a:solidFill>
                <a:srgbClr val="00B050"/>
              </a:solidFill>
            </a:rPr>
            <a:t>B </a:t>
          </a:r>
          <a:r>
            <a:rPr lang="en-US" sz="1400" dirty="0"/>
            <a:t>overlap?</a:t>
          </a:r>
        </a:p>
      </dgm:t>
    </dgm:pt>
    <dgm:pt modelId="{9EBE5B1D-83DE-4957-9892-FCDD2C4704CB}" type="parTrans" cxnId="{A4A7B68E-EDF0-4161-892F-3B1BFEB361AB}">
      <dgm:prSet/>
      <dgm:spPr/>
      <dgm:t>
        <a:bodyPr/>
        <a:lstStyle/>
        <a:p>
          <a:endParaRPr lang="en-CA"/>
        </a:p>
      </dgm:t>
    </dgm:pt>
    <dgm:pt modelId="{4CD070C9-978B-49EA-8790-2550A7262776}" type="sibTrans" cxnId="{A4A7B68E-EDF0-4161-892F-3B1BFEB361AB}">
      <dgm:prSet/>
      <dgm:spPr/>
      <dgm:t>
        <a:bodyPr/>
        <a:lstStyle/>
        <a:p>
          <a:endParaRPr lang="en-CA"/>
        </a:p>
      </dgm:t>
    </dgm:pt>
    <dgm:pt modelId="{7A3D1130-4F69-4E59-9ACC-5B640EBD6EFF}">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b="1" dirty="0">
            <a:solidFill>
              <a:srgbClr val="00B050"/>
            </a:solidFill>
          </a:endParaRPr>
        </a:p>
      </dgm:t>
    </dgm:pt>
    <dgm:pt modelId="{B41AB307-A081-4264-9130-95C84CE88154}" type="parTrans" cxnId="{DAD22DFD-05CA-4330-AD42-A5F28487B037}">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C78EE015-1D63-4783-95F7-35114C4686DE}" type="sibTrans" cxnId="{DAD22DFD-05CA-4330-AD42-A5F28487B037}">
      <dgm:prSet/>
      <dgm:spPr/>
      <dgm:t>
        <a:bodyPr/>
        <a:lstStyle/>
        <a:p>
          <a:endParaRPr lang="en-CA"/>
        </a:p>
      </dgm:t>
    </dgm:pt>
    <dgm:pt modelId="{181C735C-A399-4DA3-8589-B01A149985B6}">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Borders</a:t>
          </a:r>
          <a:r>
            <a:rPr lang="en-CA" sz="1400" dirty="0"/>
            <a:t> </a:t>
          </a:r>
          <a:r>
            <a:rPr lang="en-US" sz="1400" b="1" dirty="0">
              <a:solidFill>
                <a:srgbClr val="00B050"/>
              </a:solidFill>
            </a:rPr>
            <a:t>B</a:t>
          </a:r>
          <a:endParaRPr lang="en-CA" sz="1400" dirty="0"/>
        </a:p>
      </dgm:t>
    </dgm:pt>
    <dgm:pt modelId="{4FC62AB9-317C-4A1C-A0AD-C10D573B4C49}" type="parTrans" cxnId="{63AC4D0A-094A-4AF0-B717-D2FACE4B413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740954D0-DF39-40E1-8E68-C687849C8332}" type="sibTrans" cxnId="{63AC4D0A-094A-4AF0-B717-D2FACE4B4133}">
      <dgm:prSet/>
      <dgm:spPr/>
      <dgm:t>
        <a:bodyPr/>
        <a:lstStyle/>
        <a:p>
          <a:endParaRPr lang="en-CA"/>
        </a:p>
      </dgm:t>
    </dgm:pt>
    <dgm:pt modelId="{77B43507-91C0-4172-8210-B7BD86829BA3}">
      <dgm:prSe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lgn="ctr"/>
          <a:r>
            <a:rPr lang="en-US" sz="1400" b="1" dirty="0">
              <a:solidFill>
                <a:srgbClr val="00B0F0"/>
              </a:solidFill>
            </a:rPr>
            <a:t>A</a:t>
          </a:r>
          <a:r>
            <a:rPr lang="en-US" sz="1400" dirty="0"/>
            <a:t> </a:t>
          </a:r>
          <a:r>
            <a:rPr lang="en-CA" sz="1400" i="1" dirty="0"/>
            <a:t>Confines</a:t>
          </a:r>
          <a:r>
            <a:rPr lang="en-CA" sz="1400" dirty="0"/>
            <a:t> </a:t>
          </a:r>
          <a:r>
            <a:rPr lang="en-US" sz="1400" b="1" dirty="0">
              <a:solidFill>
                <a:srgbClr val="00B050"/>
              </a:solidFill>
            </a:rPr>
            <a:t>B</a:t>
          </a:r>
          <a:endParaRPr lang="en-CA" sz="1400" dirty="0"/>
        </a:p>
      </dgm:t>
    </dgm:pt>
    <dgm:pt modelId="{9218275F-2715-4861-997B-85A1D6142A13}" type="parTrans" cxnId="{0DB1C2D4-9F8A-4B19-A561-75DC1DB24803}">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6484DD91-D42F-4795-8862-4CB2FCD693DD}" type="sibTrans" cxnId="{0DB1C2D4-9F8A-4B19-A561-75DC1DB24803}">
      <dgm:prSet/>
      <dgm:spPr/>
      <dgm:t>
        <a:bodyPr/>
        <a:lstStyle/>
        <a:p>
          <a:endParaRPr lang="en-CA"/>
        </a:p>
      </dgm:t>
    </dgm:pt>
    <dgm:pt modelId="{A41D72E9-2C78-48B5-BD7D-C1381877FD7E}">
      <dgm:prSet phldrT="[Text]" custT="1"/>
      <dgm:spPr/>
      <dgm:t>
        <a:bodyPr/>
        <a:lstStyle/>
        <a:p>
          <a:r>
            <a:rPr lang="en-US" sz="1400" dirty="0"/>
            <a:t>Does the interior of </a:t>
          </a:r>
          <a:r>
            <a:rPr lang="en-US" sz="1400" b="1" dirty="0">
              <a:solidFill>
                <a:srgbClr val="00B0F0"/>
              </a:solidFill>
            </a:rPr>
            <a:t>A</a:t>
          </a:r>
          <a:r>
            <a:rPr lang="en-US" sz="1400" dirty="0"/>
            <a:t> include the exterior of </a:t>
          </a:r>
          <a:r>
            <a:rPr lang="en-US" sz="1400" b="1" dirty="0">
              <a:solidFill>
                <a:srgbClr val="00B050"/>
              </a:solidFill>
            </a:rPr>
            <a:t>B</a:t>
          </a:r>
          <a:r>
            <a:rPr lang="en-US" sz="1400" dirty="0"/>
            <a:t>? </a:t>
          </a:r>
          <a:endParaRPr lang="en-CA" sz="1400" dirty="0"/>
        </a:p>
      </dgm:t>
    </dgm:pt>
    <dgm:pt modelId="{B63F0C89-71A1-4B60-AC8C-F6015144AA95}" type="parTrans" cxnId="{F20C56DD-E9DC-402D-8202-C206451C87F5}">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638F548-EBED-4FFB-AA80-92500E2E3FBC}" type="sibTrans" cxnId="{F20C56DD-E9DC-402D-8202-C206451C87F5}">
      <dgm:prSet/>
      <dgm:spPr/>
      <dgm:t>
        <a:bodyPr/>
        <a:lstStyle/>
        <a:p>
          <a:endParaRPr lang="en-CA"/>
        </a:p>
      </dgm:t>
    </dgm:pt>
    <dgm:pt modelId="{A0B9EC76-736B-41EF-A0BF-FF6D2F0BB0BB}">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Contains</a:t>
          </a:r>
          <a:r>
            <a:rPr lang="en-CA" sz="1400" dirty="0"/>
            <a:t> </a:t>
          </a:r>
          <a:r>
            <a:rPr lang="en-US" sz="1400" b="1" dirty="0">
              <a:solidFill>
                <a:srgbClr val="00B050"/>
              </a:solidFill>
            </a:rPr>
            <a:t>B</a:t>
          </a:r>
          <a:endParaRPr lang="en-CA" sz="1400" dirty="0"/>
        </a:p>
      </dgm:t>
    </dgm:pt>
    <dgm:pt modelId="{28C379F9-AA32-41ED-A99B-1AC6034AA385}" type="parTrans" cxnId="{DC6F0C33-B0F8-4530-B3C0-A9A4D420E2EC}">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4D5E0712-8273-4EDC-9A28-41B51FF32779}" type="sibTrans" cxnId="{DC6F0C33-B0F8-4530-B3C0-A9A4D420E2EC}">
      <dgm:prSet/>
      <dgm:spPr/>
      <dgm:t>
        <a:bodyPr/>
        <a:lstStyle/>
        <a:p>
          <a:endParaRPr lang="en-CA"/>
        </a:p>
      </dgm:t>
    </dgm:pt>
    <dgm:pt modelId="{0B8F6A2C-499F-4D42-90C6-D5D0C08F7746}">
      <dgm:prSet phldrT="[Text]" custT="1"/>
      <dgm:spPr/>
      <dgm:t>
        <a:bodyPr/>
        <a:lstStyle/>
        <a:p>
          <a:r>
            <a:rPr lang="en-US" sz="1400" dirty="0"/>
            <a:t>Does the exterior of </a:t>
          </a:r>
          <a:r>
            <a:rPr lang="en-US" sz="1400" b="1" dirty="0">
              <a:solidFill>
                <a:srgbClr val="00B0F0"/>
              </a:solidFill>
            </a:rPr>
            <a:t>A</a:t>
          </a:r>
          <a:r>
            <a:rPr lang="en-US" sz="1400" dirty="0"/>
            <a:t> overlap with the interior of </a:t>
          </a:r>
          <a:r>
            <a:rPr lang="en-US" sz="1400" b="1" dirty="0">
              <a:solidFill>
                <a:srgbClr val="00B050"/>
              </a:solidFill>
            </a:rPr>
            <a:t>B</a:t>
          </a:r>
          <a:r>
            <a:rPr lang="en-US" sz="1400" dirty="0"/>
            <a:t>?  </a:t>
          </a:r>
          <a:endParaRPr lang="en-CA" sz="1400" dirty="0"/>
        </a:p>
      </dgm:t>
    </dgm:pt>
    <dgm:pt modelId="{BD5CB513-6A87-438F-94A4-8C766EF0E3BF}" type="parTrans" cxnId="{DB0AA486-48C6-4042-B575-CE74B616BFC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968430DC-312F-4F74-9ADC-3A1E3A089BF2}" type="sibTrans" cxnId="{DB0AA486-48C6-4042-B575-CE74B616BFCB}">
      <dgm:prSet/>
      <dgm:spPr/>
      <dgm:t>
        <a:bodyPr/>
        <a:lstStyle/>
        <a:p>
          <a:endParaRPr lang="en-CA"/>
        </a:p>
      </dgm:t>
    </dgm:pt>
    <dgm:pt modelId="{4102858B-66E2-4F4D-8103-BC8FCF77C011}">
      <dgm:prSet phldrT="[Text]" custT="1"/>
      <dgm:spPr/>
      <dgm:t>
        <a:bodyPr/>
        <a:lstStyle/>
        <a:p>
          <a:r>
            <a:rPr lang="en-CA" sz="1400" dirty="0"/>
            <a:t>Does the external boundary </a:t>
          </a:r>
          <a:r>
            <a:rPr lang="en-US" sz="1400" dirty="0"/>
            <a:t>of </a:t>
          </a:r>
          <a:r>
            <a:rPr lang="en-US" sz="1400" b="1" dirty="0">
              <a:solidFill>
                <a:srgbClr val="00B0F0"/>
              </a:solidFill>
            </a:rPr>
            <a:t>A </a:t>
          </a:r>
          <a:r>
            <a:rPr lang="en-US" sz="1400" dirty="0"/>
            <a:t>encompass all of </a:t>
          </a:r>
          <a:r>
            <a:rPr lang="en-US" sz="1400" b="1" dirty="0">
              <a:solidFill>
                <a:srgbClr val="00B050"/>
              </a:solidFill>
            </a:rPr>
            <a:t>B</a:t>
          </a:r>
          <a:r>
            <a:rPr lang="en-US" sz="1400" dirty="0"/>
            <a:t>?</a:t>
          </a:r>
          <a:endParaRPr lang="en-CA" sz="1400" dirty="0"/>
        </a:p>
      </dgm:t>
    </dgm:pt>
    <dgm:pt modelId="{464485DC-5F1E-45C4-9E48-32AA4E456A2D}" type="parTrans" cxnId="{35881A33-01D6-45BD-9AD8-7832C3911F30}">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04B2353E-694B-46D8-B1DD-A0A2DEFE17AA}" type="sibTrans" cxnId="{35881A33-01D6-45BD-9AD8-7832C3911F30}">
      <dgm:prSet/>
      <dgm:spPr/>
      <dgm:t>
        <a:bodyPr/>
        <a:lstStyle/>
        <a:p>
          <a:endParaRPr lang="en-CA"/>
        </a:p>
      </dgm:t>
    </dgm:pt>
    <dgm:pt modelId="{661FE512-40D7-433D-9F16-55C6C728AAE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Overlaps</a:t>
          </a:r>
          <a:r>
            <a:rPr lang="en-CA" sz="1400" dirty="0"/>
            <a:t> </a:t>
          </a:r>
          <a:r>
            <a:rPr lang="en-US" sz="1400" b="1" dirty="0">
              <a:solidFill>
                <a:srgbClr val="00B050"/>
              </a:solidFill>
            </a:rPr>
            <a:t>B</a:t>
          </a:r>
          <a:endParaRPr lang="en-CA" sz="1400" dirty="0"/>
        </a:p>
      </dgm:t>
    </dgm:pt>
    <dgm:pt modelId="{2FEBDD61-F47E-4187-B68C-33F93E8C6DA5}" type="parTrans" cxnId="{EA7CC7C2-79B2-4DBE-A340-8DA93E57D09F}">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83CA8007-68EE-4333-B604-63AE063E2CD7}" type="sibTrans" cxnId="{EA7CC7C2-79B2-4DBE-A340-8DA93E57D09F}">
      <dgm:prSet/>
      <dgm:spPr/>
      <dgm:t>
        <a:bodyPr/>
        <a:lstStyle/>
        <a:p>
          <a:endParaRPr lang="en-CA"/>
        </a:p>
      </dgm:t>
    </dgm:pt>
    <dgm:pt modelId="{76F6ED56-039E-4362-929F-14CA94C44354}">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US" sz="1400" i="1" dirty="0"/>
            <a:t>Surrounds</a:t>
          </a:r>
          <a:r>
            <a:rPr lang="en-US" sz="1400" dirty="0"/>
            <a:t> </a:t>
          </a:r>
          <a:r>
            <a:rPr lang="en-US" sz="1400" b="1" dirty="0">
              <a:solidFill>
                <a:srgbClr val="00B050"/>
              </a:solidFill>
            </a:rPr>
            <a:t>B</a:t>
          </a:r>
          <a:endParaRPr lang="en-CA" sz="1400" b="1" dirty="0">
            <a:solidFill>
              <a:srgbClr val="00B050"/>
            </a:solidFill>
          </a:endParaRPr>
        </a:p>
      </dgm:t>
    </dgm:pt>
    <dgm:pt modelId="{4EF6EBEC-0A1E-4B9E-B648-62EB9C349AA7}" type="parTrans" cxnId="{070025F1-E88E-41FB-899C-8A04F4FCAF91}">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E9C307-BB46-42B2-BB17-AEBFEE2AD831}" type="sibTrans" cxnId="{070025F1-E88E-41FB-899C-8A04F4FCAF91}">
      <dgm:prSet/>
      <dgm:spPr/>
      <dgm:t>
        <a:bodyPr/>
        <a:lstStyle/>
        <a:p>
          <a:endParaRPr lang="en-CA"/>
        </a:p>
      </dgm:t>
    </dgm:pt>
    <dgm:pt modelId="{C2BB84B3-6B94-40E5-8A8C-88566F375E4A}">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pPr>
            <a:spcAft>
              <a:spcPts val="0"/>
            </a:spcAft>
          </a:pPr>
          <a:r>
            <a:rPr lang="en-US" sz="1400" b="1" dirty="0">
              <a:solidFill>
                <a:srgbClr val="00B0F0"/>
              </a:solidFill>
            </a:rPr>
            <a:t>A</a:t>
          </a:r>
          <a:r>
            <a:rPr lang="en-US" sz="1400" dirty="0"/>
            <a:t> is </a:t>
          </a:r>
          <a:r>
            <a:rPr lang="en-US" sz="1400" i="1" dirty="0"/>
            <a:t>Disjoint</a:t>
          </a:r>
          <a:r>
            <a:rPr lang="en-US" sz="1400" dirty="0"/>
            <a:t> </a:t>
          </a:r>
        </a:p>
        <a:p>
          <a:pPr>
            <a:spcAft>
              <a:spcPct val="35000"/>
            </a:spcAft>
          </a:pPr>
          <a:r>
            <a:rPr lang="en-US" sz="1400" dirty="0"/>
            <a:t>with </a:t>
          </a:r>
          <a:r>
            <a:rPr lang="en-US" sz="1400" b="1" dirty="0">
              <a:solidFill>
                <a:srgbClr val="00B050"/>
              </a:solidFill>
            </a:rPr>
            <a:t>B</a:t>
          </a:r>
          <a:r>
            <a:rPr lang="en-US" sz="1400" dirty="0"/>
            <a:t> </a:t>
          </a:r>
          <a:endParaRPr lang="en-CA" sz="1400" dirty="0"/>
        </a:p>
      </dgm:t>
    </dgm:pt>
    <dgm:pt modelId="{608C57D1-7F6F-4DB7-BA8A-DB71BD82B5BA}" type="parTrans" cxnId="{22EA8D63-13A2-43D8-84FB-61270723BA8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AAAC1DF3-A327-4894-A4FE-FE8BD2FD21FA}" type="sibTrans" cxnId="{22EA8D63-13A2-43D8-84FB-61270723BA84}">
      <dgm:prSet/>
      <dgm:spPr/>
      <dgm:t>
        <a:bodyPr/>
        <a:lstStyle/>
        <a:p>
          <a:endParaRPr lang="en-CA"/>
        </a:p>
      </dgm:t>
    </dgm:pt>
    <dgm:pt modelId="{1F9854BB-22E9-4049-9456-C1C1896FCEC5}">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D6D15481-5E8B-4FD1-84DB-30AF31AE0AF3}" type="parTrans" cxnId="{980FD87F-A04E-4D8A-B0CB-FFC4758BB523}">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9A779EFA-D14F-42D3-8D6F-F5824C214B0E}" type="sibTrans" cxnId="{980FD87F-A04E-4D8A-B0CB-FFC4758BB523}">
      <dgm:prSet/>
      <dgm:spPr/>
      <dgm:t>
        <a:bodyPr/>
        <a:lstStyle/>
        <a:p>
          <a:endParaRPr lang="en-CA"/>
        </a:p>
      </dgm:t>
    </dgm:pt>
    <dgm:pt modelId="{611F5EBD-32D7-4C41-899A-5B09F7276570}">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Shelters </a:t>
          </a:r>
          <a:r>
            <a:rPr lang="en-US" sz="1400" b="1" dirty="0">
              <a:solidFill>
                <a:srgbClr val="00B050"/>
              </a:solidFill>
            </a:rPr>
            <a:t>B</a:t>
          </a:r>
          <a:endParaRPr lang="en-CA" sz="1400" dirty="0"/>
        </a:p>
      </dgm:t>
    </dgm:pt>
    <dgm:pt modelId="{4514F283-0637-4D79-A3B9-03CF59D1582C}" type="parTrans" cxnId="{4297C46B-1CF3-4990-AC9D-D8BD1E801252}">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00ADB120-16D7-482C-9D68-49DE47589D5D}" type="sibTrans" cxnId="{4297C46B-1CF3-4990-AC9D-D8BD1E801252}">
      <dgm:prSet/>
      <dgm:spPr/>
      <dgm:t>
        <a:bodyPr/>
        <a:lstStyle/>
        <a:p>
          <a:endParaRPr lang="en-CA"/>
        </a:p>
      </dgm:t>
    </dgm:pt>
    <dgm:pt modelId="{BEE09A10-6C19-46C6-A747-9CF8BA45C75F}">
      <dgm:prSet phldrT="[Text]" custT="1"/>
      <dgm:spPr/>
      <dgm:t>
        <a:bodyPr/>
        <a:lstStyle/>
        <a:p>
          <a:r>
            <a:rPr lang="en-US" sz="1400" dirty="0"/>
            <a:t>Does the convex hull of </a:t>
          </a:r>
          <a:r>
            <a:rPr lang="en-US" sz="1400" b="1" dirty="0">
              <a:solidFill>
                <a:srgbClr val="00B0F0"/>
              </a:solidFill>
            </a:rPr>
            <a:t>A</a:t>
          </a:r>
          <a:r>
            <a:rPr lang="en-US" sz="1400" dirty="0"/>
            <a:t> contain all of </a:t>
          </a:r>
          <a:r>
            <a:rPr lang="en-US" sz="1400" b="1" dirty="0">
              <a:solidFill>
                <a:srgbClr val="00B050"/>
              </a:solidFill>
            </a:rPr>
            <a:t>B</a:t>
          </a:r>
          <a:r>
            <a:rPr lang="en-US" sz="1400" dirty="0"/>
            <a:t>?</a:t>
          </a:r>
          <a:endParaRPr lang="en-CA" sz="1400" dirty="0"/>
        </a:p>
      </dgm:t>
    </dgm:pt>
    <dgm:pt modelId="{8F547023-3538-4EE8-93A4-8FB441205E03}" type="parTrans" cxnId="{12A88863-9D5E-4890-AFFD-B73BAEB6B428}">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B58B11F0-6E00-4B8E-9F77-5DF27BE008BC}" type="sibTrans" cxnId="{12A88863-9D5E-4890-AFFD-B73BAEB6B428}">
      <dgm:prSet/>
      <dgm:spPr/>
      <dgm:t>
        <a:bodyPr/>
        <a:lstStyle/>
        <a:p>
          <a:endParaRPr lang="en-CA"/>
        </a:p>
      </dgm:t>
    </dgm:pt>
    <dgm:pt modelId="{1C5200FE-FFA9-4D32-BBCD-D593EE845AF0}">
      <dgm:prSet phldrT="[Text]" custT="1"/>
      <dgm:spPr/>
      <dgm:t>
        <a:bodyPr/>
        <a:lstStyle/>
        <a:p>
          <a:r>
            <a:rPr lang="en-US" sz="1400" dirty="0"/>
            <a:t>Does the border of </a:t>
          </a:r>
          <a:r>
            <a:rPr lang="en-US" sz="1400" b="1" dirty="0">
              <a:solidFill>
                <a:srgbClr val="00B0F0"/>
              </a:solidFill>
            </a:rPr>
            <a:t>A</a:t>
          </a:r>
          <a:r>
            <a:rPr lang="en-US" sz="1400" dirty="0"/>
            <a:t> overlap with the border of </a:t>
          </a:r>
          <a:r>
            <a:rPr lang="en-US" sz="1400" b="1" dirty="0">
              <a:solidFill>
                <a:srgbClr val="00B050"/>
              </a:solidFill>
            </a:rPr>
            <a:t>B</a:t>
          </a:r>
          <a:r>
            <a:rPr lang="en-US" sz="1400" dirty="0"/>
            <a:t>? </a:t>
          </a:r>
          <a:endParaRPr lang="en-CA" sz="1400" dirty="0"/>
        </a:p>
      </dgm:t>
    </dgm:pt>
    <dgm:pt modelId="{78A0168A-B3D4-43A1-9440-9C1323BD7FEB}" type="parTrans" cxnId="{90EAD3EC-2996-4BDC-8AE5-6A4376640AB5}">
      <dgm:prSet custT="1"/>
      <dgm:spPr>
        <a:solidFill>
          <a:schemeClr val="tx1">
            <a:hueOff val="0"/>
            <a:satOff val="0"/>
            <a:lumOff val="0"/>
          </a:schemeClr>
        </a:solidFill>
        <a:ln w="25400">
          <a:solidFill>
            <a:srgbClr val="C04F15"/>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2064185F-0951-4CD0-BDF4-3C6BFCA2711B}" type="sibTrans" cxnId="{90EAD3EC-2996-4BDC-8AE5-6A4376640AB5}">
      <dgm:prSet/>
      <dgm:spPr/>
      <dgm:t>
        <a:bodyPr/>
        <a:lstStyle/>
        <a:p>
          <a:endParaRPr lang="en-CA"/>
        </a:p>
      </dgm:t>
    </dgm:pt>
    <dgm:pt modelId="{241770BA-9795-42B1-9426-B082AFE49C09}">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Equals</a:t>
          </a:r>
          <a:r>
            <a:rPr lang="en-CA" sz="1400" dirty="0"/>
            <a:t> </a:t>
          </a:r>
          <a:r>
            <a:rPr lang="en-US" sz="1400" b="1" dirty="0">
              <a:solidFill>
                <a:srgbClr val="00B050"/>
              </a:solidFill>
            </a:rPr>
            <a:t>B</a:t>
          </a:r>
          <a:endParaRPr lang="en-CA" sz="1400" dirty="0"/>
        </a:p>
      </dgm:t>
    </dgm:pt>
    <dgm:pt modelId="{028D1290-A2FC-43BD-BBE0-3D9D5D715153}" type="parTrans" cxnId="{E4EFE84C-CEEC-4A09-98F5-019B230674F4}">
      <dgm:prSet custT="1"/>
      <dgm:spPr>
        <a:solidFill>
          <a:schemeClr val="tx1">
            <a:hueOff val="0"/>
            <a:satOff val="0"/>
            <a:lumOff val="0"/>
          </a:schemeClr>
        </a:solidFill>
        <a:ln w="25400">
          <a:solidFill>
            <a:schemeClr val="accent2">
              <a:lumMod val="75000"/>
            </a:schemeClr>
          </a:solidFill>
          <a:tailEnd type="stealth" w="lg" len="lg"/>
        </a:ln>
      </dgm:spPr>
      <dgm:t>
        <a:bodyPr lIns="18288" rIns="18288"/>
        <a:lstStyle/>
        <a:p>
          <a:r>
            <a:rPr lang="en-US" sz="1400" b="1" dirty="0">
              <a:ln>
                <a:solidFill>
                  <a:scrgbClr r="0" g="0" b="0"/>
                </a:solidFill>
              </a:ln>
            </a:rPr>
            <a:t>No</a:t>
          </a:r>
          <a:endParaRPr lang="en-CA" sz="1400" b="1" dirty="0">
            <a:ln>
              <a:solidFill>
                <a:scrgbClr r="0" g="0" b="0"/>
              </a:solidFill>
            </a:ln>
          </a:endParaRPr>
        </a:p>
      </dgm:t>
    </dgm:pt>
    <dgm:pt modelId="{D55A5817-2ABD-4A9F-97C6-7A20B7232503}" type="sibTrans" cxnId="{E4EFE84C-CEEC-4A09-98F5-019B230674F4}">
      <dgm:prSet/>
      <dgm:spPr/>
      <dgm:t>
        <a:bodyPr/>
        <a:lstStyle/>
        <a:p>
          <a:endParaRPr lang="en-CA"/>
        </a:p>
      </dgm:t>
    </dgm:pt>
    <dgm:pt modelId="{6B2F4EBD-0588-433D-BDC9-CB90AB476E93}">
      <dgm:prSet phldrT="[Text]" custT="1"/>
      <dgm:spPr>
        <a:ln w="38100">
          <a:solidFill>
            <a:schemeClr val="accent5">
              <a:lumMod val="60000"/>
              <a:lumOff val="40000"/>
            </a:schemeClr>
          </a:solidFill>
        </a:ln>
        <a:effectLst>
          <a:outerShdw blurRad="149987" dist="250190" dir="8460000" algn="ctr">
            <a:srgbClr val="000000">
              <a:alpha val="28000"/>
            </a:srgbClr>
          </a:outerShdw>
        </a:effectLst>
        <a:scene3d>
          <a:camera prst="orthographicFront">
            <a:rot lat="0" lon="0" rev="0"/>
          </a:camera>
          <a:lightRig rig="contrasting" dir="t">
            <a:rot lat="0" lon="0" rev="1500000"/>
          </a:lightRig>
        </a:scene3d>
        <a:sp3d prstMaterial="metal">
          <a:bevelT w="88900" h="88900"/>
        </a:sp3d>
      </dgm:spPr>
      <dgm:t>
        <a:bodyPr anchor="ctr"/>
        <a:lstStyle/>
        <a:p>
          <a:r>
            <a:rPr lang="en-US" sz="1400" b="1" dirty="0">
              <a:solidFill>
                <a:srgbClr val="00B0F0"/>
              </a:solidFill>
            </a:rPr>
            <a:t>A</a:t>
          </a:r>
          <a:r>
            <a:rPr lang="en-US" sz="1400" dirty="0"/>
            <a:t> </a:t>
          </a:r>
          <a:r>
            <a:rPr lang="en-CA" sz="1400" i="1" dirty="0"/>
            <a:t>Partitions</a:t>
          </a:r>
          <a:r>
            <a:rPr lang="en-CA" sz="1400" dirty="0"/>
            <a:t> </a:t>
          </a:r>
          <a:r>
            <a:rPr lang="en-US" sz="1400" b="1" dirty="0">
              <a:solidFill>
                <a:srgbClr val="00B050"/>
              </a:solidFill>
            </a:rPr>
            <a:t>B</a:t>
          </a:r>
          <a:endParaRPr lang="en-CA" sz="1400" dirty="0"/>
        </a:p>
      </dgm:t>
    </dgm:pt>
    <dgm:pt modelId="{B59112B4-27B0-48C6-BE5C-AC3A0DFEED65}" type="parTrans" cxnId="{221FB7B9-BD64-4B10-8CE1-D1815E8A9BDB}">
      <dgm:prSet custT="1"/>
      <dgm:spPr>
        <a:solidFill>
          <a:schemeClr val="tx1">
            <a:hueOff val="0"/>
            <a:satOff val="0"/>
            <a:lumOff val="0"/>
          </a:schemeClr>
        </a:solidFill>
        <a:ln w="25400">
          <a:solidFill>
            <a:srgbClr val="0070C0"/>
          </a:solidFill>
          <a:tailEnd type="stealth" w="lg" len="lg"/>
        </a:ln>
      </dgm:spPr>
      <dgm:t>
        <a:bodyPr lIns="18288" rIns="18288"/>
        <a:lstStyle/>
        <a:p>
          <a:r>
            <a:rPr lang="en-US" sz="1400" b="1" dirty="0">
              <a:ln>
                <a:solidFill>
                  <a:scrgbClr r="0" g="0" b="0"/>
                </a:solidFill>
              </a:ln>
            </a:rPr>
            <a:t>Yes</a:t>
          </a:r>
          <a:endParaRPr lang="en-CA" sz="1400" b="1" dirty="0">
            <a:ln>
              <a:solidFill>
                <a:scrgbClr r="0" g="0" b="0"/>
              </a:solidFill>
            </a:ln>
          </a:endParaRPr>
        </a:p>
      </dgm:t>
    </dgm:pt>
    <dgm:pt modelId="{152AEC12-7501-4572-A083-B41AF931EDF9}" type="sibTrans" cxnId="{221FB7B9-BD64-4B10-8CE1-D1815E8A9BDB}">
      <dgm:prSet/>
      <dgm:spPr/>
      <dgm:t>
        <a:bodyPr/>
        <a:lstStyle/>
        <a:p>
          <a:endParaRPr lang="en-CA"/>
        </a:p>
      </dgm:t>
    </dgm:pt>
    <dgm:pt modelId="{4DEFB0B5-C8D7-4752-AA4C-317010537328}" type="pres">
      <dgm:prSet presAssocID="{E11C2CE7-F243-4F6E-9D3B-6A7F5BC585D0}" presName="diagram" presStyleCnt="0">
        <dgm:presLayoutVars>
          <dgm:chPref val="1"/>
          <dgm:dir/>
          <dgm:animOne val="branch"/>
          <dgm:animLvl val="lvl"/>
          <dgm:resizeHandles val="exact"/>
        </dgm:presLayoutVars>
      </dgm:prSet>
      <dgm:spPr/>
    </dgm:pt>
    <dgm:pt modelId="{7196CBE0-3640-4DD7-AC5E-27E6006D6C5A}" type="pres">
      <dgm:prSet presAssocID="{4BEC090C-1E15-4161-8659-B6B7DA165CC0}" presName="root1" presStyleCnt="0"/>
      <dgm:spPr/>
    </dgm:pt>
    <dgm:pt modelId="{60D0B9E6-82C7-4381-AE3D-A682BDCF8863}" type="pres">
      <dgm:prSet presAssocID="{4BEC090C-1E15-4161-8659-B6B7DA165CC0}" presName="LevelOneTextNode" presStyleLbl="node0" presStyleIdx="0" presStyleCnt="1" custScaleX="67319" custScaleY="45427" custLinFactNeighborY="2140">
        <dgm:presLayoutVars>
          <dgm:chPref val="3"/>
        </dgm:presLayoutVars>
      </dgm:prSet>
      <dgm:spPr/>
    </dgm:pt>
    <dgm:pt modelId="{8233B2F5-8510-4097-89C8-3D61320F8C19}" type="pres">
      <dgm:prSet presAssocID="{4BEC090C-1E15-4161-8659-B6B7DA165CC0}" presName="level2hierChild" presStyleCnt="0"/>
      <dgm:spPr/>
    </dgm:pt>
    <dgm:pt modelId="{90D847B5-D5A0-4244-846E-8ADF8BABDEED}" type="pres">
      <dgm:prSet presAssocID="{D6D15481-5E8B-4FD1-84DB-30AF31AE0AF3}" presName="conn2-1" presStyleLbl="parChTrans1D2" presStyleIdx="0" presStyleCnt="2"/>
      <dgm:spPr/>
    </dgm:pt>
    <dgm:pt modelId="{85EB8BBE-3858-4FF3-9A9C-0BED01FA18BC}" type="pres">
      <dgm:prSet presAssocID="{D6D15481-5E8B-4FD1-84DB-30AF31AE0AF3}" presName="connTx" presStyleLbl="parChTrans1D2" presStyleIdx="0" presStyleCnt="2"/>
      <dgm:spPr/>
    </dgm:pt>
    <dgm:pt modelId="{6E9E233E-39EB-4569-AF1D-76A28B0504EE}" type="pres">
      <dgm:prSet presAssocID="{1F9854BB-22E9-4049-9456-C1C1896FCEC5}" presName="root2" presStyleCnt="0"/>
      <dgm:spPr/>
    </dgm:pt>
    <dgm:pt modelId="{6C6B7D74-2E3F-42FA-BE1C-9AE309B40A28}" type="pres">
      <dgm:prSet presAssocID="{1F9854BB-22E9-4049-9456-C1C1896FCEC5}" presName="LevelTwoTextNode" presStyleLbl="node2" presStyleIdx="0" presStyleCnt="2" custScaleX="67714" custScaleY="54415" custLinFactNeighborX="-1470" custLinFactNeighborY="-74634">
        <dgm:presLayoutVars>
          <dgm:chPref val="3"/>
        </dgm:presLayoutVars>
      </dgm:prSet>
      <dgm:spPr/>
    </dgm:pt>
    <dgm:pt modelId="{5C78518D-1A63-4D18-8CCE-670B580276B4}" type="pres">
      <dgm:prSet presAssocID="{1F9854BB-22E9-4049-9456-C1C1896FCEC5}" presName="level3hierChild" presStyleCnt="0"/>
      <dgm:spPr/>
    </dgm:pt>
    <dgm:pt modelId="{FC40F70A-F5C9-433A-A55D-123A5B28E785}" type="pres">
      <dgm:prSet presAssocID="{464485DC-5F1E-45C4-9E48-32AA4E456A2D}" presName="conn2-1" presStyleLbl="parChTrans1D3" presStyleIdx="0" presStyleCnt="4"/>
      <dgm:spPr/>
    </dgm:pt>
    <dgm:pt modelId="{3938B017-FE74-4A39-AFB9-F36E1F3C9CD0}" type="pres">
      <dgm:prSet presAssocID="{464485DC-5F1E-45C4-9E48-32AA4E456A2D}" presName="connTx" presStyleLbl="parChTrans1D3" presStyleIdx="0" presStyleCnt="4"/>
      <dgm:spPr/>
    </dgm:pt>
    <dgm:pt modelId="{53AD0F57-EA3C-4714-8371-E9DB12E8CB68}" type="pres">
      <dgm:prSet presAssocID="{4102858B-66E2-4F4D-8103-BC8FCF77C011}" presName="root2" presStyleCnt="0"/>
      <dgm:spPr/>
    </dgm:pt>
    <dgm:pt modelId="{D65DD3F9-CCB1-44FA-B8E8-39B9016DCB19}" type="pres">
      <dgm:prSet presAssocID="{4102858B-66E2-4F4D-8103-BC8FCF77C011}" presName="LevelTwoTextNode" presStyleLbl="node3" presStyleIdx="0" presStyleCnt="4" custScaleX="67714" custScaleY="50771" custLinFactNeighborX="-3608" custLinFactNeighborY="-98973">
        <dgm:presLayoutVars>
          <dgm:chPref val="3"/>
        </dgm:presLayoutVars>
      </dgm:prSet>
      <dgm:spPr/>
    </dgm:pt>
    <dgm:pt modelId="{275F2363-88CA-4B3F-8244-F349A2BC576D}" type="pres">
      <dgm:prSet presAssocID="{4102858B-66E2-4F4D-8103-BC8FCF77C011}" presName="level3hierChild" presStyleCnt="0"/>
      <dgm:spPr/>
    </dgm:pt>
    <dgm:pt modelId="{E9013B9B-0814-4824-B7A5-76BC1EEA3FFD}" type="pres">
      <dgm:prSet presAssocID="{8F547023-3538-4EE8-93A4-8FB441205E03}" presName="conn2-1" presStyleLbl="parChTrans1D4" presStyleIdx="0" presStyleCnt="10"/>
      <dgm:spPr/>
    </dgm:pt>
    <dgm:pt modelId="{9D010A7E-BD5A-48B4-B2BE-E12A3A55371A}" type="pres">
      <dgm:prSet presAssocID="{8F547023-3538-4EE8-93A4-8FB441205E03}" presName="connTx" presStyleLbl="parChTrans1D4" presStyleIdx="0" presStyleCnt="10"/>
      <dgm:spPr/>
    </dgm:pt>
    <dgm:pt modelId="{89338983-973E-41F4-9138-6B3B7AAD4F38}" type="pres">
      <dgm:prSet presAssocID="{BEE09A10-6C19-46C6-A747-9CF8BA45C75F}" presName="root2" presStyleCnt="0"/>
      <dgm:spPr/>
    </dgm:pt>
    <dgm:pt modelId="{5ADC1B57-59CD-4290-8D3C-1F2B4B01AB44}" type="pres">
      <dgm:prSet presAssocID="{BEE09A10-6C19-46C6-A747-9CF8BA45C75F}" presName="LevelTwoTextNode" presStyleLbl="node4" presStyleIdx="0" presStyleCnt="10" custScaleX="76350" custScaleY="50474" custLinFactY="-15851" custLinFactNeighborX="-3175" custLinFactNeighborY="-100000">
        <dgm:presLayoutVars>
          <dgm:chPref val="3"/>
        </dgm:presLayoutVars>
      </dgm:prSet>
      <dgm:spPr/>
    </dgm:pt>
    <dgm:pt modelId="{7895928F-01FD-4CDB-9573-0E95FE802AAC}" type="pres">
      <dgm:prSet presAssocID="{BEE09A10-6C19-46C6-A747-9CF8BA45C75F}" presName="level3hierChild" presStyleCnt="0"/>
      <dgm:spPr/>
    </dgm:pt>
    <dgm:pt modelId="{2AD3D3E2-C6AC-405A-9A8A-D0423B528F9D}" type="pres">
      <dgm:prSet presAssocID="{608C57D1-7F6F-4DB7-BA8A-DB71BD82B5BA}" presName="conn2-1" presStyleLbl="parChTrans1D4" presStyleIdx="1" presStyleCnt="10"/>
      <dgm:spPr/>
    </dgm:pt>
    <dgm:pt modelId="{CD486216-BBE7-436F-9D63-9AD1931FF610}" type="pres">
      <dgm:prSet presAssocID="{608C57D1-7F6F-4DB7-BA8A-DB71BD82B5BA}" presName="connTx" presStyleLbl="parChTrans1D4" presStyleIdx="1" presStyleCnt="10"/>
      <dgm:spPr/>
    </dgm:pt>
    <dgm:pt modelId="{30383B94-4B06-4018-92E6-4F9D042D19C3}" type="pres">
      <dgm:prSet presAssocID="{C2BB84B3-6B94-40E5-8A8C-88566F375E4A}" presName="root2" presStyleCnt="0"/>
      <dgm:spPr/>
    </dgm:pt>
    <dgm:pt modelId="{267ED168-A2AD-42CE-8538-059248ABFC23}" type="pres">
      <dgm:prSet presAssocID="{C2BB84B3-6B94-40E5-8A8C-88566F375E4A}" presName="LevelTwoTextNode" presStyleLbl="node4" presStyleIdx="1" presStyleCnt="10" custScaleX="67714" custScaleY="39615" custLinFactY="-27370" custLinFactNeighborX="-2954" custLinFactNeighborY="-100000">
        <dgm:presLayoutVars>
          <dgm:chPref val="3"/>
        </dgm:presLayoutVars>
      </dgm:prSet>
      <dgm:spPr/>
    </dgm:pt>
    <dgm:pt modelId="{FE554052-42BD-4A93-92E6-642793B7EAF0}" type="pres">
      <dgm:prSet presAssocID="{C2BB84B3-6B94-40E5-8A8C-88566F375E4A}" presName="level3hierChild" presStyleCnt="0"/>
      <dgm:spPr/>
    </dgm:pt>
    <dgm:pt modelId="{0B134E92-FA95-4B28-BD52-07F1716B3C18}" type="pres">
      <dgm:prSet presAssocID="{4514F283-0637-4D79-A3B9-03CF59D1582C}" presName="conn2-1" presStyleLbl="parChTrans1D4" presStyleIdx="2" presStyleCnt="10"/>
      <dgm:spPr/>
    </dgm:pt>
    <dgm:pt modelId="{84A50755-D473-4C26-B04A-D905E4A37B75}" type="pres">
      <dgm:prSet presAssocID="{4514F283-0637-4D79-A3B9-03CF59D1582C}" presName="connTx" presStyleLbl="parChTrans1D4" presStyleIdx="2" presStyleCnt="10"/>
      <dgm:spPr/>
    </dgm:pt>
    <dgm:pt modelId="{9A4DDD95-4DFB-4F8C-AB5F-4A11FB7D7E46}" type="pres">
      <dgm:prSet presAssocID="{611F5EBD-32D7-4C41-899A-5B09F7276570}" presName="root2" presStyleCnt="0"/>
      <dgm:spPr/>
    </dgm:pt>
    <dgm:pt modelId="{DE55BEF5-93B4-4A69-A6D6-1C09C42D422D}" type="pres">
      <dgm:prSet presAssocID="{611F5EBD-32D7-4C41-899A-5B09F7276570}" presName="LevelTwoTextNode" presStyleLbl="node4" presStyleIdx="2" presStyleCnt="10" custScaleX="67714" custScaleY="22497" custLinFactY="-7532" custLinFactNeighborX="-2555" custLinFactNeighborY="-100000">
        <dgm:presLayoutVars>
          <dgm:chPref val="3"/>
        </dgm:presLayoutVars>
      </dgm:prSet>
      <dgm:spPr/>
    </dgm:pt>
    <dgm:pt modelId="{4B349A4D-A40F-4693-BD49-325E9CD02E3E}" type="pres">
      <dgm:prSet presAssocID="{611F5EBD-32D7-4C41-899A-5B09F7276570}" presName="level3hierChild" presStyleCnt="0"/>
      <dgm:spPr/>
    </dgm:pt>
    <dgm:pt modelId="{53585537-C841-4613-9227-8942CC9F940E}" type="pres">
      <dgm:prSet presAssocID="{4EF6EBEC-0A1E-4B9E-B648-62EB9C349AA7}" presName="conn2-1" presStyleLbl="parChTrans1D4" presStyleIdx="3" presStyleCnt="10"/>
      <dgm:spPr/>
    </dgm:pt>
    <dgm:pt modelId="{0A56F2DB-8DE4-4BD5-B764-228B4F527E1A}" type="pres">
      <dgm:prSet presAssocID="{4EF6EBEC-0A1E-4B9E-B648-62EB9C349AA7}" presName="connTx" presStyleLbl="parChTrans1D4" presStyleIdx="3" presStyleCnt="10"/>
      <dgm:spPr/>
    </dgm:pt>
    <dgm:pt modelId="{E5A0AD87-FD9A-4CDF-8B24-5669311CFB66}" type="pres">
      <dgm:prSet presAssocID="{76F6ED56-039E-4362-929F-14CA94C44354}" presName="root2" presStyleCnt="0"/>
      <dgm:spPr/>
    </dgm:pt>
    <dgm:pt modelId="{EFD08717-F61D-4FA3-AEAA-43BEC3867CFC}" type="pres">
      <dgm:prSet presAssocID="{76F6ED56-039E-4362-929F-14CA94C44354}" presName="LevelTwoTextNode" presStyleLbl="node4" presStyleIdx="3" presStyleCnt="10" custScaleX="76350" custScaleY="22497" custLinFactNeighborX="-3297" custLinFactNeighborY="-83427">
        <dgm:presLayoutVars>
          <dgm:chPref val="3"/>
        </dgm:presLayoutVars>
      </dgm:prSet>
      <dgm:spPr/>
    </dgm:pt>
    <dgm:pt modelId="{56D95B27-489D-49A1-A075-6C5D57ACB253}" type="pres">
      <dgm:prSet presAssocID="{76F6ED56-039E-4362-929F-14CA94C44354}" presName="level3hierChild" presStyleCnt="0"/>
      <dgm:spPr/>
    </dgm:pt>
    <dgm:pt modelId="{7940BBF2-D172-46D0-90EF-BFC9EA425F6D}" type="pres">
      <dgm:prSet presAssocID="{B41AB307-A081-4264-9130-95C84CE88154}" presName="conn2-1" presStyleLbl="parChTrans1D3" presStyleIdx="1" presStyleCnt="4"/>
      <dgm:spPr/>
    </dgm:pt>
    <dgm:pt modelId="{6925EB5E-0D47-4481-B6FA-74A76E9D6FD2}" type="pres">
      <dgm:prSet presAssocID="{B41AB307-A081-4264-9130-95C84CE88154}" presName="connTx" presStyleLbl="parChTrans1D3" presStyleIdx="1" presStyleCnt="4"/>
      <dgm:spPr/>
    </dgm:pt>
    <dgm:pt modelId="{1073CCAF-0555-46C8-BA57-3C388E65B0E0}" type="pres">
      <dgm:prSet presAssocID="{7A3D1130-4F69-4E59-9ACC-5B640EBD6EFF}" presName="root2" presStyleCnt="0"/>
      <dgm:spPr/>
    </dgm:pt>
    <dgm:pt modelId="{C33B4FFC-EE71-4E57-B768-C2BD25E243E8}" type="pres">
      <dgm:prSet presAssocID="{7A3D1130-4F69-4E59-9ACC-5B640EBD6EFF}" presName="LevelTwoTextNode" presStyleLbl="node3" presStyleIdx="1" presStyleCnt="4" custScaleX="67714" custScaleY="50771" custLinFactNeighborX="822" custLinFactNeighborY="-22522">
        <dgm:presLayoutVars>
          <dgm:chPref val="3"/>
        </dgm:presLayoutVars>
      </dgm:prSet>
      <dgm:spPr/>
    </dgm:pt>
    <dgm:pt modelId="{B89D9910-ACE9-4879-AF2B-8383B88C5EAB}" type="pres">
      <dgm:prSet presAssocID="{7A3D1130-4F69-4E59-9ACC-5B640EBD6EFF}" presName="level3hierChild" presStyleCnt="0"/>
      <dgm:spPr/>
    </dgm:pt>
    <dgm:pt modelId="{AF2C4515-2D24-4ADA-87E3-26CC2F6CC2A6}" type="pres">
      <dgm:prSet presAssocID="{4FC62AB9-317C-4A1C-A0AD-C10D573B4C49}" presName="conn2-1" presStyleLbl="parChTrans1D4" presStyleIdx="4" presStyleCnt="10"/>
      <dgm:spPr/>
    </dgm:pt>
    <dgm:pt modelId="{C6187C16-B219-43BA-B961-4E030BF7012C}" type="pres">
      <dgm:prSet presAssocID="{4FC62AB9-317C-4A1C-A0AD-C10D573B4C49}" presName="connTx" presStyleLbl="parChTrans1D4" presStyleIdx="4" presStyleCnt="10"/>
      <dgm:spPr/>
    </dgm:pt>
    <dgm:pt modelId="{6487C83E-50E8-4185-BDAE-15AEBCA01843}" type="pres">
      <dgm:prSet presAssocID="{181C735C-A399-4DA3-8589-B01A149985B6}" presName="root2" presStyleCnt="0"/>
      <dgm:spPr/>
    </dgm:pt>
    <dgm:pt modelId="{8557AC88-9D33-43F5-B999-D618E2615BC6}" type="pres">
      <dgm:prSet presAssocID="{181C735C-A399-4DA3-8589-B01A149985B6}" presName="LevelTwoTextNode" presStyleLbl="node4" presStyleIdx="4" presStyleCnt="10" custScaleX="76350" custScaleY="22497" custLinFactNeighborX="-4032" custLinFactNeighborY="-38812">
        <dgm:presLayoutVars>
          <dgm:chPref val="3"/>
        </dgm:presLayoutVars>
      </dgm:prSet>
      <dgm:spPr/>
    </dgm:pt>
    <dgm:pt modelId="{30CCDE8C-DF19-4396-9361-8852FB039470}" type="pres">
      <dgm:prSet presAssocID="{181C735C-A399-4DA3-8589-B01A149985B6}" presName="level3hierChild" presStyleCnt="0"/>
      <dgm:spPr/>
    </dgm:pt>
    <dgm:pt modelId="{E9983D54-FC96-4942-9E52-FC69F6639DD3}" type="pres">
      <dgm:prSet presAssocID="{9218275F-2715-4861-997B-85A1D6142A13}" presName="conn2-1" presStyleLbl="parChTrans1D4" presStyleIdx="5" presStyleCnt="10"/>
      <dgm:spPr/>
    </dgm:pt>
    <dgm:pt modelId="{73D4ADA3-7D22-4189-94D1-DD80977A6A2A}" type="pres">
      <dgm:prSet presAssocID="{9218275F-2715-4861-997B-85A1D6142A13}" presName="connTx" presStyleLbl="parChTrans1D4" presStyleIdx="5" presStyleCnt="10"/>
      <dgm:spPr/>
    </dgm:pt>
    <dgm:pt modelId="{BCEB44F5-7B51-43BA-92F2-B996C0D77E95}" type="pres">
      <dgm:prSet presAssocID="{77B43507-91C0-4172-8210-B7BD86829BA3}" presName="root2" presStyleCnt="0"/>
      <dgm:spPr/>
    </dgm:pt>
    <dgm:pt modelId="{2F8B85E9-6CF6-4115-A357-ABFC584D494E}" type="pres">
      <dgm:prSet presAssocID="{77B43507-91C0-4172-8210-B7BD86829BA3}" presName="LevelTwoTextNode" presStyleLbl="node4" presStyleIdx="5" presStyleCnt="10" custScaleX="76350" custScaleY="22497" custLinFactNeighborX="-3632" custLinFactNeighborY="6462">
        <dgm:presLayoutVars>
          <dgm:chPref val="3"/>
        </dgm:presLayoutVars>
      </dgm:prSet>
      <dgm:spPr/>
    </dgm:pt>
    <dgm:pt modelId="{4DD9F4D5-BBE5-4F26-AAC2-6ED377E82665}" type="pres">
      <dgm:prSet presAssocID="{77B43507-91C0-4172-8210-B7BD86829BA3}" presName="level3hierChild" presStyleCnt="0"/>
      <dgm:spPr/>
    </dgm:pt>
    <dgm:pt modelId="{1903229A-54A0-45D6-928C-45BC37FEA4DB}" type="pres">
      <dgm:prSet presAssocID="{BD5CB513-6A87-438F-94A4-8C766EF0E3BF}" presName="conn2-1" presStyleLbl="parChTrans1D2" presStyleIdx="1" presStyleCnt="2"/>
      <dgm:spPr/>
    </dgm:pt>
    <dgm:pt modelId="{CA7302ED-9C8F-459D-8E1B-FFC4D6AECEC7}" type="pres">
      <dgm:prSet presAssocID="{BD5CB513-6A87-438F-94A4-8C766EF0E3BF}" presName="connTx" presStyleLbl="parChTrans1D2" presStyleIdx="1" presStyleCnt="2"/>
      <dgm:spPr/>
    </dgm:pt>
    <dgm:pt modelId="{1E9A198D-4982-4F46-9C28-E527F4EF95FC}" type="pres">
      <dgm:prSet presAssocID="{0B8F6A2C-499F-4D42-90C6-D5D0C08F7746}" presName="root2" presStyleCnt="0"/>
      <dgm:spPr/>
    </dgm:pt>
    <dgm:pt modelId="{3FBAFE53-594D-4D03-B138-006A0BB47A9C}" type="pres">
      <dgm:prSet presAssocID="{0B8F6A2C-499F-4D42-90C6-D5D0C08F7746}" presName="LevelTwoTextNode" presStyleLbl="node2" presStyleIdx="1" presStyleCnt="2" custScaleX="67714" custScaleY="53172" custLinFactY="1230" custLinFactNeighborX="-1739" custLinFactNeighborY="100000">
        <dgm:presLayoutVars>
          <dgm:chPref val="3"/>
        </dgm:presLayoutVars>
      </dgm:prSet>
      <dgm:spPr/>
    </dgm:pt>
    <dgm:pt modelId="{5CA2DD91-821B-463E-87A4-736D923BF3F3}" type="pres">
      <dgm:prSet presAssocID="{0B8F6A2C-499F-4D42-90C6-D5D0C08F7746}" presName="level3hierChild" presStyleCnt="0"/>
      <dgm:spPr/>
    </dgm:pt>
    <dgm:pt modelId="{1877F5C3-3D89-4C58-A1F1-078525DE5F22}" type="pres">
      <dgm:prSet presAssocID="{78A0168A-B3D4-43A1-9440-9C1323BD7FEB}" presName="conn2-1" presStyleLbl="parChTrans1D3" presStyleIdx="2" presStyleCnt="4"/>
      <dgm:spPr/>
    </dgm:pt>
    <dgm:pt modelId="{1EF76CB9-B85D-4288-B228-1684949A83BF}" type="pres">
      <dgm:prSet presAssocID="{78A0168A-B3D4-43A1-9440-9C1323BD7FEB}" presName="connTx" presStyleLbl="parChTrans1D3" presStyleIdx="2" presStyleCnt="4"/>
      <dgm:spPr/>
    </dgm:pt>
    <dgm:pt modelId="{0BDED2F4-357F-4D70-8B64-875DE69D1646}" type="pres">
      <dgm:prSet presAssocID="{1C5200FE-FFA9-4D32-BBCD-D593EE845AF0}" presName="root2" presStyleCnt="0"/>
      <dgm:spPr/>
    </dgm:pt>
    <dgm:pt modelId="{752E73D5-6F0C-4299-B028-43DCAE9EBF12}" type="pres">
      <dgm:prSet presAssocID="{1C5200FE-FFA9-4D32-BBCD-D593EE845AF0}" presName="LevelTwoTextNode" presStyleLbl="node3" presStyleIdx="2" presStyleCnt="4" custScaleX="67714" custScaleY="50771" custLinFactNeighborX="-3631" custLinFactNeighborY="73124">
        <dgm:presLayoutVars>
          <dgm:chPref val="3"/>
        </dgm:presLayoutVars>
      </dgm:prSet>
      <dgm:spPr/>
    </dgm:pt>
    <dgm:pt modelId="{79A093DA-760D-426C-A06C-7B0D90B6EF5C}" type="pres">
      <dgm:prSet presAssocID="{1C5200FE-FFA9-4D32-BBCD-D593EE845AF0}" presName="level3hierChild" presStyleCnt="0"/>
      <dgm:spPr/>
    </dgm:pt>
    <dgm:pt modelId="{49F9E345-50CC-4F52-AFB5-C0A28306BF16}" type="pres">
      <dgm:prSet presAssocID="{28C379F9-AA32-41ED-A99B-1AC6034AA385}" presName="conn2-1" presStyleLbl="parChTrans1D4" presStyleIdx="6" presStyleCnt="10"/>
      <dgm:spPr/>
    </dgm:pt>
    <dgm:pt modelId="{7B531297-ACDD-496E-AA2F-404F042F5E9B}" type="pres">
      <dgm:prSet presAssocID="{28C379F9-AA32-41ED-A99B-1AC6034AA385}" presName="connTx" presStyleLbl="parChTrans1D4" presStyleIdx="6" presStyleCnt="10"/>
      <dgm:spPr/>
    </dgm:pt>
    <dgm:pt modelId="{8E5DF56D-31A9-4333-A41E-8016315036D8}" type="pres">
      <dgm:prSet presAssocID="{A0B9EC76-736B-41EF-A0BF-FF6D2F0BB0BB}" presName="root2" presStyleCnt="0"/>
      <dgm:spPr/>
    </dgm:pt>
    <dgm:pt modelId="{F37F940C-FB29-4D0E-B70D-83659D265A1E}" type="pres">
      <dgm:prSet presAssocID="{A0B9EC76-736B-41EF-A0BF-FF6D2F0BB0BB}" presName="LevelTwoTextNode" presStyleLbl="node4" presStyleIdx="6" presStyleCnt="10" custScaleX="76350" custScaleY="22497" custLinFactNeighborX="-3664" custLinFactNeighborY="48075">
        <dgm:presLayoutVars>
          <dgm:chPref val="3"/>
        </dgm:presLayoutVars>
      </dgm:prSet>
      <dgm:spPr/>
    </dgm:pt>
    <dgm:pt modelId="{CC0A6393-5FD2-4949-BF83-87FC5FEE6DFD}" type="pres">
      <dgm:prSet presAssocID="{A0B9EC76-736B-41EF-A0BF-FF6D2F0BB0BB}" presName="level3hierChild" presStyleCnt="0"/>
      <dgm:spPr/>
    </dgm:pt>
    <dgm:pt modelId="{FDDDA80B-6837-42EE-B31C-6D401D247906}" type="pres">
      <dgm:prSet presAssocID="{B63F0C89-71A1-4B60-AC8C-F6015144AA95}" presName="conn2-1" presStyleLbl="parChTrans1D4" presStyleIdx="7" presStyleCnt="10"/>
      <dgm:spPr/>
    </dgm:pt>
    <dgm:pt modelId="{3F9259DF-0F1B-4774-9C39-78543A209636}" type="pres">
      <dgm:prSet presAssocID="{B63F0C89-71A1-4B60-AC8C-F6015144AA95}" presName="connTx" presStyleLbl="parChTrans1D4" presStyleIdx="7" presStyleCnt="10"/>
      <dgm:spPr/>
    </dgm:pt>
    <dgm:pt modelId="{87C1E6F8-6409-4218-9FCC-DB5D88BB9588}" type="pres">
      <dgm:prSet presAssocID="{A41D72E9-2C78-48B5-BD7D-C1381877FD7E}" presName="root2" presStyleCnt="0"/>
      <dgm:spPr/>
    </dgm:pt>
    <dgm:pt modelId="{24F6AB9A-C44D-402F-B1AF-B011B11524E7}" type="pres">
      <dgm:prSet presAssocID="{A41D72E9-2C78-48B5-BD7D-C1381877FD7E}" presName="LevelTwoTextNode" presStyleLbl="node4" presStyleIdx="7" presStyleCnt="10" custScaleX="76350" custScaleY="50771" custLinFactY="12361" custLinFactNeighborX="-1080" custLinFactNeighborY="100000">
        <dgm:presLayoutVars>
          <dgm:chPref val="3"/>
        </dgm:presLayoutVars>
      </dgm:prSet>
      <dgm:spPr/>
    </dgm:pt>
    <dgm:pt modelId="{A18E93E9-CA62-4799-A4A4-4AD8D80E1A86}" type="pres">
      <dgm:prSet presAssocID="{A41D72E9-2C78-48B5-BD7D-C1381877FD7E}" presName="level3hierChild" presStyleCnt="0"/>
      <dgm:spPr/>
    </dgm:pt>
    <dgm:pt modelId="{8E7158E1-294C-4D33-8216-7B1B69CB68C3}" type="pres">
      <dgm:prSet presAssocID="{028D1290-A2FC-43BD-BBE0-3D9D5D715153}" presName="conn2-1" presStyleLbl="parChTrans1D4" presStyleIdx="8" presStyleCnt="10"/>
      <dgm:spPr/>
    </dgm:pt>
    <dgm:pt modelId="{52BC655F-4439-4A83-9224-76B8EA86E89C}" type="pres">
      <dgm:prSet presAssocID="{028D1290-A2FC-43BD-BBE0-3D9D5D715153}" presName="connTx" presStyleLbl="parChTrans1D4" presStyleIdx="8" presStyleCnt="10"/>
      <dgm:spPr/>
    </dgm:pt>
    <dgm:pt modelId="{B5EFA412-D4E9-4CBE-B979-90592A645687}" type="pres">
      <dgm:prSet presAssocID="{241770BA-9795-42B1-9426-B082AFE49C09}" presName="root2" presStyleCnt="0"/>
      <dgm:spPr/>
    </dgm:pt>
    <dgm:pt modelId="{778776B0-6F5E-4A58-93D8-59BB3630F525}" type="pres">
      <dgm:prSet presAssocID="{241770BA-9795-42B1-9426-B082AFE49C09}" presName="LevelTwoTextNode" presStyleLbl="node4" presStyleIdx="8" presStyleCnt="10" custScaleX="67714" custScaleY="22497" custLinFactNeighborX="-2413" custLinFactNeighborY="68722">
        <dgm:presLayoutVars>
          <dgm:chPref val="3"/>
        </dgm:presLayoutVars>
      </dgm:prSet>
      <dgm:spPr/>
    </dgm:pt>
    <dgm:pt modelId="{0BF4897C-6CFA-4F84-9ACC-1BC6F5C8803C}" type="pres">
      <dgm:prSet presAssocID="{241770BA-9795-42B1-9426-B082AFE49C09}" presName="level3hierChild" presStyleCnt="0"/>
      <dgm:spPr/>
    </dgm:pt>
    <dgm:pt modelId="{872C3E18-8C9D-4F32-84A6-2F9FD09D9194}" type="pres">
      <dgm:prSet presAssocID="{B59112B4-27B0-48C6-BE5C-AC3A0DFEED65}" presName="conn2-1" presStyleLbl="parChTrans1D4" presStyleIdx="9" presStyleCnt="10"/>
      <dgm:spPr/>
    </dgm:pt>
    <dgm:pt modelId="{E1AA0858-9124-4767-864C-EA93C50B6113}" type="pres">
      <dgm:prSet presAssocID="{B59112B4-27B0-48C6-BE5C-AC3A0DFEED65}" presName="connTx" presStyleLbl="parChTrans1D4" presStyleIdx="9" presStyleCnt="10"/>
      <dgm:spPr/>
    </dgm:pt>
    <dgm:pt modelId="{EECC6F63-839C-4201-B114-BF0C097D59AC}" type="pres">
      <dgm:prSet presAssocID="{6B2F4EBD-0588-433D-BDC9-CB90AB476E93}" presName="root2" presStyleCnt="0"/>
      <dgm:spPr/>
    </dgm:pt>
    <dgm:pt modelId="{D0953BFD-A9E5-445A-879D-994B68DDBF16}" type="pres">
      <dgm:prSet presAssocID="{6B2F4EBD-0588-433D-BDC9-CB90AB476E93}" presName="LevelTwoTextNode" presStyleLbl="node4" presStyleIdx="9" presStyleCnt="10" custScaleX="67714" custScaleY="22497" custLinFactY="44414" custLinFactNeighborX="-1768" custLinFactNeighborY="100000">
        <dgm:presLayoutVars>
          <dgm:chPref val="3"/>
        </dgm:presLayoutVars>
      </dgm:prSet>
      <dgm:spPr/>
    </dgm:pt>
    <dgm:pt modelId="{AFC6AE23-FD16-4D24-BB46-F9AEFED52B8B}" type="pres">
      <dgm:prSet presAssocID="{6B2F4EBD-0588-433D-BDC9-CB90AB476E93}" presName="level3hierChild" presStyleCnt="0"/>
      <dgm:spPr/>
    </dgm:pt>
    <dgm:pt modelId="{BF03BE95-0191-487A-81D4-7B1464A84271}" type="pres">
      <dgm:prSet presAssocID="{2FEBDD61-F47E-4187-B68C-33F93E8C6DA5}" presName="conn2-1" presStyleLbl="parChTrans1D3" presStyleIdx="3" presStyleCnt="4"/>
      <dgm:spPr/>
    </dgm:pt>
    <dgm:pt modelId="{E2510D0A-ED97-4A1D-BC86-C5879F26A917}" type="pres">
      <dgm:prSet presAssocID="{2FEBDD61-F47E-4187-B68C-33F93E8C6DA5}" presName="connTx" presStyleLbl="parChTrans1D3" presStyleIdx="3" presStyleCnt="4"/>
      <dgm:spPr/>
    </dgm:pt>
    <dgm:pt modelId="{7DBC28C9-8069-4EE0-B0D9-0A87156DA63F}" type="pres">
      <dgm:prSet presAssocID="{661FE512-40D7-433D-9F16-55C6C728AAEA}" presName="root2" presStyleCnt="0"/>
      <dgm:spPr/>
    </dgm:pt>
    <dgm:pt modelId="{C0A2D960-AF5A-445D-AE5F-800B8AC365D3}" type="pres">
      <dgm:prSet presAssocID="{661FE512-40D7-433D-9F16-55C6C728AAEA}" presName="LevelTwoTextNode" presStyleLbl="node3" presStyleIdx="3" presStyleCnt="4" custScaleX="67714" custScaleY="22497" custLinFactY="14173" custLinFactNeighborX="-4449" custLinFactNeighborY="100000">
        <dgm:presLayoutVars>
          <dgm:chPref val="3"/>
        </dgm:presLayoutVars>
      </dgm:prSet>
      <dgm:spPr/>
    </dgm:pt>
    <dgm:pt modelId="{DCB5F6A8-FF9A-4C1A-B134-D2FF44F1389E}" type="pres">
      <dgm:prSet presAssocID="{661FE512-40D7-433D-9F16-55C6C728AAEA}" presName="level3hierChild" presStyleCnt="0"/>
      <dgm:spPr/>
    </dgm:pt>
  </dgm:ptLst>
  <dgm:cxnLst>
    <dgm:cxn modelId="{63AC4D0A-094A-4AF0-B717-D2FACE4B4133}" srcId="{7A3D1130-4F69-4E59-9ACC-5B640EBD6EFF}" destId="{181C735C-A399-4DA3-8589-B01A149985B6}" srcOrd="0" destOrd="0" parTransId="{4FC62AB9-317C-4A1C-A0AD-C10D573B4C49}" sibTransId="{740954D0-DF39-40E1-8E68-C687849C8332}"/>
    <dgm:cxn modelId="{CB165E0B-060B-4093-8B2F-1AC3AB15AAA2}" type="presOf" srcId="{611F5EBD-32D7-4C41-899A-5B09F7276570}" destId="{DE55BEF5-93B4-4A69-A6D6-1C09C42D422D}" srcOrd="0" destOrd="0" presId="urn:microsoft.com/office/officeart/2005/8/layout/hierarchy2"/>
    <dgm:cxn modelId="{F5C7870E-CB12-4937-9585-F2319FF53FDC}" type="presOf" srcId="{2FEBDD61-F47E-4187-B68C-33F93E8C6DA5}" destId="{E2510D0A-ED97-4A1D-BC86-C5879F26A917}" srcOrd="1" destOrd="0" presId="urn:microsoft.com/office/officeart/2005/8/layout/hierarchy2"/>
    <dgm:cxn modelId="{FDC1C40E-20CE-4E7F-980B-E987C7B122F3}" type="presOf" srcId="{9218275F-2715-4861-997B-85A1D6142A13}" destId="{E9983D54-FC96-4942-9E52-FC69F6639DD3}" srcOrd="0" destOrd="0" presId="urn:microsoft.com/office/officeart/2005/8/layout/hierarchy2"/>
    <dgm:cxn modelId="{C9380E12-FEF8-48E4-92D8-4A3FBEA4E1A2}" type="presOf" srcId="{B63F0C89-71A1-4B60-AC8C-F6015144AA95}" destId="{3F9259DF-0F1B-4774-9C39-78543A209636}" srcOrd="1" destOrd="0" presId="urn:microsoft.com/office/officeart/2005/8/layout/hierarchy2"/>
    <dgm:cxn modelId="{3E192414-9E4C-4AFF-A713-695D4B48BA5F}" type="presOf" srcId="{77B43507-91C0-4172-8210-B7BD86829BA3}" destId="{2F8B85E9-6CF6-4115-A357-ABFC584D494E}" srcOrd="0" destOrd="0" presId="urn:microsoft.com/office/officeart/2005/8/layout/hierarchy2"/>
    <dgm:cxn modelId="{295A0916-873C-47F7-BF09-C487BF7FB49E}" type="presOf" srcId="{9218275F-2715-4861-997B-85A1D6142A13}" destId="{73D4ADA3-7D22-4189-94D1-DD80977A6A2A}" srcOrd="1" destOrd="0" presId="urn:microsoft.com/office/officeart/2005/8/layout/hierarchy2"/>
    <dgm:cxn modelId="{634B5418-38A6-48D8-B05F-51C7EF4BA736}" type="presOf" srcId="{4FC62AB9-317C-4A1C-A0AD-C10D573B4C49}" destId="{C6187C16-B219-43BA-B961-4E030BF7012C}" srcOrd="1" destOrd="0" presId="urn:microsoft.com/office/officeart/2005/8/layout/hierarchy2"/>
    <dgm:cxn modelId="{667A051A-9C99-4A3F-B669-32F2A428C21F}" type="presOf" srcId="{B41AB307-A081-4264-9130-95C84CE88154}" destId="{6925EB5E-0D47-4481-B6FA-74A76E9D6FD2}" srcOrd="1" destOrd="0" presId="urn:microsoft.com/office/officeart/2005/8/layout/hierarchy2"/>
    <dgm:cxn modelId="{095BCB1B-3BB7-4654-86D0-E4F015E264EB}" type="presOf" srcId="{A41D72E9-2C78-48B5-BD7D-C1381877FD7E}" destId="{24F6AB9A-C44D-402F-B1AF-B011B11524E7}" srcOrd="0" destOrd="0" presId="urn:microsoft.com/office/officeart/2005/8/layout/hierarchy2"/>
    <dgm:cxn modelId="{378DDA28-5CD2-4409-898D-6F9774F972D4}" type="presOf" srcId="{8F547023-3538-4EE8-93A4-8FB441205E03}" destId="{E9013B9B-0814-4824-B7A5-76BC1EEA3FFD}" srcOrd="0" destOrd="0" presId="urn:microsoft.com/office/officeart/2005/8/layout/hierarchy2"/>
    <dgm:cxn modelId="{3405B029-B748-4330-9489-4C40178A1D6B}" type="presOf" srcId="{B59112B4-27B0-48C6-BE5C-AC3A0DFEED65}" destId="{E1AA0858-9124-4767-864C-EA93C50B6113}" srcOrd="1" destOrd="0" presId="urn:microsoft.com/office/officeart/2005/8/layout/hierarchy2"/>
    <dgm:cxn modelId="{BD56932C-05AE-472E-9F38-5E5F80B9D024}" type="presOf" srcId="{241770BA-9795-42B1-9426-B082AFE49C09}" destId="{778776B0-6F5E-4A58-93D8-59BB3630F525}" srcOrd="0" destOrd="0" presId="urn:microsoft.com/office/officeart/2005/8/layout/hierarchy2"/>
    <dgm:cxn modelId="{D7742531-6406-4108-9A09-7F1CEE09CDCD}" type="presOf" srcId="{C2BB84B3-6B94-40E5-8A8C-88566F375E4A}" destId="{267ED168-A2AD-42CE-8538-059248ABFC23}" srcOrd="0" destOrd="0" presId="urn:microsoft.com/office/officeart/2005/8/layout/hierarchy2"/>
    <dgm:cxn modelId="{DC6F0C33-B0F8-4530-B3C0-A9A4D420E2EC}" srcId="{1C5200FE-FFA9-4D32-BBCD-D593EE845AF0}" destId="{A0B9EC76-736B-41EF-A0BF-FF6D2F0BB0BB}" srcOrd="0" destOrd="0" parTransId="{28C379F9-AA32-41ED-A99B-1AC6034AA385}" sibTransId="{4D5E0712-8273-4EDC-9A28-41B51FF32779}"/>
    <dgm:cxn modelId="{35881A33-01D6-45BD-9AD8-7832C3911F30}" srcId="{1F9854BB-22E9-4049-9456-C1C1896FCEC5}" destId="{4102858B-66E2-4F4D-8103-BC8FCF77C011}" srcOrd="0" destOrd="0" parTransId="{464485DC-5F1E-45C4-9E48-32AA4E456A2D}" sibTransId="{04B2353E-694B-46D8-B1DD-A0A2DEFE17AA}"/>
    <dgm:cxn modelId="{ABC8CC3B-4756-46DF-8F3C-D30BA6E1C63E}" type="presOf" srcId="{B59112B4-27B0-48C6-BE5C-AC3A0DFEED65}" destId="{872C3E18-8C9D-4F32-84A6-2F9FD09D9194}" srcOrd="0" destOrd="0" presId="urn:microsoft.com/office/officeart/2005/8/layout/hierarchy2"/>
    <dgm:cxn modelId="{0F20A15E-2ACA-4672-8D40-15BBDAE8186B}" type="presOf" srcId="{BD5CB513-6A87-438F-94A4-8C766EF0E3BF}" destId="{1903229A-54A0-45D6-928C-45BC37FEA4DB}" srcOrd="0" destOrd="0" presId="urn:microsoft.com/office/officeart/2005/8/layout/hierarchy2"/>
    <dgm:cxn modelId="{95F81A5F-FF8B-46AB-B980-3B16790BBD39}" type="presOf" srcId="{464485DC-5F1E-45C4-9E48-32AA4E456A2D}" destId="{FC40F70A-F5C9-433A-A55D-123A5B28E785}" srcOrd="0" destOrd="0" presId="urn:microsoft.com/office/officeart/2005/8/layout/hierarchy2"/>
    <dgm:cxn modelId="{1B801362-9E7C-4F71-9114-C02C4E7E49C2}" type="presOf" srcId="{4514F283-0637-4D79-A3B9-03CF59D1582C}" destId="{84A50755-D473-4C26-B04A-D905E4A37B75}" srcOrd="1" destOrd="0" presId="urn:microsoft.com/office/officeart/2005/8/layout/hierarchy2"/>
    <dgm:cxn modelId="{12A88863-9D5E-4890-AFFD-B73BAEB6B428}" srcId="{4102858B-66E2-4F4D-8103-BC8FCF77C011}" destId="{BEE09A10-6C19-46C6-A747-9CF8BA45C75F}" srcOrd="0" destOrd="0" parTransId="{8F547023-3538-4EE8-93A4-8FB441205E03}" sibTransId="{B58B11F0-6E00-4B8E-9F77-5DF27BE008BC}"/>
    <dgm:cxn modelId="{22EA8D63-13A2-43D8-84FB-61270723BA84}" srcId="{BEE09A10-6C19-46C6-A747-9CF8BA45C75F}" destId="{C2BB84B3-6B94-40E5-8A8C-88566F375E4A}" srcOrd="0" destOrd="0" parTransId="{608C57D1-7F6F-4DB7-BA8A-DB71BD82B5BA}" sibTransId="{AAAC1DF3-A327-4894-A4FE-FE8BD2FD21FA}"/>
    <dgm:cxn modelId="{0E85C069-F5AC-4E2D-959E-032AC0CA870F}" type="presOf" srcId="{E11C2CE7-F243-4F6E-9D3B-6A7F5BC585D0}" destId="{4DEFB0B5-C8D7-4752-AA4C-317010537328}" srcOrd="0" destOrd="0" presId="urn:microsoft.com/office/officeart/2005/8/layout/hierarchy2"/>
    <dgm:cxn modelId="{ECAB156A-08CA-404C-8E8A-902F003923C0}" type="presOf" srcId="{4BEC090C-1E15-4161-8659-B6B7DA165CC0}" destId="{60D0B9E6-82C7-4381-AE3D-A682BDCF8863}" srcOrd="0" destOrd="0" presId="urn:microsoft.com/office/officeart/2005/8/layout/hierarchy2"/>
    <dgm:cxn modelId="{4297C46B-1CF3-4990-AC9D-D8BD1E801252}" srcId="{BEE09A10-6C19-46C6-A747-9CF8BA45C75F}" destId="{611F5EBD-32D7-4C41-899A-5B09F7276570}" srcOrd="1" destOrd="0" parTransId="{4514F283-0637-4D79-A3B9-03CF59D1582C}" sibTransId="{00ADB120-16D7-482C-9D68-49DE47589D5D}"/>
    <dgm:cxn modelId="{E4EFE84C-CEEC-4A09-98F5-019B230674F4}" srcId="{A41D72E9-2C78-48B5-BD7D-C1381877FD7E}" destId="{241770BA-9795-42B1-9426-B082AFE49C09}" srcOrd="0" destOrd="0" parTransId="{028D1290-A2FC-43BD-BBE0-3D9D5D715153}" sibTransId="{D55A5817-2ABD-4A9F-97C6-7A20B7232503}"/>
    <dgm:cxn modelId="{9767F94C-27DA-46C0-9E34-10C5CE97E6B9}" type="presOf" srcId="{76F6ED56-039E-4362-929F-14CA94C44354}" destId="{EFD08717-F61D-4FA3-AEAA-43BEC3867CFC}" srcOrd="0" destOrd="0" presId="urn:microsoft.com/office/officeart/2005/8/layout/hierarchy2"/>
    <dgm:cxn modelId="{D9B1294D-3EA1-4635-9B5F-014E9B49FBC4}" type="presOf" srcId="{78A0168A-B3D4-43A1-9440-9C1323BD7FEB}" destId="{1EF76CB9-B85D-4288-B228-1684949A83BF}" srcOrd="1" destOrd="0" presId="urn:microsoft.com/office/officeart/2005/8/layout/hierarchy2"/>
    <dgm:cxn modelId="{D5DE5A4D-252B-4B35-8E83-B37FEF7F82E8}" type="presOf" srcId="{4EF6EBEC-0A1E-4B9E-B648-62EB9C349AA7}" destId="{53585537-C841-4613-9227-8942CC9F940E}" srcOrd="0" destOrd="0" presId="urn:microsoft.com/office/officeart/2005/8/layout/hierarchy2"/>
    <dgm:cxn modelId="{A314E04D-1B32-4670-A9A3-EC6687F38A82}" type="presOf" srcId="{D6D15481-5E8B-4FD1-84DB-30AF31AE0AF3}" destId="{90D847B5-D5A0-4244-846E-8ADF8BABDEED}" srcOrd="0" destOrd="0" presId="urn:microsoft.com/office/officeart/2005/8/layout/hierarchy2"/>
    <dgm:cxn modelId="{E7C5BD71-1F73-4F3B-8697-C5651DB52205}" type="presOf" srcId="{4102858B-66E2-4F4D-8103-BC8FCF77C011}" destId="{D65DD3F9-CCB1-44FA-B8E8-39B9016DCB19}" srcOrd="0" destOrd="0" presId="urn:microsoft.com/office/officeart/2005/8/layout/hierarchy2"/>
    <dgm:cxn modelId="{C2989A74-ACC3-4898-B410-3E8DF1564020}" type="presOf" srcId="{BEE09A10-6C19-46C6-A747-9CF8BA45C75F}" destId="{5ADC1B57-59CD-4290-8D3C-1F2B4B01AB44}" srcOrd="0" destOrd="0" presId="urn:microsoft.com/office/officeart/2005/8/layout/hierarchy2"/>
    <dgm:cxn modelId="{7936FC54-FF04-4BCE-A785-B28B2C40FD45}" type="presOf" srcId="{661FE512-40D7-433D-9F16-55C6C728AAEA}" destId="{C0A2D960-AF5A-445D-AE5F-800B8AC365D3}" srcOrd="0" destOrd="0" presId="urn:microsoft.com/office/officeart/2005/8/layout/hierarchy2"/>
    <dgm:cxn modelId="{B6F51356-2EF7-4A24-B57C-CC0CA9F3B858}" type="presOf" srcId="{B41AB307-A081-4264-9130-95C84CE88154}" destId="{7940BBF2-D172-46D0-90EF-BFC9EA425F6D}" srcOrd="0" destOrd="0" presId="urn:microsoft.com/office/officeart/2005/8/layout/hierarchy2"/>
    <dgm:cxn modelId="{EB657B57-CD5E-42C9-9656-F809B4B163BD}" type="presOf" srcId="{D6D15481-5E8B-4FD1-84DB-30AF31AE0AF3}" destId="{85EB8BBE-3858-4FF3-9A9C-0BED01FA18BC}" srcOrd="1" destOrd="0" presId="urn:microsoft.com/office/officeart/2005/8/layout/hierarchy2"/>
    <dgm:cxn modelId="{58B1AF57-C9DB-49B8-9139-79476E400A81}" type="presOf" srcId="{181C735C-A399-4DA3-8589-B01A149985B6}" destId="{8557AC88-9D33-43F5-B999-D618E2615BC6}" srcOrd="0" destOrd="0" presId="urn:microsoft.com/office/officeart/2005/8/layout/hierarchy2"/>
    <dgm:cxn modelId="{980FD87F-A04E-4D8A-B0CB-FFC4758BB523}" srcId="{4BEC090C-1E15-4161-8659-B6B7DA165CC0}" destId="{1F9854BB-22E9-4049-9456-C1C1896FCEC5}" srcOrd="0" destOrd="0" parTransId="{D6D15481-5E8B-4FD1-84DB-30AF31AE0AF3}" sibTransId="{9A779EFA-D14F-42D3-8D6F-F5824C214B0E}"/>
    <dgm:cxn modelId="{E2356781-71E6-4871-953A-9C00DF43BB4D}" type="presOf" srcId="{2FEBDD61-F47E-4187-B68C-33F93E8C6DA5}" destId="{BF03BE95-0191-487A-81D4-7B1464A84271}" srcOrd="0" destOrd="0" presId="urn:microsoft.com/office/officeart/2005/8/layout/hierarchy2"/>
    <dgm:cxn modelId="{FFDF0D82-106B-42F5-881A-70CFC637817B}" type="presOf" srcId="{BD5CB513-6A87-438F-94A4-8C766EF0E3BF}" destId="{CA7302ED-9C8F-459D-8E1B-FFC4D6AECEC7}" srcOrd="1" destOrd="0" presId="urn:microsoft.com/office/officeart/2005/8/layout/hierarchy2"/>
    <dgm:cxn modelId="{2019FC85-98F1-49A4-B1E0-085B4F226A4D}" type="presOf" srcId="{1F9854BB-22E9-4049-9456-C1C1896FCEC5}" destId="{6C6B7D74-2E3F-42FA-BE1C-9AE309B40A28}" srcOrd="0" destOrd="0" presId="urn:microsoft.com/office/officeart/2005/8/layout/hierarchy2"/>
    <dgm:cxn modelId="{DB0AA486-48C6-4042-B575-CE74B616BFCB}" srcId="{4BEC090C-1E15-4161-8659-B6B7DA165CC0}" destId="{0B8F6A2C-499F-4D42-90C6-D5D0C08F7746}" srcOrd="1" destOrd="0" parTransId="{BD5CB513-6A87-438F-94A4-8C766EF0E3BF}" sibTransId="{968430DC-312F-4F74-9ADC-3A1E3A089BF2}"/>
    <dgm:cxn modelId="{A4A7B68E-EDF0-4161-892F-3B1BFEB361AB}" srcId="{E11C2CE7-F243-4F6E-9D3B-6A7F5BC585D0}" destId="{4BEC090C-1E15-4161-8659-B6B7DA165CC0}" srcOrd="0" destOrd="0" parTransId="{9EBE5B1D-83DE-4957-9892-FCDD2C4704CB}" sibTransId="{4CD070C9-978B-49EA-8790-2550A7262776}"/>
    <dgm:cxn modelId="{677A9696-1C94-492A-AE62-EF2F78E7F1B3}" type="presOf" srcId="{608C57D1-7F6F-4DB7-BA8A-DB71BD82B5BA}" destId="{2AD3D3E2-C6AC-405A-9A8A-D0423B528F9D}" srcOrd="0" destOrd="0" presId="urn:microsoft.com/office/officeart/2005/8/layout/hierarchy2"/>
    <dgm:cxn modelId="{56BED5A2-73BB-4CB7-A397-31D72B893FEE}" type="presOf" srcId="{028D1290-A2FC-43BD-BBE0-3D9D5D715153}" destId="{52BC655F-4439-4A83-9224-76B8EA86E89C}" srcOrd="1" destOrd="0" presId="urn:microsoft.com/office/officeart/2005/8/layout/hierarchy2"/>
    <dgm:cxn modelId="{21BFD8A7-0447-440B-B174-0851B5DA9980}" type="presOf" srcId="{28C379F9-AA32-41ED-A99B-1AC6034AA385}" destId="{7B531297-ACDD-496E-AA2F-404F042F5E9B}" srcOrd="1" destOrd="0" presId="urn:microsoft.com/office/officeart/2005/8/layout/hierarchy2"/>
    <dgm:cxn modelId="{89EA4FB5-33D9-4943-BAB4-3C0DA279F013}" type="presOf" srcId="{464485DC-5F1E-45C4-9E48-32AA4E456A2D}" destId="{3938B017-FE74-4A39-AFB9-F36E1F3C9CD0}" srcOrd="1" destOrd="0" presId="urn:microsoft.com/office/officeart/2005/8/layout/hierarchy2"/>
    <dgm:cxn modelId="{221FB7B9-BD64-4B10-8CE1-D1815E8A9BDB}" srcId="{A41D72E9-2C78-48B5-BD7D-C1381877FD7E}" destId="{6B2F4EBD-0588-433D-BDC9-CB90AB476E93}" srcOrd="1" destOrd="0" parTransId="{B59112B4-27B0-48C6-BE5C-AC3A0DFEED65}" sibTransId="{152AEC12-7501-4572-A083-B41AF931EDF9}"/>
    <dgm:cxn modelId="{86AB34BB-4AAC-4BD8-B3E9-406F7407E75E}" type="presOf" srcId="{8F547023-3538-4EE8-93A4-8FB441205E03}" destId="{9D010A7E-BD5A-48B4-B2BE-E12A3A55371A}" srcOrd="1" destOrd="0" presId="urn:microsoft.com/office/officeart/2005/8/layout/hierarchy2"/>
    <dgm:cxn modelId="{EA7CC7C2-79B2-4DBE-A340-8DA93E57D09F}" srcId="{0B8F6A2C-499F-4D42-90C6-D5D0C08F7746}" destId="{661FE512-40D7-433D-9F16-55C6C728AAEA}" srcOrd="1" destOrd="0" parTransId="{2FEBDD61-F47E-4187-B68C-33F93E8C6DA5}" sibTransId="{83CA8007-68EE-4333-B604-63AE063E2CD7}"/>
    <dgm:cxn modelId="{030174CA-85E3-49E6-B7A2-37A6D0F92CB2}" type="presOf" srcId="{4FC62AB9-317C-4A1C-A0AD-C10D573B4C49}" destId="{AF2C4515-2D24-4ADA-87E3-26CC2F6CC2A6}" srcOrd="0" destOrd="0" presId="urn:microsoft.com/office/officeart/2005/8/layout/hierarchy2"/>
    <dgm:cxn modelId="{ECA88BCA-A6D4-4117-A26F-CF8AABCB959D}" type="presOf" srcId="{A0B9EC76-736B-41EF-A0BF-FF6D2F0BB0BB}" destId="{F37F940C-FB29-4D0E-B70D-83659D265A1E}" srcOrd="0" destOrd="0" presId="urn:microsoft.com/office/officeart/2005/8/layout/hierarchy2"/>
    <dgm:cxn modelId="{C44720D2-A7C8-4933-8619-602F46082A7E}" type="presOf" srcId="{028D1290-A2FC-43BD-BBE0-3D9D5D715153}" destId="{8E7158E1-294C-4D33-8216-7B1B69CB68C3}" srcOrd="0" destOrd="0" presId="urn:microsoft.com/office/officeart/2005/8/layout/hierarchy2"/>
    <dgm:cxn modelId="{0DB1C2D4-9F8A-4B19-A561-75DC1DB24803}" srcId="{7A3D1130-4F69-4E59-9ACC-5B640EBD6EFF}" destId="{77B43507-91C0-4172-8210-B7BD86829BA3}" srcOrd="1" destOrd="0" parTransId="{9218275F-2715-4861-997B-85A1D6142A13}" sibTransId="{6484DD91-D42F-4795-8862-4CB2FCD693DD}"/>
    <dgm:cxn modelId="{038A62D6-02F2-478F-BDFF-FD04933DB296}" type="presOf" srcId="{608C57D1-7F6F-4DB7-BA8A-DB71BD82B5BA}" destId="{CD486216-BBE7-436F-9D63-9AD1931FF610}" srcOrd="1" destOrd="0" presId="urn:microsoft.com/office/officeart/2005/8/layout/hierarchy2"/>
    <dgm:cxn modelId="{F20C56DD-E9DC-402D-8202-C206451C87F5}" srcId="{1C5200FE-FFA9-4D32-BBCD-D593EE845AF0}" destId="{A41D72E9-2C78-48B5-BD7D-C1381877FD7E}" srcOrd="1" destOrd="0" parTransId="{B63F0C89-71A1-4B60-AC8C-F6015144AA95}" sibTransId="{8638F548-EBED-4FFB-AA80-92500E2E3FBC}"/>
    <dgm:cxn modelId="{36DB8EDD-48CC-4AFA-8F4D-754F06EC0A45}" type="presOf" srcId="{6B2F4EBD-0588-433D-BDC9-CB90AB476E93}" destId="{D0953BFD-A9E5-445A-879D-994B68DDBF16}" srcOrd="0" destOrd="0" presId="urn:microsoft.com/office/officeart/2005/8/layout/hierarchy2"/>
    <dgm:cxn modelId="{69D400E0-F121-47D3-9D38-3FFFF7CCEC75}" type="presOf" srcId="{78A0168A-B3D4-43A1-9440-9C1323BD7FEB}" destId="{1877F5C3-3D89-4C58-A1F1-078525DE5F22}" srcOrd="0" destOrd="0" presId="urn:microsoft.com/office/officeart/2005/8/layout/hierarchy2"/>
    <dgm:cxn modelId="{25F50FE0-894D-422F-A7F9-EE9BE4377657}" type="presOf" srcId="{7A3D1130-4F69-4E59-9ACC-5B640EBD6EFF}" destId="{C33B4FFC-EE71-4E57-B768-C2BD25E243E8}" srcOrd="0" destOrd="0" presId="urn:microsoft.com/office/officeart/2005/8/layout/hierarchy2"/>
    <dgm:cxn modelId="{33C2DAE6-3B45-4FFA-8669-37EDD253ADB0}" type="presOf" srcId="{4514F283-0637-4D79-A3B9-03CF59D1582C}" destId="{0B134E92-FA95-4B28-BD52-07F1716B3C18}" srcOrd="0" destOrd="0" presId="urn:microsoft.com/office/officeart/2005/8/layout/hierarchy2"/>
    <dgm:cxn modelId="{492B54EA-8E2F-42FA-A103-E7CA2F9B33D1}" type="presOf" srcId="{0B8F6A2C-499F-4D42-90C6-D5D0C08F7746}" destId="{3FBAFE53-594D-4D03-B138-006A0BB47A9C}" srcOrd="0" destOrd="0" presId="urn:microsoft.com/office/officeart/2005/8/layout/hierarchy2"/>
    <dgm:cxn modelId="{90EAD3EC-2996-4BDC-8AE5-6A4376640AB5}" srcId="{0B8F6A2C-499F-4D42-90C6-D5D0C08F7746}" destId="{1C5200FE-FFA9-4D32-BBCD-D593EE845AF0}" srcOrd="0" destOrd="0" parTransId="{78A0168A-B3D4-43A1-9440-9C1323BD7FEB}" sibTransId="{2064185F-0951-4CD0-BDF4-3C6BFCA2711B}"/>
    <dgm:cxn modelId="{C26D30F0-954D-4F71-8C1A-FE8E4EDDA73D}" type="presOf" srcId="{28C379F9-AA32-41ED-A99B-1AC6034AA385}" destId="{49F9E345-50CC-4F52-AFB5-C0A28306BF16}" srcOrd="0" destOrd="0" presId="urn:microsoft.com/office/officeart/2005/8/layout/hierarchy2"/>
    <dgm:cxn modelId="{070025F1-E88E-41FB-899C-8A04F4FCAF91}" srcId="{4102858B-66E2-4F4D-8103-BC8FCF77C011}" destId="{76F6ED56-039E-4362-929F-14CA94C44354}" srcOrd="1" destOrd="0" parTransId="{4EF6EBEC-0A1E-4B9E-B648-62EB9C349AA7}" sibTransId="{15E9C307-BB46-42B2-BB17-AEBFEE2AD831}"/>
    <dgm:cxn modelId="{650BADF8-C3DC-4596-B1E5-DB435FDA5C20}" type="presOf" srcId="{1C5200FE-FFA9-4D32-BBCD-D593EE845AF0}" destId="{752E73D5-6F0C-4299-B028-43DCAE9EBF12}" srcOrd="0" destOrd="0" presId="urn:microsoft.com/office/officeart/2005/8/layout/hierarchy2"/>
    <dgm:cxn modelId="{6B3E6EFA-4CF6-4319-AAC1-8245F69C29D2}" type="presOf" srcId="{B63F0C89-71A1-4B60-AC8C-F6015144AA95}" destId="{FDDDA80B-6837-42EE-B31C-6D401D247906}" srcOrd="0" destOrd="0" presId="urn:microsoft.com/office/officeart/2005/8/layout/hierarchy2"/>
    <dgm:cxn modelId="{DAD22DFD-05CA-4330-AD42-A5F28487B037}" srcId="{1F9854BB-22E9-4049-9456-C1C1896FCEC5}" destId="{7A3D1130-4F69-4E59-9ACC-5B640EBD6EFF}" srcOrd="1" destOrd="0" parTransId="{B41AB307-A081-4264-9130-95C84CE88154}" sibTransId="{C78EE015-1D63-4783-95F7-35114C4686DE}"/>
    <dgm:cxn modelId="{D453DFFE-0796-4BE9-AE4E-9930F158B37F}" type="presOf" srcId="{4EF6EBEC-0A1E-4B9E-B648-62EB9C349AA7}" destId="{0A56F2DB-8DE4-4BD5-B764-228B4F527E1A}" srcOrd="1" destOrd="0" presId="urn:microsoft.com/office/officeart/2005/8/layout/hierarchy2"/>
    <dgm:cxn modelId="{C36E318B-0BA6-4057-AE62-55B34185281D}" type="presParOf" srcId="{4DEFB0B5-C8D7-4752-AA4C-317010537328}" destId="{7196CBE0-3640-4DD7-AC5E-27E6006D6C5A}" srcOrd="0" destOrd="0" presId="urn:microsoft.com/office/officeart/2005/8/layout/hierarchy2"/>
    <dgm:cxn modelId="{6F9DAF35-D9A0-46E4-B36E-295CD7C800FD}" type="presParOf" srcId="{7196CBE0-3640-4DD7-AC5E-27E6006D6C5A}" destId="{60D0B9E6-82C7-4381-AE3D-A682BDCF8863}" srcOrd="0" destOrd="0" presId="urn:microsoft.com/office/officeart/2005/8/layout/hierarchy2"/>
    <dgm:cxn modelId="{D19E34A0-F81B-4CB7-9F8C-555FBE5F9E18}" type="presParOf" srcId="{7196CBE0-3640-4DD7-AC5E-27E6006D6C5A}" destId="{8233B2F5-8510-4097-89C8-3D61320F8C19}" srcOrd="1" destOrd="0" presId="urn:microsoft.com/office/officeart/2005/8/layout/hierarchy2"/>
    <dgm:cxn modelId="{E26C902D-BFF9-436C-A676-64123AE5B8EC}" type="presParOf" srcId="{8233B2F5-8510-4097-89C8-3D61320F8C19}" destId="{90D847B5-D5A0-4244-846E-8ADF8BABDEED}" srcOrd="0" destOrd="0" presId="urn:microsoft.com/office/officeart/2005/8/layout/hierarchy2"/>
    <dgm:cxn modelId="{0E5963D7-70E5-493B-A5A8-B53B8C970501}" type="presParOf" srcId="{90D847B5-D5A0-4244-846E-8ADF8BABDEED}" destId="{85EB8BBE-3858-4FF3-9A9C-0BED01FA18BC}" srcOrd="0" destOrd="0" presId="urn:microsoft.com/office/officeart/2005/8/layout/hierarchy2"/>
    <dgm:cxn modelId="{42BCBF6D-009F-4C6E-834F-4F574D5F9B29}" type="presParOf" srcId="{8233B2F5-8510-4097-89C8-3D61320F8C19}" destId="{6E9E233E-39EB-4569-AF1D-76A28B0504EE}" srcOrd="1" destOrd="0" presId="urn:microsoft.com/office/officeart/2005/8/layout/hierarchy2"/>
    <dgm:cxn modelId="{EBC6A0B9-DD39-4B6B-825E-45D3FAD60912}" type="presParOf" srcId="{6E9E233E-39EB-4569-AF1D-76A28B0504EE}" destId="{6C6B7D74-2E3F-42FA-BE1C-9AE309B40A28}" srcOrd="0" destOrd="0" presId="urn:microsoft.com/office/officeart/2005/8/layout/hierarchy2"/>
    <dgm:cxn modelId="{FE400F2E-3F3D-44B4-9F42-7C6E7B7025D8}" type="presParOf" srcId="{6E9E233E-39EB-4569-AF1D-76A28B0504EE}" destId="{5C78518D-1A63-4D18-8CCE-670B580276B4}" srcOrd="1" destOrd="0" presId="urn:microsoft.com/office/officeart/2005/8/layout/hierarchy2"/>
    <dgm:cxn modelId="{134C6794-2E7A-4EA3-927B-7293539FAE34}" type="presParOf" srcId="{5C78518D-1A63-4D18-8CCE-670B580276B4}" destId="{FC40F70A-F5C9-433A-A55D-123A5B28E785}" srcOrd="0" destOrd="0" presId="urn:microsoft.com/office/officeart/2005/8/layout/hierarchy2"/>
    <dgm:cxn modelId="{5BCC0ADA-44CA-4A66-BA3A-003205C385AE}" type="presParOf" srcId="{FC40F70A-F5C9-433A-A55D-123A5B28E785}" destId="{3938B017-FE74-4A39-AFB9-F36E1F3C9CD0}" srcOrd="0" destOrd="0" presId="urn:microsoft.com/office/officeart/2005/8/layout/hierarchy2"/>
    <dgm:cxn modelId="{9B9CBE3B-8C4A-4FC8-ACFD-F2204BB534AB}" type="presParOf" srcId="{5C78518D-1A63-4D18-8CCE-670B580276B4}" destId="{53AD0F57-EA3C-4714-8371-E9DB12E8CB68}" srcOrd="1" destOrd="0" presId="urn:microsoft.com/office/officeart/2005/8/layout/hierarchy2"/>
    <dgm:cxn modelId="{0A254137-932D-4225-B67B-097AF9973C09}" type="presParOf" srcId="{53AD0F57-EA3C-4714-8371-E9DB12E8CB68}" destId="{D65DD3F9-CCB1-44FA-B8E8-39B9016DCB19}" srcOrd="0" destOrd="0" presId="urn:microsoft.com/office/officeart/2005/8/layout/hierarchy2"/>
    <dgm:cxn modelId="{8405904D-8B9B-4B47-A3FA-23C26B7C7032}" type="presParOf" srcId="{53AD0F57-EA3C-4714-8371-E9DB12E8CB68}" destId="{275F2363-88CA-4B3F-8244-F349A2BC576D}" srcOrd="1" destOrd="0" presId="urn:microsoft.com/office/officeart/2005/8/layout/hierarchy2"/>
    <dgm:cxn modelId="{4C32A613-0EDD-4CB0-9317-BF2A30EBA2D3}" type="presParOf" srcId="{275F2363-88CA-4B3F-8244-F349A2BC576D}" destId="{E9013B9B-0814-4824-B7A5-76BC1EEA3FFD}" srcOrd="0" destOrd="0" presId="urn:microsoft.com/office/officeart/2005/8/layout/hierarchy2"/>
    <dgm:cxn modelId="{91297910-DCDB-4101-BD2D-11F33F635FCB}" type="presParOf" srcId="{E9013B9B-0814-4824-B7A5-76BC1EEA3FFD}" destId="{9D010A7E-BD5A-48B4-B2BE-E12A3A55371A}" srcOrd="0" destOrd="0" presId="urn:microsoft.com/office/officeart/2005/8/layout/hierarchy2"/>
    <dgm:cxn modelId="{F2C8C6C6-ED28-40FA-845B-043F3EE7ADEE}" type="presParOf" srcId="{275F2363-88CA-4B3F-8244-F349A2BC576D}" destId="{89338983-973E-41F4-9138-6B3B7AAD4F38}" srcOrd="1" destOrd="0" presId="urn:microsoft.com/office/officeart/2005/8/layout/hierarchy2"/>
    <dgm:cxn modelId="{F5BE46F3-2C39-41CF-B725-CD7810755B50}" type="presParOf" srcId="{89338983-973E-41F4-9138-6B3B7AAD4F38}" destId="{5ADC1B57-59CD-4290-8D3C-1F2B4B01AB44}" srcOrd="0" destOrd="0" presId="urn:microsoft.com/office/officeart/2005/8/layout/hierarchy2"/>
    <dgm:cxn modelId="{110F144E-2508-443B-A9A7-1EB1F3EBC7BA}" type="presParOf" srcId="{89338983-973E-41F4-9138-6B3B7AAD4F38}" destId="{7895928F-01FD-4CDB-9573-0E95FE802AAC}" srcOrd="1" destOrd="0" presId="urn:microsoft.com/office/officeart/2005/8/layout/hierarchy2"/>
    <dgm:cxn modelId="{C7117336-DB4B-4609-95FD-1E92780DD7FC}" type="presParOf" srcId="{7895928F-01FD-4CDB-9573-0E95FE802AAC}" destId="{2AD3D3E2-C6AC-405A-9A8A-D0423B528F9D}" srcOrd="0" destOrd="0" presId="urn:microsoft.com/office/officeart/2005/8/layout/hierarchy2"/>
    <dgm:cxn modelId="{EFA90BE3-1B7D-4386-813E-2F4D98FF9616}" type="presParOf" srcId="{2AD3D3E2-C6AC-405A-9A8A-D0423B528F9D}" destId="{CD486216-BBE7-436F-9D63-9AD1931FF610}" srcOrd="0" destOrd="0" presId="urn:microsoft.com/office/officeart/2005/8/layout/hierarchy2"/>
    <dgm:cxn modelId="{7696F108-4AB8-4AAA-B02D-B054292478D7}" type="presParOf" srcId="{7895928F-01FD-4CDB-9573-0E95FE802AAC}" destId="{30383B94-4B06-4018-92E6-4F9D042D19C3}" srcOrd="1" destOrd="0" presId="urn:microsoft.com/office/officeart/2005/8/layout/hierarchy2"/>
    <dgm:cxn modelId="{D67BC6C7-3F54-4B74-BA05-54E0FFAD66E5}" type="presParOf" srcId="{30383B94-4B06-4018-92E6-4F9D042D19C3}" destId="{267ED168-A2AD-42CE-8538-059248ABFC23}" srcOrd="0" destOrd="0" presId="urn:microsoft.com/office/officeart/2005/8/layout/hierarchy2"/>
    <dgm:cxn modelId="{9F0598E3-000E-4F51-BD47-B0793026C2A2}" type="presParOf" srcId="{30383B94-4B06-4018-92E6-4F9D042D19C3}" destId="{FE554052-42BD-4A93-92E6-642793B7EAF0}" srcOrd="1" destOrd="0" presId="urn:microsoft.com/office/officeart/2005/8/layout/hierarchy2"/>
    <dgm:cxn modelId="{1C545819-8BE7-4583-9BD5-DB861737B3CB}" type="presParOf" srcId="{7895928F-01FD-4CDB-9573-0E95FE802AAC}" destId="{0B134E92-FA95-4B28-BD52-07F1716B3C18}" srcOrd="2" destOrd="0" presId="urn:microsoft.com/office/officeart/2005/8/layout/hierarchy2"/>
    <dgm:cxn modelId="{0440F0C4-B4A3-4A5C-B7DA-1169F926FFEE}" type="presParOf" srcId="{0B134E92-FA95-4B28-BD52-07F1716B3C18}" destId="{84A50755-D473-4C26-B04A-D905E4A37B75}" srcOrd="0" destOrd="0" presId="urn:microsoft.com/office/officeart/2005/8/layout/hierarchy2"/>
    <dgm:cxn modelId="{170F0276-5053-4E0A-8F06-9F0BD96D19DC}" type="presParOf" srcId="{7895928F-01FD-4CDB-9573-0E95FE802AAC}" destId="{9A4DDD95-4DFB-4F8C-AB5F-4A11FB7D7E46}" srcOrd="3" destOrd="0" presId="urn:microsoft.com/office/officeart/2005/8/layout/hierarchy2"/>
    <dgm:cxn modelId="{BD7E1663-EA30-4C36-82C5-990728C4EB74}" type="presParOf" srcId="{9A4DDD95-4DFB-4F8C-AB5F-4A11FB7D7E46}" destId="{DE55BEF5-93B4-4A69-A6D6-1C09C42D422D}" srcOrd="0" destOrd="0" presId="urn:microsoft.com/office/officeart/2005/8/layout/hierarchy2"/>
    <dgm:cxn modelId="{75BD2E5D-AD23-448E-A2B8-681828DEE86D}" type="presParOf" srcId="{9A4DDD95-4DFB-4F8C-AB5F-4A11FB7D7E46}" destId="{4B349A4D-A40F-4693-BD49-325E9CD02E3E}" srcOrd="1" destOrd="0" presId="urn:microsoft.com/office/officeart/2005/8/layout/hierarchy2"/>
    <dgm:cxn modelId="{CC47860E-F73E-4D0A-9AE7-B4B4AB6F05E8}" type="presParOf" srcId="{275F2363-88CA-4B3F-8244-F349A2BC576D}" destId="{53585537-C841-4613-9227-8942CC9F940E}" srcOrd="2" destOrd="0" presId="urn:microsoft.com/office/officeart/2005/8/layout/hierarchy2"/>
    <dgm:cxn modelId="{B348305A-429F-4DC0-88FC-5B3CE75F9F06}" type="presParOf" srcId="{53585537-C841-4613-9227-8942CC9F940E}" destId="{0A56F2DB-8DE4-4BD5-B764-228B4F527E1A}" srcOrd="0" destOrd="0" presId="urn:microsoft.com/office/officeart/2005/8/layout/hierarchy2"/>
    <dgm:cxn modelId="{6DD41365-EF52-4615-A973-0A0E5DE7592F}" type="presParOf" srcId="{275F2363-88CA-4B3F-8244-F349A2BC576D}" destId="{E5A0AD87-FD9A-4CDF-8B24-5669311CFB66}" srcOrd="3" destOrd="0" presId="urn:microsoft.com/office/officeart/2005/8/layout/hierarchy2"/>
    <dgm:cxn modelId="{45CC0C73-ADFE-437C-859E-823C63E536D6}" type="presParOf" srcId="{E5A0AD87-FD9A-4CDF-8B24-5669311CFB66}" destId="{EFD08717-F61D-4FA3-AEAA-43BEC3867CFC}" srcOrd="0" destOrd="0" presId="urn:microsoft.com/office/officeart/2005/8/layout/hierarchy2"/>
    <dgm:cxn modelId="{0DAFD67D-57A9-426B-ACF6-99E9E60DECD9}" type="presParOf" srcId="{E5A0AD87-FD9A-4CDF-8B24-5669311CFB66}" destId="{56D95B27-489D-49A1-A075-6C5D57ACB253}" srcOrd="1" destOrd="0" presId="urn:microsoft.com/office/officeart/2005/8/layout/hierarchy2"/>
    <dgm:cxn modelId="{62970425-962E-4BA8-A8B9-72A9EE9B30F5}" type="presParOf" srcId="{5C78518D-1A63-4D18-8CCE-670B580276B4}" destId="{7940BBF2-D172-46D0-90EF-BFC9EA425F6D}" srcOrd="2" destOrd="0" presId="urn:microsoft.com/office/officeart/2005/8/layout/hierarchy2"/>
    <dgm:cxn modelId="{31435B21-1CBE-45C9-9333-A21BF3625E69}" type="presParOf" srcId="{7940BBF2-D172-46D0-90EF-BFC9EA425F6D}" destId="{6925EB5E-0D47-4481-B6FA-74A76E9D6FD2}" srcOrd="0" destOrd="0" presId="urn:microsoft.com/office/officeart/2005/8/layout/hierarchy2"/>
    <dgm:cxn modelId="{1490A086-6887-43E3-A60B-77FC6C41609F}" type="presParOf" srcId="{5C78518D-1A63-4D18-8CCE-670B580276B4}" destId="{1073CCAF-0555-46C8-BA57-3C388E65B0E0}" srcOrd="3" destOrd="0" presId="urn:microsoft.com/office/officeart/2005/8/layout/hierarchy2"/>
    <dgm:cxn modelId="{63A594D9-C93E-4203-A703-A6DBA717E927}" type="presParOf" srcId="{1073CCAF-0555-46C8-BA57-3C388E65B0E0}" destId="{C33B4FFC-EE71-4E57-B768-C2BD25E243E8}" srcOrd="0" destOrd="0" presId="urn:microsoft.com/office/officeart/2005/8/layout/hierarchy2"/>
    <dgm:cxn modelId="{BA5F5CE0-727D-404B-B994-8149F12D81B0}" type="presParOf" srcId="{1073CCAF-0555-46C8-BA57-3C388E65B0E0}" destId="{B89D9910-ACE9-4879-AF2B-8383B88C5EAB}" srcOrd="1" destOrd="0" presId="urn:microsoft.com/office/officeart/2005/8/layout/hierarchy2"/>
    <dgm:cxn modelId="{73C6B1B1-7EC0-4814-AAB0-819E45F5EC8F}" type="presParOf" srcId="{B89D9910-ACE9-4879-AF2B-8383B88C5EAB}" destId="{AF2C4515-2D24-4ADA-87E3-26CC2F6CC2A6}" srcOrd="0" destOrd="0" presId="urn:microsoft.com/office/officeart/2005/8/layout/hierarchy2"/>
    <dgm:cxn modelId="{7BD3F716-C816-416B-8455-3B57898C3B49}" type="presParOf" srcId="{AF2C4515-2D24-4ADA-87E3-26CC2F6CC2A6}" destId="{C6187C16-B219-43BA-B961-4E030BF7012C}" srcOrd="0" destOrd="0" presId="urn:microsoft.com/office/officeart/2005/8/layout/hierarchy2"/>
    <dgm:cxn modelId="{E82F7E11-F318-4BA0-9D98-5FC9A6B05495}" type="presParOf" srcId="{B89D9910-ACE9-4879-AF2B-8383B88C5EAB}" destId="{6487C83E-50E8-4185-BDAE-15AEBCA01843}" srcOrd="1" destOrd="0" presId="urn:microsoft.com/office/officeart/2005/8/layout/hierarchy2"/>
    <dgm:cxn modelId="{334FC14C-9176-4628-AA8A-64F387C1EF29}" type="presParOf" srcId="{6487C83E-50E8-4185-BDAE-15AEBCA01843}" destId="{8557AC88-9D33-43F5-B999-D618E2615BC6}" srcOrd="0" destOrd="0" presId="urn:microsoft.com/office/officeart/2005/8/layout/hierarchy2"/>
    <dgm:cxn modelId="{DD1DD986-F242-49E0-9F77-199C9CAEA82E}" type="presParOf" srcId="{6487C83E-50E8-4185-BDAE-15AEBCA01843}" destId="{30CCDE8C-DF19-4396-9361-8852FB039470}" srcOrd="1" destOrd="0" presId="urn:microsoft.com/office/officeart/2005/8/layout/hierarchy2"/>
    <dgm:cxn modelId="{646A463C-26BE-4572-B037-22D1AF1D3121}" type="presParOf" srcId="{B89D9910-ACE9-4879-AF2B-8383B88C5EAB}" destId="{E9983D54-FC96-4942-9E52-FC69F6639DD3}" srcOrd="2" destOrd="0" presId="urn:microsoft.com/office/officeart/2005/8/layout/hierarchy2"/>
    <dgm:cxn modelId="{9A5DDBDB-6D4B-40B5-9505-3778F4EE567E}" type="presParOf" srcId="{E9983D54-FC96-4942-9E52-FC69F6639DD3}" destId="{73D4ADA3-7D22-4189-94D1-DD80977A6A2A}" srcOrd="0" destOrd="0" presId="urn:microsoft.com/office/officeart/2005/8/layout/hierarchy2"/>
    <dgm:cxn modelId="{0F1B5689-868C-49C8-A19F-77F16B28021C}" type="presParOf" srcId="{B89D9910-ACE9-4879-AF2B-8383B88C5EAB}" destId="{BCEB44F5-7B51-43BA-92F2-B996C0D77E95}" srcOrd="3" destOrd="0" presId="urn:microsoft.com/office/officeart/2005/8/layout/hierarchy2"/>
    <dgm:cxn modelId="{234D2068-D110-4F88-9E50-12D0454DB1BB}" type="presParOf" srcId="{BCEB44F5-7B51-43BA-92F2-B996C0D77E95}" destId="{2F8B85E9-6CF6-4115-A357-ABFC584D494E}" srcOrd="0" destOrd="0" presId="urn:microsoft.com/office/officeart/2005/8/layout/hierarchy2"/>
    <dgm:cxn modelId="{D8B87136-6CA6-4F7C-837E-74E0D7780FC1}" type="presParOf" srcId="{BCEB44F5-7B51-43BA-92F2-B996C0D77E95}" destId="{4DD9F4D5-BBE5-4F26-AAC2-6ED377E82665}" srcOrd="1" destOrd="0" presId="urn:microsoft.com/office/officeart/2005/8/layout/hierarchy2"/>
    <dgm:cxn modelId="{4C81E1E9-10FD-415D-9927-33D6BB98F0F0}" type="presParOf" srcId="{8233B2F5-8510-4097-89C8-3D61320F8C19}" destId="{1903229A-54A0-45D6-928C-45BC37FEA4DB}" srcOrd="2" destOrd="0" presId="urn:microsoft.com/office/officeart/2005/8/layout/hierarchy2"/>
    <dgm:cxn modelId="{118FE2E3-1898-40C5-A251-B94A7987855E}" type="presParOf" srcId="{1903229A-54A0-45D6-928C-45BC37FEA4DB}" destId="{CA7302ED-9C8F-459D-8E1B-FFC4D6AECEC7}" srcOrd="0" destOrd="0" presId="urn:microsoft.com/office/officeart/2005/8/layout/hierarchy2"/>
    <dgm:cxn modelId="{9E5F165B-D3DC-4660-AFA8-A1AA2F2BC72F}" type="presParOf" srcId="{8233B2F5-8510-4097-89C8-3D61320F8C19}" destId="{1E9A198D-4982-4F46-9C28-E527F4EF95FC}" srcOrd="3" destOrd="0" presId="urn:microsoft.com/office/officeart/2005/8/layout/hierarchy2"/>
    <dgm:cxn modelId="{818D176D-DF76-45FE-8038-668D162244EA}" type="presParOf" srcId="{1E9A198D-4982-4F46-9C28-E527F4EF95FC}" destId="{3FBAFE53-594D-4D03-B138-006A0BB47A9C}" srcOrd="0" destOrd="0" presId="urn:microsoft.com/office/officeart/2005/8/layout/hierarchy2"/>
    <dgm:cxn modelId="{F6A6195C-F8AB-4300-B7D4-C8B80D2D11D6}" type="presParOf" srcId="{1E9A198D-4982-4F46-9C28-E527F4EF95FC}" destId="{5CA2DD91-821B-463E-87A4-736D923BF3F3}" srcOrd="1" destOrd="0" presId="urn:microsoft.com/office/officeart/2005/8/layout/hierarchy2"/>
    <dgm:cxn modelId="{AF7CBFFC-DCF0-45C3-905C-B927A9B646C7}" type="presParOf" srcId="{5CA2DD91-821B-463E-87A4-736D923BF3F3}" destId="{1877F5C3-3D89-4C58-A1F1-078525DE5F22}" srcOrd="0" destOrd="0" presId="urn:microsoft.com/office/officeart/2005/8/layout/hierarchy2"/>
    <dgm:cxn modelId="{C0685243-7DE1-4E4D-B4B5-85257BF1112E}" type="presParOf" srcId="{1877F5C3-3D89-4C58-A1F1-078525DE5F22}" destId="{1EF76CB9-B85D-4288-B228-1684949A83BF}" srcOrd="0" destOrd="0" presId="urn:microsoft.com/office/officeart/2005/8/layout/hierarchy2"/>
    <dgm:cxn modelId="{723A5530-44BB-49C5-9BF6-4248D63D62AD}" type="presParOf" srcId="{5CA2DD91-821B-463E-87A4-736D923BF3F3}" destId="{0BDED2F4-357F-4D70-8B64-875DE69D1646}" srcOrd="1" destOrd="0" presId="urn:microsoft.com/office/officeart/2005/8/layout/hierarchy2"/>
    <dgm:cxn modelId="{7BA604C1-017A-49AC-91FA-F137347CDA04}" type="presParOf" srcId="{0BDED2F4-357F-4D70-8B64-875DE69D1646}" destId="{752E73D5-6F0C-4299-B028-43DCAE9EBF12}" srcOrd="0" destOrd="0" presId="urn:microsoft.com/office/officeart/2005/8/layout/hierarchy2"/>
    <dgm:cxn modelId="{E728CCFD-D2E7-4D87-A4B3-6F7337BF9DB7}" type="presParOf" srcId="{0BDED2F4-357F-4D70-8B64-875DE69D1646}" destId="{79A093DA-760D-426C-A06C-7B0D90B6EF5C}" srcOrd="1" destOrd="0" presId="urn:microsoft.com/office/officeart/2005/8/layout/hierarchy2"/>
    <dgm:cxn modelId="{30B5E539-7841-477F-A240-929D88D45F69}" type="presParOf" srcId="{79A093DA-760D-426C-A06C-7B0D90B6EF5C}" destId="{49F9E345-50CC-4F52-AFB5-C0A28306BF16}" srcOrd="0" destOrd="0" presId="urn:microsoft.com/office/officeart/2005/8/layout/hierarchy2"/>
    <dgm:cxn modelId="{FB0CB026-20F1-4F46-AB63-4586818543C1}" type="presParOf" srcId="{49F9E345-50CC-4F52-AFB5-C0A28306BF16}" destId="{7B531297-ACDD-496E-AA2F-404F042F5E9B}" srcOrd="0" destOrd="0" presId="urn:microsoft.com/office/officeart/2005/8/layout/hierarchy2"/>
    <dgm:cxn modelId="{B2F1ACAD-B9D7-4F65-BC63-ECC47EB10BEC}" type="presParOf" srcId="{79A093DA-760D-426C-A06C-7B0D90B6EF5C}" destId="{8E5DF56D-31A9-4333-A41E-8016315036D8}" srcOrd="1" destOrd="0" presId="urn:microsoft.com/office/officeart/2005/8/layout/hierarchy2"/>
    <dgm:cxn modelId="{EE5E060D-32E6-4C69-91D0-E4E9AADD3EC7}" type="presParOf" srcId="{8E5DF56D-31A9-4333-A41E-8016315036D8}" destId="{F37F940C-FB29-4D0E-B70D-83659D265A1E}" srcOrd="0" destOrd="0" presId="urn:microsoft.com/office/officeart/2005/8/layout/hierarchy2"/>
    <dgm:cxn modelId="{614D73FC-D215-4322-9DB4-EC10842DD291}" type="presParOf" srcId="{8E5DF56D-31A9-4333-A41E-8016315036D8}" destId="{CC0A6393-5FD2-4949-BF83-87FC5FEE6DFD}" srcOrd="1" destOrd="0" presId="urn:microsoft.com/office/officeart/2005/8/layout/hierarchy2"/>
    <dgm:cxn modelId="{8DAB9A7B-5E60-4D4F-93A7-30BC72C65894}" type="presParOf" srcId="{79A093DA-760D-426C-A06C-7B0D90B6EF5C}" destId="{FDDDA80B-6837-42EE-B31C-6D401D247906}" srcOrd="2" destOrd="0" presId="urn:microsoft.com/office/officeart/2005/8/layout/hierarchy2"/>
    <dgm:cxn modelId="{80A9DBF1-8BB2-4EB1-8409-67FAD3F9C3B0}" type="presParOf" srcId="{FDDDA80B-6837-42EE-B31C-6D401D247906}" destId="{3F9259DF-0F1B-4774-9C39-78543A209636}" srcOrd="0" destOrd="0" presId="urn:microsoft.com/office/officeart/2005/8/layout/hierarchy2"/>
    <dgm:cxn modelId="{FF65BDCF-7026-4D00-97DE-75A0BA72E5C2}" type="presParOf" srcId="{79A093DA-760D-426C-A06C-7B0D90B6EF5C}" destId="{87C1E6F8-6409-4218-9FCC-DB5D88BB9588}" srcOrd="3" destOrd="0" presId="urn:microsoft.com/office/officeart/2005/8/layout/hierarchy2"/>
    <dgm:cxn modelId="{3E8F6CA1-C05D-4A87-B1D7-030783CF7D11}" type="presParOf" srcId="{87C1E6F8-6409-4218-9FCC-DB5D88BB9588}" destId="{24F6AB9A-C44D-402F-B1AF-B011B11524E7}" srcOrd="0" destOrd="0" presId="urn:microsoft.com/office/officeart/2005/8/layout/hierarchy2"/>
    <dgm:cxn modelId="{C3EC73F9-2937-400C-978C-5488E294DF7E}" type="presParOf" srcId="{87C1E6F8-6409-4218-9FCC-DB5D88BB9588}" destId="{A18E93E9-CA62-4799-A4A4-4AD8D80E1A86}" srcOrd="1" destOrd="0" presId="urn:microsoft.com/office/officeart/2005/8/layout/hierarchy2"/>
    <dgm:cxn modelId="{61FFB0F0-B022-43D0-8ADA-253F7F03614F}" type="presParOf" srcId="{A18E93E9-CA62-4799-A4A4-4AD8D80E1A86}" destId="{8E7158E1-294C-4D33-8216-7B1B69CB68C3}" srcOrd="0" destOrd="0" presId="urn:microsoft.com/office/officeart/2005/8/layout/hierarchy2"/>
    <dgm:cxn modelId="{8FCC7342-E515-449F-8DF3-12DF9B5AF9E4}" type="presParOf" srcId="{8E7158E1-294C-4D33-8216-7B1B69CB68C3}" destId="{52BC655F-4439-4A83-9224-76B8EA86E89C}" srcOrd="0" destOrd="0" presId="urn:microsoft.com/office/officeart/2005/8/layout/hierarchy2"/>
    <dgm:cxn modelId="{27C8D812-8272-4A48-BD27-FD2777FAC89D}" type="presParOf" srcId="{A18E93E9-CA62-4799-A4A4-4AD8D80E1A86}" destId="{B5EFA412-D4E9-4CBE-B979-90592A645687}" srcOrd="1" destOrd="0" presId="urn:microsoft.com/office/officeart/2005/8/layout/hierarchy2"/>
    <dgm:cxn modelId="{0ABC159E-6126-496B-AD0D-2B189D934151}" type="presParOf" srcId="{B5EFA412-D4E9-4CBE-B979-90592A645687}" destId="{778776B0-6F5E-4A58-93D8-59BB3630F525}" srcOrd="0" destOrd="0" presId="urn:microsoft.com/office/officeart/2005/8/layout/hierarchy2"/>
    <dgm:cxn modelId="{2FF8157E-5036-4CD6-8B60-AAF13BA8A217}" type="presParOf" srcId="{B5EFA412-D4E9-4CBE-B979-90592A645687}" destId="{0BF4897C-6CFA-4F84-9ACC-1BC6F5C8803C}" srcOrd="1" destOrd="0" presId="urn:microsoft.com/office/officeart/2005/8/layout/hierarchy2"/>
    <dgm:cxn modelId="{D922ECD3-AA7C-444E-93E3-3D5095EE6548}" type="presParOf" srcId="{A18E93E9-CA62-4799-A4A4-4AD8D80E1A86}" destId="{872C3E18-8C9D-4F32-84A6-2F9FD09D9194}" srcOrd="2" destOrd="0" presId="urn:microsoft.com/office/officeart/2005/8/layout/hierarchy2"/>
    <dgm:cxn modelId="{4E10784F-3505-4896-AE25-07D1018CA6D8}" type="presParOf" srcId="{872C3E18-8C9D-4F32-84A6-2F9FD09D9194}" destId="{E1AA0858-9124-4767-864C-EA93C50B6113}" srcOrd="0" destOrd="0" presId="urn:microsoft.com/office/officeart/2005/8/layout/hierarchy2"/>
    <dgm:cxn modelId="{DB05F64D-CE39-45ED-993A-1EDCE498CC56}" type="presParOf" srcId="{A18E93E9-CA62-4799-A4A4-4AD8D80E1A86}" destId="{EECC6F63-839C-4201-B114-BF0C097D59AC}" srcOrd="3" destOrd="0" presId="urn:microsoft.com/office/officeart/2005/8/layout/hierarchy2"/>
    <dgm:cxn modelId="{B0512AF9-80A7-464D-A2DF-536CF884ED89}" type="presParOf" srcId="{EECC6F63-839C-4201-B114-BF0C097D59AC}" destId="{D0953BFD-A9E5-445A-879D-994B68DDBF16}" srcOrd="0" destOrd="0" presId="urn:microsoft.com/office/officeart/2005/8/layout/hierarchy2"/>
    <dgm:cxn modelId="{69B3C669-0C19-4D4C-8926-5056BF2D7AAF}" type="presParOf" srcId="{EECC6F63-839C-4201-B114-BF0C097D59AC}" destId="{AFC6AE23-FD16-4D24-BB46-F9AEFED52B8B}" srcOrd="1" destOrd="0" presId="urn:microsoft.com/office/officeart/2005/8/layout/hierarchy2"/>
    <dgm:cxn modelId="{F0301ADA-47C3-4615-B280-04FB7F92ED8C}" type="presParOf" srcId="{5CA2DD91-821B-463E-87A4-736D923BF3F3}" destId="{BF03BE95-0191-487A-81D4-7B1464A84271}" srcOrd="2" destOrd="0" presId="urn:microsoft.com/office/officeart/2005/8/layout/hierarchy2"/>
    <dgm:cxn modelId="{A2B98FA7-6176-45F9-9395-45FEA69936FE}" type="presParOf" srcId="{BF03BE95-0191-487A-81D4-7B1464A84271}" destId="{E2510D0A-ED97-4A1D-BC86-C5879F26A917}" srcOrd="0" destOrd="0" presId="urn:microsoft.com/office/officeart/2005/8/layout/hierarchy2"/>
    <dgm:cxn modelId="{F6D4AA54-DF10-465A-A238-CA504599650E}" type="presParOf" srcId="{5CA2DD91-821B-463E-87A4-736D923BF3F3}" destId="{7DBC28C9-8069-4EE0-B0D9-0A87156DA63F}" srcOrd="3" destOrd="0" presId="urn:microsoft.com/office/officeart/2005/8/layout/hierarchy2"/>
    <dgm:cxn modelId="{46965E90-7020-4A28-8ED3-9C7199668E9B}" type="presParOf" srcId="{7DBC28C9-8069-4EE0-B0D9-0A87156DA63F}" destId="{C0A2D960-AF5A-445D-AE5F-800B8AC365D3}" srcOrd="0" destOrd="0" presId="urn:microsoft.com/office/officeart/2005/8/layout/hierarchy2"/>
    <dgm:cxn modelId="{4462E69C-7B7A-40CC-AFEB-1787A99E5FDD}" type="presParOf" srcId="{7DBC28C9-8069-4EE0-B0D9-0A87156DA63F}" destId="{DCB5F6A8-FF9A-4C1A-B134-D2FF44F1389E}" srcOrd="1" destOrd="0" presId="urn:microsoft.com/office/officeart/2005/8/layout/hierarchy2"/>
  </dgm:cxnLst>
  <dgm:bg>
    <a:effectLst/>
  </dgm:bg>
  <dgm:whole/>
  <dgm:extLst>
    <a:ext uri="http://schemas.microsoft.com/office/drawing/2008/diagram">
      <dsp:dataModelExt xmlns:dsp="http://schemas.microsoft.com/office/drawing/2008/diagram" relId="rId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60D0B9E6-82C7-4381-AE3D-A682BDCF8863}">
      <dsp:nvSpPr>
        <dsp:cNvPr id="0" name=""/>
        <dsp:cNvSpPr/>
      </dsp:nvSpPr>
      <dsp:spPr>
        <a:xfrm>
          <a:off x="10989" y="3524171"/>
          <a:ext cx="1612478" cy="544051"/>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 the interiors of </a:t>
          </a:r>
          <a:r>
            <a:rPr lang="en-US" sz="1400" b="1" kern="1200" dirty="0">
              <a:solidFill>
                <a:srgbClr val="00B0F0"/>
              </a:solidFill>
            </a:rPr>
            <a:t>A</a:t>
          </a:r>
          <a:r>
            <a:rPr lang="en-US" sz="1400" kern="1200" dirty="0"/>
            <a:t> and </a:t>
          </a:r>
          <a:r>
            <a:rPr lang="en-US" sz="1400" b="1" kern="1200" dirty="0">
              <a:solidFill>
                <a:srgbClr val="00B050"/>
              </a:solidFill>
            </a:rPr>
            <a:t>B </a:t>
          </a:r>
          <a:r>
            <a:rPr lang="en-US" sz="1400" kern="1200" dirty="0"/>
            <a:t>overlap?</a:t>
          </a:r>
        </a:p>
      </dsp:txBody>
      <dsp:txXfrm>
        <a:off x="26924" y="3540106"/>
        <a:ext cx="1580608" cy="512181"/>
      </dsp:txXfrm>
    </dsp:sp>
    <dsp:sp modelId="{90D847B5-D5A0-4244-846E-8ADF8BABDEED}">
      <dsp:nvSpPr>
        <dsp:cNvPr id="0" name=""/>
        <dsp:cNvSpPr/>
      </dsp:nvSpPr>
      <dsp:spPr>
        <a:xfrm rot="17807132">
          <a:off x="1060956" y="2866390"/>
          <a:ext cx="2047923" cy="31434"/>
        </a:xfrm>
        <a:custGeom>
          <a:avLst/>
          <a:gdLst/>
          <a:ahLst/>
          <a:cxnLst/>
          <a:rect l="0" t="0" r="0" b="0"/>
          <a:pathLst>
            <a:path>
              <a:moveTo>
                <a:pt x="0" y="15717"/>
              </a:moveTo>
              <a:lnTo>
                <a:pt x="900766" y="15717"/>
              </a:lnTo>
            </a:path>
            <a:path>
              <a:moveTo>
                <a:pt x="1147157" y="15717"/>
              </a:moveTo>
              <a:lnTo>
                <a:pt x="2047923"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1961723" y="2683714"/>
        <a:ext cx="246390" cy="396785"/>
      </dsp:txXfrm>
    </dsp:sp>
    <dsp:sp modelId="{6C6B7D74-2E3F-42FA-BE1C-9AE309B40A28}">
      <dsp:nvSpPr>
        <dsp:cNvPr id="0" name=""/>
        <dsp:cNvSpPr/>
      </dsp:nvSpPr>
      <dsp:spPr>
        <a:xfrm>
          <a:off x="2546369" y="1642169"/>
          <a:ext cx="1621939" cy="651695"/>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2565456" y="1661256"/>
        <a:ext cx="1583765" cy="613521"/>
      </dsp:txXfrm>
    </dsp:sp>
    <dsp:sp modelId="{FC40F70A-F5C9-433A-A55D-123A5B28E785}">
      <dsp:nvSpPr>
        <dsp:cNvPr id="0" name=""/>
        <dsp:cNvSpPr/>
      </dsp:nvSpPr>
      <dsp:spPr>
        <a:xfrm rot="19063821">
          <a:off x="4008978" y="1540130"/>
          <a:ext cx="1225562" cy="31434"/>
        </a:xfrm>
        <a:custGeom>
          <a:avLst/>
          <a:gdLst/>
          <a:ahLst/>
          <a:cxnLst/>
          <a:rect l="0" t="0" r="0" b="0"/>
          <a:pathLst>
            <a:path>
              <a:moveTo>
                <a:pt x="0" y="15717"/>
              </a:moveTo>
              <a:lnTo>
                <a:pt x="481607" y="15717"/>
              </a:lnTo>
            </a:path>
            <a:path>
              <a:moveTo>
                <a:pt x="743954" y="15717"/>
              </a:moveTo>
              <a:lnTo>
                <a:pt x="122556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0585" y="1402652"/>
        <a:ext cx="262346" cy="306390"/>
      </dsp:txXfrm>
    </dsp:sp>
    <dsp:sp modelId="{D65DD3F9-CCB1-44FA-B8E8-39B9016DCB19}">
      <dsp:nvSpPr>
        <dsp:cNvPr id="0" name=""/>
        <dsp:cNvSpPr/>
      </dsp:nvSpPr>
      <dsp:spPr>
        <a:xfrm>
          <a:off x="5075209" y="839651"/>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kern="1200" dirty="0"/>
        </a:p>
      </dsp:txBody>
      <dsp:txXfrm>
        <a:off x="5093018" y="857460"/>
        <a:ext cx="1586321" cy="572435"/>
      </dsp:txXfrm>
    </dsp:sp>
    <dsp:sp modelId="{E9013B9B-0814-4824-B7A5-76BC1EEA3FFD}">
      <dsp:nvSpPr>
        <dsp:cNvPr id="0" name=""/>
        <dsp:cNvSpPr/>
      </dsp:nvSpPr>
      <dsp:spPr>
        <a:xfrm rot="20173412">
          <a:off x="6652237" y="914623"/>
          <a:ext cx="1058306" cy="31434"/>
        </a:xfrm>
        <a:custGeom>
          <a:avLst/>
          <a:gdLst/>
          <a:ahLst/>
          <a:cxnLst/>
          <a:rect l="0" t="0" r="0" b="0"/>
          <a:pathLst>
            <a:path>
              <a:moveTo>
                <a:pt x="0" y="15717"/>
              </a:moveTo>
              <a:lnTo>
                <a:pt x="403479" y="15717"/>
              </a:lnTo>
            </a:path>
            <a:path>
              <a:moveTo>
                <a:pt x="654827" y="15717"/>
              </a:moveTo>
              <a:lnTo>
                <a:pt x="105830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55717" y="798051"/>
        <a:ext cx="251347" cy="264576"/>
      </dsp:txXfrm>
    </dsp:sp>
    <dsp:sp modelId="{5ADC1B57-59CD-4290-8D3C-1F2B4B01AB44}">
      <dsp:nvSpPr>
        <dsp:cNvPr id="0" name=""/>
        <dsp:cNvSpPr/>
      </dsp:nvSpPr>
      <dsp:spPr>
        <a:xfrm>
          <a:off x="7665632" y="414753"/>
          <a:ext cx="1828796" cy="604496"/>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convex hull of </a:t>
          </a:r>
          <a:r>
            <a:rPr lang="en-US" sz="1400" b="1" kern="1200" dirty="0">
              <a:solidFill>
                <a:srgbClr val="00B0F0"/>
              </a:solidFill>
            </a:rPr>
            <a:t>A</a:t>
          </a:r>
          <a:r>
            <a:rPr lang="en-US" sz="1400" kern="1200" dirty="0"/>
            <a:t> contain all of </a:t>
          </a:r>
          <a:r>
            <a:rPr lang="en-US" sz="1400" b="1" kern="1200" dirty="0">
              <a:solidFill>
                <a:srgbClr val="00B050"/>
              </a:solidFill>
            </a:rPr>
            <a:t>B</a:t>
          </a:r>
          <a:r>
            <a:rPr lang="en-US" sz="1400" kern="1200" dirty="0"/>
            <a:t>?</a:t>
          </a:r>
          <a:endParaRPr lang="en-CA" sz="1400" kern="1200" dirty="0"/>
        </a:p>
      </dsp:txBody>
      <dsp:txXfrm>
        <a:off x="7683337" y="432458"/>
        <a:ext cx="1793386" cy="569086"/>
      </dsp:txXfrm>
    </dsp:sp>
    <dsp:sp modelId="{2AD3D3E2-C6AC-405A-9A8A-D0423B528F9D}">
      <dsp:nvSpPr>
        <dsp:cNvPr id="0" name=""/>
        <dsp:cNvSpPr/>
      </dsp:nvSpPr>
      <dsp:spPr>
        <a:xfrm rot="20362827">
          <a:off x="9461458" y="520036"/>
          <a:ext cx="1029345" cy="31434"/>
        </a:xfrm>
        <a:custGeom>
          <a:avLst/>
          <a:gdLst/>
          <a:ahLst/>
          <a:cxnLst/>
          <a:rect l="0" t="0" r="0" b="0"/>
          <a:pathLst>
            <a:path>
              <a:moveTo>
                <a:pt x="0" y="15717"/>
              </a:moveTo>
              <a:lnTo>
                <a:pt x="392438" y="15717"/>
              </a:lnTo>
            </a:path>
            <a:path>
              <a:moveTo>
                <a:pt x="636907" y="15717"/>
              </a:moveTo>
              <a:lnTo>
                <a:pt x="102934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53896" y="407085"/>
        <a:ext cx="244469" cy="257336"/>
      </dsp:txXfrm>
    </dsp:sp>
    <dsp:sp modelId="{267ED168-A2AD-42CE-8538-059248ABFC23}">
      <dsp:nvSpPr>
        <dsp:cNvPr id="0" name=""/>
        <dsp:cNvSpPr/>
      </dsp:nvSpPr>
      <dsp:spPr>
        <a:xfrm>
          <a:off x="10457834" y="117283"/>
          <a:ext cx="1621939" cy="474445"/>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ts val="0"/>
            </a:spcAft>
            <a:buNone/>
          </a:pPr>
          <a:r>
            <a:rPr lang="en-US" sz="1400" b="1" kern="1200" dirty="0">
              <a:solidFill>
                <a:srgbClr val="00B0F0"/>
              </a:solidFill>
            </a:rPr>
            <a:t>A</a:t>
          </a:r>
          <a:r>
            <a:rPr lang="en-US" sz="1400" kern="1200" dirty="0"/>
            <a:t> is </a:t>
          </a:r>
          <a:r>
            <a:rPr lang="en-US" sz="1400" i="1" kern="1200" dirty="0"/>
            <a:t>Disjoint</a:t>
          </a:r>
          <a:r>
            <a:rPr lang="en-US" sz="1400" kern="1200" dirty="0"/>
            <a:t> </a:t>
          </a:r>
        </a:p>
        <a:p>
          <a:pPr marL="0" lvl="0" indent="0" algn="ctr" defTabSz="622300">
            <a:lnSpc>
              <a:spcPct val="90000"/>
            </a:lnSpc>
            <a:spcBef>
              <a:spcPct val="0"/>
            </a:spcBef>
            <a:spcAft>
              <a:spcPct val="35000"/>
            </a:spcAft>
            <a:buNone/>
          </a:pPr>
          <a:r>
            <a:rPr lang="en-US" sz="1400" kern="1200" dirty="0"/>
            <a:t>with </a:t>
          </a:r>
          <a:r>
            <a:rPr lang="en-US" sz="1400" b="1" kern="1200" dirty="0">
              <a:solidFill>
                <a:srgbClr val="00B050"/>
              </a:solidFill>
            </a:rPr>
            <a:t>B</a:t>
          </a:r>
          <a:r>
            <a:rPr lang="en-US" sz="1400" kern="1200" dirty="0"/>
            <a:t> </a:t>
          </a:r>
          <a:endParaRPr lang="en-CA" sz="1400" kern="1200" dirty="0"/>
        </a:p>
      </dsp:txBody>
      <dsp:txXfrm>
        <a:off x="10471730" y="131179"/>
        <a:ext cx="1594147" cy="446653"/>
      </dsp:txXfrm>
    </dsp:sp>
    <dsp:sp modelId="{0B134E92-FA95-4B28-BD52-07F1716B3C18}">
      <dsp:nvSpPr>
        <dsp:cNvPr id="0" name=""/>
        <dsp:cNvSpPr/>
      </dsp:nvSpPr>
      <dsp:spPr>
        <a:xfrm rot="1420745">
          <a:off x="9449706" y="914623"/>
          <a:ext cx="1062407" cy="31434"/>
        </a:xfrm>
        <a:custGeom>
          <a:avLst/>
          <a:gdLst/>
          <a:ahLst/>
          <a:cxnLst/>
          <a:rect l="0" t="0" r="0" b="0"/>
          <a:pathLst>
            <a:path>
              <a:moveTo>
                <a:pt x="0" y="15717"/>
              </a:moveTo>
              <a:lnTo>
                <a:pt x="380142" y="15717"/>
              </a:lnTo>
            </a:path>
            <a:path>
              <a:moveTo>
                <a:pt x="682264" y="15717"/>
              </a:moveTo>
              <a:lnTo>
                <a:pt x="106240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29848" y="797539"/>
        <a:ext cx="302122" cy="265601"/>
      </dsp:txXfrm>
    </dsp:sp>
    <dsp:sp modelId="{DE55BEF5-93B4-4A69-A6D6-1C09C42D422D}">
      <dsp:nvSpPr>
        <dsp:cNvPr id="0" name=""/>
        <dsp:cNvSpPr/>
      </dsp:nvSpPr>
      <dsp:spPr>
        <a:xfrm>
          <a:off x="10467391" y="100896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Shelters </a:t>
          </a:r>
          <a:r>
            <a:rPr lang="en-US" sz="1400" b="1" kern="1200" dirty="0">
              <a:solidFill>
                <a:srgbClr val="00B050"/>
              </a:solidFill>
            </a:rPr>
            <a:t>B</a:t>
          </a:r>
          <a:endParaRPr lang="en-CA" sz="1400" kern="1200" dirty="0"/>
        </a:p>
      </dsp:txBody>
      <dsp:txXfrm>
        <a:off x="10475282" y="1016853"/>
        <a:ext cx="1606157" cy="253651"/>
      </dsp:txXfrm>
    </dsp:sp>
    <dsp:sp modelId="{53585537-C841-4613-9227-8942CC9F940E}">
      <dsp:nvSpPr>
        <dsp:cNvPr id="0" name=""/>
        <dsp:cNvSpPr/>
      </dsp:nvSpPr>
      <dsp:spPr>
        <a:xfrm rot="1854996">
          <a:off x="6617193" y="1417089"/>
          <a:ext cx="1125472" cy="31434"/>
        </a:xfrm>
        <a:custGeom>
          <a:avLst/>
          <a:gdLst/>
          <a:ahLst/>
          <a:cxnLst/>
          <a:rect l="0" t="0" r="0" b="0"/>
          <a:pathLst>
            <a:path>
              <a:moveTo>
                <a:pt x="0" y="15717"/>
              </a:moveTo>
              <a:lnTo>
                <a:pt x="415897" y="15717"/>
              </a:lnTo>
            </a:path>
            <a:path>
              <a:moveTo>
                <a:pt x="709575" y="15717"/>
              </a:moveTo>
              <a:lnTo>
                <a:pt x="1125472"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33090" y="1292122"/>
        <a:ext cx="293678" cy="281368"/>
      </dsp:txXfrm>
    </dsp:sp>
    <dsp:sp modelId="{EFD08717-F61D-4FA3-AEAA-43BEC3867CFC}">
      <dsp:nvSpPr>
        <dsp:cNvPr id="0" name=""/>
        <dsp:cNvSpPr/>
      </dsp:nvSpPr>
      <dsp:spPr>
        <a:xfrm>
          <a:off x="7662710" y="1587218"/>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US" sz="1400" i="1" kern="1200" dirty="0"/>
            <a:t>Surrounds</a:t>
          </a:r>
          <a:r>
            <a:rPr lang="en-US" sz="1400" kern="1200" dirty="0"/>
            <a:t> </a:t>
          </a:r>
          <a:r>
            <a:rPr lang="en-US" sz="1400" b="1" kern="1200" dirty="0">
              <a:solidFill>
                <a:srgbClr val="00B050"/>
              </a:solidFill>
            </a:rPr>
            <a:t>B</a:t>
          </a:r>
          <a:endParaRPr lang="en-CA" sz="1400" b="1" kern="1200" dirty="0">
            <a:solidFill>
              <a:srgbClr val="00B050"/>
            </a:solidFill>
          </a:endParaRPr>
        </a:p>
      </dsp:txBody>
      <dsp:txXfrm>
        <a:off x="7670601" y="1595109"/>
        <a:ext cx="1813014" cy="253651"/>
      </dsp:txXfrm>
    </dsp:sp>
    <dsp:sp modelId="{7940BBF2-D172-46D0-90EF-BFC9EA425F6D}">
      <dsp:nvSpPr>
        <dsp:cNvPr id="0" name=""/>
        <dsp:cNvSpPr/>
      </dsp:nvSpPr>
      <dsp:spPr>
        <a:xfrm rot="2927713">
          <a:off x="3905928" y="2530779"/>
          <a:ext cx="1537773" cy="31434"/>
        </a:xfrm>
        <a:custGeom>
          <a:avLst/>
          <a:gdLst/>
          <a:ahLst/>
          <a:cxnLst/>
          <a:rect l="0" t="0" r="0" b="0"/>
          <a:pathLst>
            <a:path>
              <a:moveTo>
                <a:pt x="0" y="15717"/>
              </a:moveTo>
              <a:lnTo>
                <a:pt x="622317" y="15717"/>
              </a:lnTo>
            </a:path>
            <a:path>
              <a:moveTo>
                <a:pt x="915455" y="15717"/>
              </a:moveTo>
              <a:lnTo>
                <a:pt x="153777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528245" y="2354274"/>
        <a:ext cx="293138" cy="384443"/>
      </dsp:txXfrm>
    </dsp:sp>
    <dsp:sp modelId="{C33B4FFC-EE71-4E57-B768-C2BD25E243E8}">
      <dsp:nvSpPr>
        <dsp:cNvPr id="0" name=""/>
        <dsp:cNvSpPr/>
      </dsp:nvSpPr>
      <dsp:spPr>
        <a:xfrm>
          <a:off x="5181320" y="2820949"/>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CA" sz="1400" kern="1200" dirty="0"/>
            <a:t>Does the external boundary </a:t>
          </a:r>
          <a:r>
            <a:rPr lang="en-US" sz="1400" kern="1200" dirty="0"/>
            <a:t>of </a:t>
          </a:r>
          <a:r>
            <a:rPr lang="en-US" sz="1400" b="1" kern="1200" dirty="0">
              <a:solidFill>
                <a:srgbClr val="00B0F0"/>
              </a:solidFill>
            </a:rPr>
            <a:t>A </a:t>
          </a:r>
          <a:r>
            <a:rPr lang="en-US" sz="1400" kern="1200" dirty="0"/>
            <a:t>encompass all of </a:t>
          </a:r>
          <a:r>
            <a:rPr lang="en-US" sz="1400" b="1" kern="1200" dirty="0">
              <a:solidFill>
                <a:srgbClr val="00B050"/>
              </a:solidFill>
            </a:rPr>
            <a:t>B</a:t>
          </a:r>
          <a:r>
            <a:rPr lang="en-US" sz="1400" kern="1200" dirty="0"/>
            <a:t>?</a:t>
          </a:r>
          <a:endParaRPr lang="en-CA" sz="1400" b="1" kern="1200" dirty="0">
            <a:solidFill>
              <a:srgbClr val="00B050"/>
            </a:solidFill>
          </a:endParaRPr>
        </a:p>
      </dsp:txBody>
      <dsp:txXfrm>
        <a:off x="5199129" y="2838758"/>
        <a:ext cx="1586321" cy="572435"/>
      </dsp:txXfrm>
    </dsp:sp>
    <dsp:sp modelId="{AF2C4515-2D24-4ADA-87E3-26CC2F6CC2A6}">
      <dsp:nvSpPr>
        <dsp:cNvPr id="0" name=""/>
        <dsp:cNvSpPr/>
      </dsp:nvSpPr>
      <dsp:spPr>
        <a:xfrm rot="20010305">
          <a:off x="6753864" y="2899441"/>
          <a:ext cx="940636" cy="31434"/>
        </a:xfrm>
        <a:custGeom>
          <a:avLst/>
          <a:gdLst/>
          <a:ahLst/>
          <a:cxnLst/>
          <a:rect l="0" t="0" r="0" b="0"/>
          <a:pathLst>
            <a:path>
              <a:moveTo>
                <a:pt x="0" y="15717"/>
              </a:moveTo>
              <a:lnTo>
                <a:pt x="347594" y="15717"/>
              </a:lnTo>
            </a:path>
            <a:path>
              <a:moveTo>
                <a:pt x="593041" y="15717"/>
              </a:moveTo>
              <a:lnTo>
                <a:pt x="940636"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101459" y="2797579"/>
        <a:ext cx="245447" cy="235159"/>
      </dsp:txXfrm>
    </dsp:sp>
    <dsp:sp modelId="{8557AC88-9D33-43F5-B999-D618E2615BC6}">
      <dsp:nvSpPr>
        <dsp:cNvPr id="0" name=""/>
        <dsp:cNvSpPr/>
      </dsp:nvSpPr>
      <dsp:spPr>
        <a:xfrm>
          <a:off x="7645105" y="2570624"/>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Borders</a:t>
          </a:r>
          <a:r>
            <a:rPr lang="en-CA" sz="1400" kern="1200" dirty="0"/>
            <a:t> </a:t>
          </a:r>
          <a:r>
            <a:rPr lang="en-US" sz="1400" b="1" kern="1200" dirty="0">
              <a:solidFill>
                <a:srgbClr val="00B050"/>
              </a:solidFill>
            </a:rPr>
            <a:t>B</a:t>
          </a:r>
          <a:endParaRPr lang="en-CA" sz="1400" kern="1200" dirty="0"/>
        </a:p>
      </dsp:txBody>
      <dsp:txXfrm>
        <a:off x="7652996" y="2578515"/>
        <a:ext cx="1813014" cy="253651"/>
      </dsp:txXfrm>
    </dsp:sp>
    <dsp:sp modelId="{E9983D54-FC96-4942-9E52-FC69F6639DD3}">
      <dsp:nvSpPr>
        <dsp:cNvPr id="0" name=""/>
        <dsp:cNvSpPr/>
      </dsp:nvSpPr>
      <dsp:spPr>
        <a:xfrm rot="2032689">
          <a:off x="6716204" y="3395090"/>
          <a:ext cx="1025536" cy="31434"/>
        </a:xfrm>
        <a:custGeom>
          <a:avLst/>
          <a:gdLst/>
          <a:ahLst/>
          <a:cxnLst/>
          <a:rect l="0" t="0" r="0" b="0"/>
          <a:pathLst>
            <a:path>
              <a:moveTo>
                <a:pt x="0" y="15717"/>
              </a:moveTo>
              <a:lnTo>
                <a:pt x="354931" y="15717"/>
              </a:lnTo>
            </a:path>
            <a:path>
              <a:moveTo>
                <a:pt x="670604" y="15717"/>
              </a:moveTo>
              <a:lnTo>
                <a:pt x="1025536"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71136" y="3282615"/>
        <a:ext cx="315673" cy="256384"/>
      </dsp:txXfrm>
    </dsp:sp>
    <dsp:sp modelId="{2F8B85E9-6CF6-4115-A357-ABFC584D494E}">
      <dsp:nvSpPr>
        <dsp:cNvPr id="0" name=""/>
        <dsp:cNvSpPr/>
      </dsp:nvSpPr>
      <dsp:spPr>
        <a:xfrm>
          <a:off x="7654686" y="3561923"/>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Confines</a:t>
          </a:r>
          <a:r>
            <a:rPr lang="en-CA" sz="1400" kern="1200" dirty="0"/>
            <a:t> </a:t>
          </a:r>
          <a:r>
            <a:rPr lang="en-US" sz="1400" b="1" kern="1200" dirty="0">
              <a:solidFill>
                <a:srgbClr val="00B050"/>
              </a:solidFill>
            </a:rPr>
            <a:t>B</a:t>
          </a:r>
          <a:endParaRPr lang="en-CA" sz="1400" kern="1200" dirty="0"/>
        </a:p>
      </dsp:txBody>
      <dsp:txXfrm>
        <a:off x="7662577" y="3569814"/>
        <a:ext cx="1813014" cy="253651"/>
      </dsp:txXfrm>
    </dsp:sp>
    <dsp:sp modelId="{1903229A-54A0-45D6-928C-45BC37FEA4DB}">
      <dsp:nvSpPr>
        <dsp:cNvPr id="0" name=""/>
        <dsp:cNvSpPr/>
      </dsp:nvSpPr>
      <dsp:spPr>
        <a:xfrm rot="3987120">
          <a:off x="934740" y="4831925"/>
          <a:ext cx="2293913" cy="31434"/>
        </a:xfrm>
        <a:custGeom>
          <a:avLst/>
          <a:gdLst/>
          <a:ahLst/>
          <a:cxnLst/>
          <a:rect l="0" t="0" r="0" b="0"/>
          <a:pathLst>
            <a:path>
              <a:moveTo>
                <a:pt x="0" y="15717"/>
              </a:moveTo>
              <a:lnTo>
                <a:pt x="982081" y="15717"/>
              </a:lnTo>
            </a:path>
            <a:path>
              <a:moveTo>
                <a:pt x="1311831" y="15717"/>
              </a:moveTo>
              <a:lnTo>
                <a:pt x="2293913"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1916821" y="4560903"/>
        <a:ext cx="329750" cy="573478"/>
      </dsp:txXfrm>
    </dsp:sp>
    <dsp:sp modelId="{3FBAFE53-594D-4D03-B138-006A0BB47A9C}">
      <dsp:nvSpPr>
        <dsp:cNvPr id="0" name=""/>
        <dsp:cNvSpPr/>
      </dsp:nvSpPr>
      <dsp:spPr>
        <a:xfrm>
          <a:off x="2539925" y="5580682"/>
          <a:ext cx="1621939" cy="636809"/>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exterior of </a:t>
          </a:r>
          <a:r>
            <a:rPr lang="en-US" sz="1400" b="1" kern="1200" dirty="0">
              <a:solidFill>
                <a:srgbClr val="00B0F0"/>
              </a:solidFill>
            </a:rPr>
            <a:t>A</a:t>
          </a:r>
          <a:r>
            <a:rPr lang="en-US" sz="1400" kern="1200" dirty="0"/>
            <a:t> overlap with the interior of </a:t>
          </a:r>
          <a:r>
            <a:rPr lang="en-US" sz="1400" b="1" kern="1200" dirty="0">
              <a:solidFill>
                <a:srgbClr val="00B050"/>
              </a:solidFill>
            </a:rPr>
            <a:t>B</a:t>
          </a:r>
          <a:r>
            <a:rPr lang="en-US" sz="1400" kern="1200" dirty="0"/>
            <a:t>?  </a:t>
          </a:r>
          <a:endParaRPr lang="en-CA" sz="1400" kern="1200" dirty="0"/>
        </a:p>
      </dsp:txBody>
      <dsp:txXfrm>
        <a:off x="2558576" y="5599333"/>
        <a:ext cx="1584637" cy="599507"/>
      </dsp:txXfrm>
    </dsp:sp>
    <dsp:sp modelId="{1877F5C3-3D89-4C58-A1F1-078525DE5F22}">
      <dsp:nvSpPr>
        <dsp:cNvPr id="0" name=""/>
        <dsp:cNvSpPr/>
      </dsp:nvSpPr>
      <dsp:spPr>
        <a:xfrm rot="19705109">
          <a:off x="4082519" y="5602796"/>
          <a:ext cx="1071484" cy="31434"/>
        </a:xfrm>
        <a:custGeom>
          <a:avLst/>
          <a:gdLst/>
          <a:ahLst/>
          <a:cxnLst/>
          <a:rect l="0" t="0" r="0" b="0"/>
          <a:pathLst>
            <a:path>
              <a:moveTo>
                <a:pt x="0" y="15717"/>
              </a:moveTo>
              <a:lnTo>
                <a:pt x="408503" y="15717"/>
              </a:lnTo>
            </a:path>
            <a:path>
              <a:moveTo>
                <a:pt x="662980" y="15717"/>
              </a:moveTo>
              <a:lnTo>
                <a:pt x="1071484" y="15717"/>
              </a:lnTo>
            </a:path>
          </a:pathLst>
        </a:custGeom>
        <a:noFill/>
        <a:ln w="25400" cap="flat" cmpd="sng" algn="ctr">
          <a:solidFill>
            <a:srgbClr val="C04F15"/>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4491023" y="5484577"/>
        <a:ext cx="254477" cy="267871"/>
      </dsp:txXfrm>
    </dsp:sp>
    <dsp:sp modelId="{752E73D5-6F0C-4299-B028-43DCAE9EBF12}">
      <dsp:nvSpPr>
        <dsp:cNvPr id="0" name=""/>
        <dsp:cNvSpPr/>
      </dsp:nvSpPr>
      <dsp:spPr>
        <a:xfrm>
          <a:off x="5074658" y="5033912"/>
          <a:ext cx="1621939"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border of </a:t>
          </a:r>
          <a:r>
            <a:rPr lang="en-US" sz="1400" b="1" kern="1200" dirty="0">
              <a:solidFill>
                <a:srgbClr val="00B0F0"/>
              </a:solidFill>
            </a:rPr>
            <a:t>A</a:t>
          </a:r>
          <a:r>
            <a:rPr lang="en-US" sz="1400" kern="1200" dirty="0"/>
            <a:t> overlap with the border of </a:t>
          </a:r>
          <a:r>
            <a:rPr lang="en-US" sz="1400" b="1" kern="1200" dirty="0">
              <a:solidFill>
                <a:srgbClr val="00B050"/>
              </a:solidFill>
            </a:rPr>
            <a:t>B</a:t>
          </a:r>
          <a:r>
            <a:rPr lang="en-US" sz="1400" kern="1200" dirty="0"/>
            <a:t>? </a:t>
          </a:r>
          <a:endParaRPr lang="en-CA" sz="1400" kern="1200" dirty="0"/>
        </a:p>
      </dsp:txBody>
      <dsp:txXfrm>
        <a:off x="5092467" y="5051721"/>
        <a:ext cx="1586321" cy="572435"/>
      </dsp:txXfrm>
    </dsp:sp>
    <dsp:sp modelId="{49F9E345-50CC-4F52-AFB5-C0A28306BF16}">
      <dsp:nvSpPr>
        <dsp:cNvPr id="0" name=""/>
        <dsp:cNvSpPr/>
      </dsp:nvSpPr>
      <dsp:spPr>
        <a:xfrm rot="19443971">
          <a:off x="6584097" y="4975298"/>
          <a:ext cx="1182322" cy="31434"/>
        </a:xfrm>
        <a:custGeom>
          <a:avLst/>
          <a:gdLst/>
          <a:ahLst/>
          <a:cxnLst/>
          <a:rect l="0" t="0" r="0" b="0"/>
          <a:pathLst>
            <a:path>
              <a:moveTo>
                <a:pt x="0" y="15717"/>
              </a:moveTo>
              <a:lnTo>
                <a:pt x="464615" y="15717"/>
              </a:lnTo>
            </a:path>
            <a:path>
              <a:moveTo>
                <a:pt x="717706" y="15717"/>
              </a:moveTo>
              <a:lnTo>
                <a:pt x="1182322"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7048713" y="4843225"/>
        <a:ext cx="253090" cy="295580"/>
      </dsp:txXfrm>
    </dsp:sp>
    <dsp:sp modelId="{F37F940C-FB29-4D0E-B70D-83659D265A1E}">
      <dsp:nvSpPr>
        <dsp:cNvPr id="0" name=""/>
        <dsp:cNvSpPr/>
      </dsp:nvSpPr>
      <dsp:spPr>
        <a:xfrm>
          <a:off x="7653919" y="4509375"/>
          <a:ext cx="1828796"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Contains</a:t>
          </a:r>
          <a:r>
            <a:rPr lang="en-CA" sz="1400" kern="1200" dirty="0"/>
            <a:t> </a:t>
          </a:r>
          <a:r>
            <a:rPr lang="en-US" sz="1400" b="1" kern="1200" dirty="0">
              <a:solidFill>
                <a:srgbClr val="00B050"/>
              </a:solidFill>
            </a:rPr>
            <a:t>B</a:t>
          </a:r>
          <a:endParaRPr lang="en-CA" sz="1400" kern="1200" dirty="0"/>
        </a:p>
      </dsp:txBody>
      <dsp:txXfrm>
        <a:off x="7661810" y="4517266"/>
        <a:ext cx="1813014" cy="253651"/>
      </dsp:txXfrm>
    </dsp:sp>
    <dsp:sp modelId="{FDDDA80B-6837-42EE-B31C-6D401D247906}">
      <dsp:nvSpPr>
        <dsp:cNvPr id="0" name=""/>
        <dsp:cNvSpPr/>
      </dsp:nvSpPr>
      <dsp:spPr>
        <a:xfrm rot="2056148">
          <a:off x="6589547" y="5669450"/>
          <a:ext cx="1233317" cy="31434"/>
        </a:xfrm>
        <a:custGeom>
          <a:avLst/>
          <a:gdLst/>
          <a:ahLst/>
          <a:cxnLst/>
          <a:rect l="0" t="0" r="0" b="0"/>
          <a:pathLst>
            <a:path>
              <a:moveTo>
                <a:pt x="0" y="15717"/>
              </a:moveTo>
              <a:lnTo>
                <a:pt x="470202" y="15717"/>
              </a:lnTo>
            </a:path>
            <a:path>
              <a:moveTo>
                <a:pt x="763115" y="15717"/>
              </a:moveTo>
              <a:lnTo>
                <a:pt x="123331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7059749" y="5531003"/>
        <a:ext cx="292912" cy="308329"/>
      </dsp:txXfrm>
    </dsp:sp>
    <dsp:sp modelId="{24F6AB9A-C44D-402F-B1AF-B011B11524E7}">
      <dsp:nvSpPr>
        <dsp:cNvPr id="0" name=""/>
        <dsp:cNvSpPr/>
      </dsp:nvSpPr>
      <dsp:spPr>
        <a:xfrm>
          <a:off x="7715813" y="5728369"/>
          <a:ext cx="1828796" cy="608053"/>
        </a:xfrm>
        <a:prstGeom prst="roundRect">
          <a:avLst>
            <a:gd name="adj" fmla="val 10000"/>
          </a:avLst>
        </a:prstGeom>
        <a:solidFill>
          <a:schemeClr val="lt1">
            <a:hueOff val="0"/>
            <a:satOff val="0"/>
            <a:lumOff val="0"/>
            <a:alphaOff val="0"/>
          </a:schemeClr>
        </a:solidFill>
        <a:ln w="19050" cap="flat" cmpd="sng" algn="ctr">
          <a:solidFill>
            <a:schemeClr val="dk1">
              <a:shade val="80000"/>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dirty="0"/>
            <a:t>Does the interior of </a:t>
          </a:r>
          <a:r>
            <a:rPr lang="en-US" sz="1400" b="1" kern="1200" dirty="0">
              <a:solidFill>
                <a:srgbClr val="00B0F0"/>
              </a:solidFill>
            </a:rPr>
            <a:t>A</a:t>
          </a:r>
          <a:r>
            <a:rPr lang="en-US" sz="1400" kern="1200" dirty="0"/>
            <a:t> include the exterior of </a:t>
          </a:r>
          <a:r>
            <a:rPr lang="en-US" sz="1400" b="1" kern="1200" dirty="0">
              <a:solidFill>
                <a:srgbClr val="00B050"/>
              </a:solidFill>
            </a:rPr>
            <a:t>B</a:t>
          </a:r>
          <a:r>
            <a:rPr lang="en-US" sz="1400" kern="1200" dirty="0"/>
            <a:t>? </a:t>
          </a:r>
          <a:endParaRPr lang="en-CA" sz="1400" kern="1200" dirty="0"/>
        </a:p>
      </dsp:txBody>
      <dsp:txXfrm>
        <a:off x="7733622" y="5746178"/>
        <a:ext cx="1793178" cy="572435"/>
      </dsp:txXfrm>
    </dsp:sp>
    <dsp:sp modelId="{8E7158E1-294C-4D33-8216-7B1B69CB68C3}">
      <dsp:nvSpPr>
        <dsp:cNvPr id="0" name=""/>
        <dsp:cNvSpPr/>
      </dsp:nvSpPr>
      <dsp:spPr>
        <a:xfrm rot="19266355">
          <a:off x="9412703" y="5643090"/>
          <a:ext cx="1189995" cy="31434"/>
        </a:xfrm>
        <a:custGeom>
          <a:avLst/>
          <a:gdLst/>
          <a:ahLst/>
          <a:cxnLst/>
          <a:rect l="0" t="0" r="0" b="0"/>
          <a:pathLst>
            <a:path>
              <a:moveTo>
                <a:pt x="0" y="15717"/>
              </a:moveTo>
              <a:lnTo>
                <a:pt x="467630" y="15717"/>
              </a:lnTo>
            </a:path>
            <a:path>
              <a:moveTo>
                <a:pt x="722364" y="15717"/>
              </a:moveTo>
              <a:lnTo>
                <a:pt x="1189995" y="15717"/>
              </a:lnTo>
            </a:path>
          </a:pathLst>
        </a:custGeom>
        <a:noFill/>
        <a:ln w="25400" cap="flat" cmpd="sng" algn="ctr">
          <a:solidFill>
            <a:schemeClr val="accent2">
              <a:lumMod val="75000"/>
            </a:schemeClr>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No</a:t>
          </a:r>
          <a:endParaRPr lang="en-CA" sz="1400" b="1" kern="1200" dirty="0">
            <a:ln>
              <a:solidFill>
                <a:scrgbClr r="0" g="0" b="0"/>
              </a:solidFill>
            </a:ln>
          </a:endParaRPr>
        </a:p>
      </dsp:txBody>
      <dsp:txXfrm>
        <a:off x="9880334" y="5510058"/>
        <a:ext cx="254733" cy="297498"/>
      </dsp:txXfrm>
    </dsp:sp>
    <dsp:sp modelId="{778776B0-6F5E-4A58-93D8-59BB3630F525}">
      <dsp:nvSpPr>
        <dsp:cNvPr id="0" name=""/>
        <dsp:cNvSpPr/>
      </dsp:nvSpPr>
      <dsp:spPr>
        <a:xfrm>
          <a:off x="10470792" y="5150502"/>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Equals</a:t>
          </a:r>
          <a:r>
            <a:rPr lang="en-CA" sz="1400" kern="1200" dirty="0"/>
            <a:t> </a:t>
          </a:r>
          <a:r>
            <a:rPr lang="en-US" sz="1400" b="1" kern="1200" dirty="0">
              <a:solidFill>
                <a:srgbClr val="00B050"/>
              </a:solidFill>
            </a:rPr>
            <a:t>B</a:t>
          </a:r>
          <a:endParaRPr lang="en-CA" sz="1400" kern="1200" dirty="0"/>
        </a:p>
      </dsp:txBody>
      <dsp:txXfrm>
        <a:off x="10478683" y="5158393"/>
        <a:ext cx="1606157" cy="253651"/>
      </dsp:txXfrm>
    </dsp:sp>
    <dsp:sp modelId="{872C3E18-8C9D-4F32-84A6-2F9FD09D9194}">
      <dsp:nvSpPr>
        <dsp:cNvPr id="0" name=""/>
        <dsp:cNvSpPr/>
      </dsp:nvSpPr>
      <dsp:spPr>
        <a:xfrm rot="1972068">
          <a:off x="9454880" y="6320888"/>
          <a:ext cx="1121091" cy="31434"/>
        </a:xfrm>
        <a:custGeom>
          <a:avLst/>
          <a:gdLst/>
          <a:ahLst/>
          <a:cxnLst/>
          <a:rect l="0" t="0" r="0" b="0"/>
          <a:pathLst>
            <a:path>
              <a:moveTo>
                <a:pt x="0" y="15717"/>
              </a:moveTo>
              <a:lnTo>
                <a:pt x="414278" y="15717"/>
              </a:lnTo>
            </a:path>
            <a:path>
              <a:moveTo>
                <a:pt x="706812" y="15717"/>
              </a:moveTo>
              <a:lnTo>
                <a:pt x="1121091"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9869158" y="6196469"/>
        <a:ext cx="292534" cy="280272"/>
      </dsp:txXfrm>
    </dsp:sp>
    <dsp:sp modelId="{D0953BFD-A9E5-445A-879D-994B68DDBF16}">
      <dsp:nvSpPr>
        <dsp:cNvPr id="0" name=""/>
        <dsp:cNvSpPr/>
      </dsp:nvSpPr>
      <dsp:spPr>
        <a:xfrm>
          <a:off x="10486242" y="6506099"/>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Partitions</a:t>
          </a:r>
          <a:r>
            <a:rPr lang="en-CA" sz="1400" kern="1200" dirty="0"/>
            <a:t> </a:t>
          </a:r>
          <a:r>
            <a:rPr lang="en-US" sz="1400" b="1" kern="1200" dirty="0">
              <a:solidFill>
                <a:srgbClr val="00B050"/>
              </a:solidFill>
            </a:rPr>
            <a:t>B</a:t>
          </a:r>
          <a:endParaRPr lang="en-CA" sz="1400" kern="1200" dirty="0"/>
        </a:p>
      </dsp:txBody>
      <dsp:txXfrm>
        <a:off x="10494133" y="6513990"/>
        <a:ext cx="1606157" cy="253651"/>
      </dsp:txXfrm>
    </dsp:sp>
    <dsp:sp modelId="{BF03BE95-0191-487A-81D4-7B1464A84271}">
      <dsp:nvSpPr>
        <dsp:cNvPr id="0" name=""/>
        <dsp:cNvSpPr/>
      </dsp:nvSpPr>
      <dsp:spPr>
        <a:xfrm rot="1894213">
          <a:off x="4084286" y="6157800"/>
          <a:ext cx="1048357" cy="31434"/>
        </a:xfrm>
        <a:custGeom>
          <a:avLst/>
          <a:gdLst/>
          <a:ahLst/>
          <a:cxnLst/>
          <a:rect l="0" t="0" r="0" b="0"/>
          <a:pathLst>
            <a:path>
              <a:moveTo>
                <a:pt x="0" y="15717"/>
              </a:moveTo>
              <a:lnTo>
                <a:pt x="375115" y="15717"/>
              </a:lnTo>
            </a:path>
            <a:path>
              <a:moveTo>
                <a:pt x="673242" y="15717"/>
              </a:moveTo>
              <a:lnTo>
                <a:pt x="1048357" y="15717"/>
              </a:lnTo>
            </a:path>
          </a:pathLst>
        </a:custGeom>
        <a:noFill/>
        <a:ln w="25400" cap="flat" cmpd="sng" algn="ctr">
          <a:solidFill>
            <a:srgbClr val="0070C0"/>
          </a:solidFill>
          <a:prstDash val="solid"/>
          <a:miter lim="800000"/>
          <a:tailEnd type="stealth" w="lg" len="lg"/>
        </a:ln>
        <a:effectLst/>
      </dsp:spPr>
      <dsp:style>
        <a:lnRef idx="2">
          <a:scrgbClr r="0" g="0" b="0"/>
        </a:lnRef>
        <a:fillRef idx="0">
          <a:scrgbClr r="0" g="0" b="0"/>
        </a:fillRef>
        <a:effectRef idx="0">
          <a:scrgbClr r="0" g="0" b="0"/>
        </a:effectRef>
        <a:fontRef idx="minor"/>
      </dsp:style>
      <dsp:txBody>
        <a:bodyPr spcFirstLastPara="0" vert="horz" wrap="square" lIns="18288" tIns="0" rIns="18288" bIns="0" numCol="1" spcCol="1270" anchor="ctr" anchorCtr="0">
          <a:noAutofit/>
        </a:bodyPr>
        <a:lstStyle/>
        <a:p>
          <a:pPr marL="0" lvl="0" indent="0" algn="ctr" defTabSz="622300">
            <a:lnSpc>
              <a:spcPct val="90000"/>
            </a:lnSpc>
            <a:spcBef>
              <a:spcPct val="0"/>
            </a:spcBef>
            <a:spcAft>
              <a:spcPct val="35000"/>
            </a:spcAft>
            <a:buNone/>
          </a:pPr>
          <a:r>
            <a:rPr lang="en-US" sz="1400" b="1" kern="1200" dirty="0">
              <a:ln>
                <a:solidFill>
                  <a:scrgbClr r="0" g="0" b="0"/>
                </a:solidFill>
              </a:ln>
            </a:rPr>
            <a:t>Yes</a:t>
          </a:r>
          <a:endParaRPr lang="en-CA" sz="1400" b="1" kern="1200" dirty="0">
            <a:ln>
              <a:solidFill>
                <a:scrgbClr r="0" g="0" b="0"/>
              </a:solidFill>
            </a:ln>
          </a:endParaRPr>
        </a:p>
      </dsp:txBody>
      <dsp:txXfrm>
        <a:off x="4459402" y="6042472"/>
        <a:ext cx="298126" cy="262089"/>
      </dsp:txXfrm>
    </dsp:sp>
    <dsp:sp modelId="{C0A2D960-AF5A-445D-AE5F-800B8AC365D3}">
      <dsp:nvSpPr>
        <dsp:cNvPr id="0" name=""/>
        <dsp:cNvSpPr/>
      </dsp:nvSpPr>
      <dsp:spPr>
        <a:xfrm>
          <a:off x="5055065" y="6313231"/>
          <a:ext cx="1621939" cy="269433"/>
        </a:xfrm>
        <a:prstGeom prst="roundRect">
          <a:avLst>
            <a:gd name="adj" fmla="val 10000"/>
          </a:avLst>
        </a:prstGeom>
        <a:solidFill>
          <a:schemeClr val="lt1">
            <a:hueOff val="0"/>
            <a:satOff val="0"/>
            <a:lumOff val="0"/>
            <a:alphaOff val="0"/>
          </a:schemeClr>
        </a:solidFill>
        <a:ln w="38100" cap="flat" cmpd="sng" algn="ctr">
          <a:solidFill>
            <a:schemeClr val="accent5">
              <a:lumMod val="60000"/>
              <a:lumOff val="40000"/>
            </a:schemeClr>
          </a:solidFill>
          <a:prstDash val="solid"/>
          <a:miter lim="800000"/>
        </a:ln>
        <a:effectLst>
          <a:outerShdw blurRad="149987" dist="250190" dir="8460000" algn="ctr" rotWithShape="0">
            <a:srgbClr val="000000">
              <a:alpha val="28000"/>
            </a:srgbClr>
          </a:outerShdw>
        </a:effectLst>
        <a:scene3d>
          <a:camera prst="orthographicFront">
            <a:rot lat="0" lon="0" rev="0"/>
          </a:camera>
          <a:lightRig rig="contrasting" dir="t">
            <a:rot lat="0" lon="0" rev="1500000"/>
          </a:lightRig>
        </a:scene3d>
        <a:sp3d prstMaterial="metal">
          <a:bevelT w="88900" h="88900"/>
        </a:sp3d>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b="1" kern="1200" dirty="0">
              <a:solidFill>
                <a:srgbClr val="00B0F0"/>
              </a:solidFill>
            </a:rPr>
            <a:t>A</a:t>
          </a:r>
          <a:r>
            <a:rPr lang="en-US" sz="1400" kern="1200" dirty="0"/>
            <a:t> </a:t>
          </a:r>
          <a:r>
            <a:rPr lang="en-CA" sz="1400" i="1" kern="1200" dirty="0"/>
            <a:t>Overlaps</a:t>
          </a:r>
          <a:r>
            <a:rPr lang="en-CA" sz="1400" kern="1200" dirty="0"/>
            <a:t> </a:t>
          </a:r>
          <a:r>
            <a:rPr lang="en-US" sz="1400" b="1" kern="1200" dirty="0">
              <a:solidFill>
                <a:srgbClr val="00B050"/>
              </a:solidFill>
            </a:rPr>
            <a:t>B</a:t>
          </a:r>
          <a:endParaRPr lang="en-CA" sz="1400" kern="1200" dirty="0"/>
        </a:p>
      </dsp:txBody>
      <dsp:txXfrm>
        <a:off x="5062956" y="6321122"/>
        <a:ext cx="1606157" cy="253651"/>
      </dsp:txXfrm>
    </dsp:sp>
  </dsp:spTree>
</dsp:drawing>
</file>

<file path=xl/diagrams/layout1.xml><?xml version="1.0" encoding="utf-8"?>
<dgm:layoutDef xmlns:dgm="http://schemas.openxmlformats.org/drawingml/2006/diagram" xmlns:a="http://schemas.openxmlformats.org/drawingml/2006/main" uniqueId="urn:microsoft.com/office/officeart/2005/8/layout/hierarchy2">
  <dgm:title val=""/>
  <dgm:desc val=""/>
  <dgm:catLst>
    <dgm:cat type="hierarchy" pri="5000"/>
  </dgm:catLst>
  <dgm:sampData>
    <dgm:dataModel>
      <dgm:ptLst>
        <dgm:pt modelId="0" type="doc"/>
        <dgm:pt modelId="1">
          <dgm:prSet phldr="1"/>
        </dgm:pt>
        <dgm:pt modelId="2">
          <dgm:prSet phldr="1"/>
        </dgm:pt>
        <dgm:pt modelId="21">
          <dgm:prSet phldr="1"/>
        </dgm:pt>
        <dgm:pt modelId="22">
          <dgm:prSet phldr="1"/>
        </dgm:pt>
        <dgm:pt modelId="3">
          <dgm:prSet phldr="1"/>
        </dgm:pt>
        <dgm:pt modelId="31">
          <dgm:prSet phldr="1"/>
        </dgm:pt>
      </dgm:ptLst>
      <dgm:cxnLst>
        <dgm:cxn modelId="4" srcId="0" destId="1" srcOrd="0" destOrd="0"/>
        <dgm:cxn modelId="5" srcId="1" destId="2" srcOrd="0" destOrd="0"/>
        <dgm:cxn modelId="6" srcId="1" destId="3" srcOrd="1" destOrd="0"/>
        <dgm:cxn modelId="23" srcId="2" destId="21" srcOrd="0" destOrd="0"/>
        <dgm:cxn modelId="24" srcId="2" destId="22" srcOrd="1" destOrd="0"/>
        <dgm:cxn modelId="33" srcId="3" destId="31" srcOrd="0" destOrd="0"/>
      </dgm:cxnLst>
      <dgm:bg/>
      <dgm:whole/>
    </dgm:dataModel>
  </dgm:sampData>
  <dgm:styleData>
    <dgm:dataModel>
      <dgm:ptLst>
        <dgm:pt modelId="0" type="doc"/>
        <dgm:pt modelId="1"/>
        <dgm:pt modelId="11"/>
        <dgm:pt modelId="12"/>
      </dgm:ptLst>
      <dgm:cxnLst>
        <dgm:cxn modelId="2" srcId="0" destId="1" srcOrd="0" destOrd="0"/>
        <dgm:cxn modelId="13" srcId="1" destId="11" srcOrd="0" destOrd="0"/>
        <dgm:cxn modelId="14" srcId="1" destId="12" srcOrd="1" destOrd="0"/>
      </dgm:cxnLst>
      <dgm:bg/>
      <dgm:whole/>
    </dgm:dataModel>
  </dgm:styleData>
  <dgm:clrData>
    <dgm:dataModel>
      <dgm:ptLst>
        <dgm:pt modelId="0" type="doc"/>
        <dgm:pt modelId="1"/>
        <dgm:pt modelId="2"/>
        <dgm:pt modelId="21"/>
        <dgm:pt modelId="211"/>
        <dgm:pt modelId="3"/>
        <dgm:pt modelId="31"/>
        <dgm:pt modelId="311"/>
      </dgm:ptLst>
      <dgm:cxnLst>
        <dgm:cxn modelId="4" srcId="0" destId="1" srcOrd="0" destOrd="0"/>
        <dgm:cxn modelId="5" srcId="1" destId="2" srcOrd="0" destOrd="0"/>
        <dgm:cxn modelId="6" srcId="1" destId="3" srcOrd="1" destOrd="0"/>
        <dgm:cxn modelId="23" srcId="2" destId="21" srcOrd="0" destOrd="0"/>
        <dgm:cxn modelId="24" srcId="21" destId="211" srcOrd="0" destOrd="0"/>
        <dgm:cxn modelId="33" srcId="3" destId="31" srcOrd="0" destOrd="0"/>
        <dgm:cxn modelId="34" srcId="31" destId="311" srcOrd="0" destOrd="0"/>
      </dgm:cxnLst>
      <dgm:bg/>
      <dgm:whole/>
    </dgm:dataModel>
  </dgm:clrData>
  <dgm:layoutNode name="diagram">
    <dgm:varLst>
      <dgm:chPref val="1"/>
      <dgm:dir/>
      <dgm:animOne val="branch"/>
      <dgm:animLvl val="lvl"/>
      <dgm:resizeHandles val="exact"/>
    </dgm:varLst>
    <dgm:choose name="Name0">
      <dgm:if name="Name1" func="var" arg="dir" op="equ" val="norm">
        <dgm:alg type="hierChild">
          <dgm:param type="linDir" val="fromT"/>
          <dgm:param type="chAlign" val="l"/>
        </dgm:alg>
      </dgm:if>
      <dgm:else name="Name2">
        <dgm:alg type="hierChild">
          <dgm:param type="linDir" val="fromT"/>
          <dgm:param type="chAlign" val="r"/>
        </dgm:alg>
      </dgm:else>
    </dgm:choose>
    <dgm:shape xmlns:r="http://schemas.openxmlformats.org/officeDocument/2006/relationships" r:blip="">
      <dgm:adjLst/>
    </dgm:shape>
    <dgm:presOf/>
    <dgm:constrLst>
      <dgm:constr type="h" for="des" ptType="node" refType="h"/>
      <dgm:constr type="w" for="des" ptType="node" refType="h" refFor="des" refPtType="node" fact="2"/>
      <dgm:constr type="sibSp" refType="h" refFor="des" refPtType="node" op="equ" fact="0.15"/>
      <dgm:constr type="sibSp" for="des" forName="level2hierChild" refType="h" refFor="des" refPtType="node" op="equ" fact="0.15"/>
      <dgm:constr type="sibSp" for="des" forName="level3hierChild" refType="h" refFor="des" refPtType="node" op="equ" fact="0.15"/>
      <dgm:constr type="sp" for="des" forName="root1" refType="w" refFor="des" refPtType="node" fact="0.4"/>
      <dgm:constr type="sp" for="des" forName="root2" refType="sp" refFor="des" refForName="root1" op="equ"/>
      <dgm:constr type="primFontSz" for="des" ptType="node" op="equ" val="65"/>
      <dgm:constr type="primFontSz" for="des" forName="connTx" op="equ" val="55"/>
      <dgm:constr type="primFontSz" for="des" forName="connTx" refType="primFontSz" refFor="des" refPtType="node" op="lte" fact="0.8"/>
    </dgm:constrLst>
    <dgm:ruleLst/>
    <dgm:forEach name="Name3" axis="ch">
      <dgm:forEach name="Name4" axis="self" ptType="node">
        <dgm:layoutNode name="root1">
          <dgm:choose name="Name5">
            <dgm:if name="Name6" func="var" arg="dir" op="equ" val="norm">
              <dgm:alg type="hierRoot">
                <dgm:param type="hierAlign" val="lCtrCh"/>
              </dgm:alg>
            </dgm:if>
            <dgm:else name="Name7">
              <dgm:alg type="hierRoot">
                <dgm:param type="hierAlign" val="rCtrCh"/>
              </dgm:alg>
            </dgm:else>
          </dgm:choose>
          <dgm:shape xmlns:r="http://schemas.openxmlformats.org/officeDocument/2006/relationships" r:blip="">
            <dgm:adjLst/>
          </dgm:shape>
          <dgm:presOf/>
          <dgm:constrLst/>
          <dgm:ruleLst/>
          <dgm:layoutNode name="LevelOneTextNode" styleLbl="node0">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2hierChild">
            <dgm:choose name="Name8">
              <dgm:if name="Name9" func="var" arg="dir" op="equ" val="norm">
                <dgm:alg type="hierChild">
                  <dgm:param type="linDir" val="fromT"/>
                  <dgm:param type="chAlign" val="l"/>
                </dgm:alg>
              </dgm:if>
              <dgm:else name="Name10">
                <dgm:alg type="hierChild">
                  <dgm:param type="linDir" val="fromT"/>
                  <dgm:param type="chAlign" val="r"/>
                </dgm:alg>
              </dgm:else>
            </dgm:choose>
            <dgm:shape xmlns:r="http://schemas.openxmlformats.org/officeDocument/2006/relationships" r:blip="">
              <dgm:adjLst/>
            </dgm:shape>
            <dgm:presOf/>
            <dgm:constrLst/>
            <dgm:ruleLst/>
            <dgm:forEach name="repeat" axis="ch">
              <dgm:forEach name="Name11" axis="self" ptType="parTrans" cnt="1">
                <dgm:layoutNode name="conn2-1">
                  <dgm:choose name="Name12">
                    <dgm:if name="Name13" func="var" arg="dir" op="equ" val="norm">
                      <dgm:alg type="conn">
                        <dgm:param type="dim" val="1D"/>
                        <dgm:param type="begPts" val="midR"/>
                        <dgm:param type="endPts" val="midL"/>
                        <dgm:param type="endSty" val="noArr"/>
                      </dgm:alg>
                    </dgm:if>
                    <dgm:else name="Name14">
                      <dgm:alg type="conn">
                        <dgm:param type="dim" val="1D"/>
                        <dgm:param type="begPts" val="midL"/>
                        <dgm:param type="endPts" val="midR"/>
                        <dgm:param type="endSty" val="noArr"/>
                      </dgm:alg>
                    </dgm:else>
                  </dgm:choose>
                  <dgm:shape xmlns:r="http://schemas.openxmlformats.org/officeDocument/2006/relationships" type="conn" r:blip="">
                    <dgm:adjLst/>
                  </dgm:shape>
                  <dgm:presOf axis="self"/>
                  <dgm:constrLst>
                    <dgm:constr type="w" val="1"/>
                    <dgm:constr type="h" val="5"/>
                    <dgm:constr type="connDist"/>
                    <dgm:constr type="begPad"/>
                    <dgm:constr type="endPad"/>
                    <dgm:constr type="userA" for="ch" refType="connDist"/>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h" val="NaN" fact="0.25" max="NaN"/>
                      <dgm:rule type="w" val="NaN" fact="0.8" max="NaN"/>
                      <dgm:rule type="primFontSz" val="5" fact="NaN" max="NaN"/>
                    </dgm:ruleLst>
                  </dgm:layoutNode>
                </dgm:layoutNode>
              </dgm:forEach>
              <dgm:forEach name="Name15" axis="self" ptType="node">
                <dgm:layoutNode name="root2">
                  <dgm:choose name="Name16">
                    <dgm:if name="Name17" func="var" arg="dir" op="equ" val="norm">
                      <dgm:alg type="hierRoot">
                        <dgm:param type="hierAlign" val="lCtrCh"/>
                      </dgm:alg>
                    </dgm:if>
                    <dgm:else name="Name18">
                      <dgm:alg type="hierRoot">
                        <dgm:param type="hierAlign" val="rCtrCh"/>
                      </dgm:alg>
                    </dgm:else>
                  </dgm:choose>
                  <dgm:shape xmlns:r="http://schemas.openxmlformats.org/officeDocument/2006/relationships" r:blip="">
                    <dgm:adjLst/>
                  </dgm:shape>
                  <dgm:presOf/>
                  <dgm:constrLst/>
                  <dgm:ruleLst/>
                  <dgm:layoutNode name="LevelTwoTextNode">
                    <dgm:varLst>
                      <dgm:chPref val="3"/>
                    </dgm:varLst>
                    <dgm:alg type="tx"/>
                    <dgm:shape xmlns:r="http://schemas.openxmlformats.org/officeDocument/2006/relationships" type="roundRect" r:blip="">
                      <dgm:adjLst>
                        <dgm:adj idx="1" val="0.1"/>
                      </dgm:adjLst>
                    </dgm:shape>
                    <dgm:presOf axis="self"/>
                    <dgm:constrLst>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layoutNode name="level3hierChild">
                    <dgm:choose name="Name19">
                      <dgm:if name="Name20" func="var" arg="dir" op="equ" val="norm">
                        <dgm:alg type="hierChild">
                          <dgm:param type="linDir" val="fromT"/>
                          <dgm:param type="chAlign" val="l"/>
                        </dgm:alg>
                      </dgm:if>
                      <dgm:else name="Name21">
                        <dgm:alg type="hierChild">
                          <dgm:param type="linDir" val="fromT"/>
                          <dgm:param type="chAlign" val="r"/>
                        </dgm:alg>
                      </dgm:else>
                    </dgm:choose>
                    <dgm:shape xmlns:r="http://schemas.openxmlformats.org/officeDocument/2006/relationships" r:blip="">
                      <dgm:adjLst/>
                    </dgm:shape>
                    <dgm:presOf/>
                    <dgm:constrLst/>
                    <dgm:ruleLst/>
                    <dgm:forEach name="Name22" ref="repeat"/>
                  </dgm:layoutNode>
                </dgm:layoutNode>
              </dgm:forEach>
            </dgm:forEach>
          </dgm:layoutNode>
        </dgm:layoutNode>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3" Type="http://schemas.openxmlformats.org/officeDocument/2006/relationships/diagramQuickStyle" Target="../diagrams/quickStyle1.xml"/><Relationship Id="rId2" Type="http://schemas.openxmlformats.org/officeDocument/2006/relationships/diagramLayout" Target="../diagrams/layout1.xml"/><Relationship Id="rId1" Type="http://schemas.openxmlformats.org/officeDocument/2006/relationships/diagramData" Target="../diagrams/data1.xml"/><Relationship Id="rId5" Type="http://schemas.microsoft.com/office/2007/relationships/diagramDrawing" Target="../diagrams/drawing1.xml"/><Relationship Id="rId4" Type="http://schemas.openxmlformats.org/officeDocument/2006/relationships/diagramColors" Target="../diagrams/colors1.xml"/></Relationships>
</file>

<file path=xl/drawings/drawing1.xml><?xml version="1.0" encoding="utf-8"?>
<xdr:wsDr xmlns:xdr="http://schemas.openxmlformats.org/drawingml/2006/spreadsheetDrawing" xmlns:a="http://schemas.openxmlformats.org/drawingml/2006/main">
  <xdr:twoCellAnchor editAs="oneCell">
    <xdr:from>
      <xdr:col>4</xdr:col>
      <xdr:colOff>38100</xdr:colOff>
      <xdr:row>0</xdr:row>
      <xdr:rowOff>66675</xdr:rowOff>
    </xdr:from>
    <xdr:to>
      <xdr:col>4</xdr:col>
      <xdr:colOff>608330</xdr:colOff>
      <xdr:row>0</xdr:row>
      <xdr:rowOff>615315</xdr:rowOff>
    </xdr:to>
    <xdr:pic>
      <xdr:nvPicPr>
        <xdr:cNvPr id="24" name="Picture 23" descr="A blue and white circle with a green center&#10;&#10;Description automatically generated">
          <a:extLst>
            <a:ext uri="{FF2B5EF4-FFF2-40B4-BE49-F238E27FC236}">
              <a16:creationId xmlns:a16="http://schemas.microsoft.com/office/drawing/2014/main" id="{AB6AC657-7E66-782A-F474-FBD89EE5BAF9}"/>
            </a:ext>
          </a:extLst>
        </xdr:cNvPr>
        <xdr:cNvPicPr>
          <a:picLocks noChangeAspect="1"/>
        </xdr:cNvPicPr>
      </xdr:nvPicPr>
      <xdr:blipFill>
        <a:blip xmlns:r="http://schemas.openxmlformats.org/officeDocument/2006/relationships" r:embed="rId1"/>
        <a:stretch>
          <a:fillRect/>
        </a:stretch>
      </xdr:blipFill>
      <xdr:spPr>
        <a:xfrm>
          <a:off x="6153150" y="66675"/>
          <a:ext cx="570230" cy="548640"/>
        </a:xfrm>
        <a:prstGeom prst="rect">
          <a:avLst/>
        </a:prstGeom>
      </xdr:spPr>
    </xdr:pic>
    <xdr:clientData/>
  </xdr:twoCellAnchor>
  <xdr:twoCellAnchor editAs="oneCell">
    <xdr:from>
      <xdr:col>4</xdr:col>
      <xdr:colOff>590550</xdr:colOff>
      <xdr:row>0</xdr:row>
      <xdr:rowOff>19050</xdr:rowOff>
    </xdr:from>
    <xdr:to>
      <xdr:col>4</xdr:col>
      <xdr:colOff>1164590</xdr:colOff>
      <xdr:row>0</xdr:row>
      <xdr:rowOff>567690</xdr:rowOff>
    </xdr:to>
    <xdr:pic>
      <xdr:nvPicPr>
        <xdr:cNvPr id="25" name="Picture 24" descr="A blue and green circle&#10;&#10;Description automatically generated">
          <a:extLst>
            <a:ext uri="{FF2B5EF4-FFF2-40B4-BE49-F238E27FC236}">
              <a16:creationId xmlns:a16="http://schemas.microsoft.com/office/drawing/2014/main" id="{695AD82E-D143-B04A-ECCF-29B413F701C2}"/>
            </a:ext>
          </a:extLst>
        </xdr:cNvPr>
        <xdr:cNvPicPr>
          <a:picLocks noChangeAspect="1"/>
        </xdr:cNvPicPr>
      </xdr:nvPicPr>
      <xdr:blipFill>
        <a:blip xmlns:r="http://schemas.openxmlformats.org/officeDocument/2006/relationships" r:embed="rId2"/>
        <a:stretch>
          <a:fillRect/>
        </a:stretch>
      </xdr:blipFill>
      <xdr:spPr>
        <a:xfrm>
          <a:off x="6705600" y="19050"/>
          <a:ext cx="574040" cy="548640"/>
        </a:xfrm>
        <a:prstGeom prst="rect">
          <a:avLst/>
        </a:prstGeom>
      </xdr:spPr>
    </xdr:pic>
    <xdr:clientData/>
  </xdr:twoCellAnchor>
  <xdr:twoCellAnchor editAs="oneCell">
    <xdr:from>
      <xdr:col>4</xdr:col>
      <xdr:colOff>38100</xdr:colOff>
      <xdr:row>1</xdr:row>
      <xdr:rowOff>108794</xdr:rowOff>
    </xdr:from>
    <xdr:to>
      <xdr:col>4</xdr:col>
      <xdr:colOff>541020</xdr:colOff>
      <xdr:row>1</xdr:row>
      <xdr:rowOff>565994</xdr:rowOff>
    </xdr:to>
    <xdr:pic>
      <xdr:nvPicPr>
        <xdr:cNvPr id="26" name="Picture 25" descr="A blue and green object&#10;&#10;Description automatically generated">
          <a:extLst>
            <a:ext uri="{FF2B5EF4-FFF2-40B4-BE49-F238E27FC236}">
              <a16:creationId xmlns:a16="http://schemas.microsoft.com/office/drawing/2014/main" id="{8A1A280D-DC9E-E821-5A1C-F8D09BB6C6FC}"/>
            </a:ext>
          </a:extLst>
        </xdr:cNvPr>
        <xdr:cNvPicPr>
          <a:picLocks noChangeAspect="1"/>
        </xdr:cNvPicPr>
      </xdr:nvPicPr>
      <xdr:blipFill>
        <a:blip xmlns:r="http://schemas.openxmlformats.org/officeDocument/2006/relationships" r:embed="rId3"/>
        <a:stretch>
          <a:fillRect/>
        </a:stretch>
      </xdr:blipFill>
      <xdr:spPr>
        <a:xfrm>
          <a:off x="6153150" y="737444"/>
          <a:ext cx="502920" cy="457200"/>
        </a:xfrm>
        <a:prstGeom prst="rect">
          <a:avLst/>
        </a:prstGeom>
      </xdr:spPr>
    </xdr:pic>
    <xdr:clientData/>
  </xdr:twoCellAnchor>
  <xdr:twoCellAnchor>
    <xdr:from>
      <xdr:col>4</xdr:col>
      <xdr:colOff>38100</xdr:colOff>
      <xdr:row>2</xdr:row>
      <xdr:rowOff>97573</xdr:rowOff>
    </xdr:from>
    <xdr:to>
      <xdr:col>4</xdr:col>
      <xdr:colOff>906835</xdr:colOff>
      <xdr:row>2</xdr:row>
      <xdr:rowOff>554773</xdr:rowOff>
    </xdr:to>
    <xdr:grpSp>
      <xdr:nvGrpSpPr>
        <xdr:cNvPr id="27" name="Group 26">
          <a:extLst>
            <a:ext uri="{FF2B5EF4-FFF2-40B4-BE49-F238E27FC236}">
              <a16:creationId xmlns:a16="http://schemas.microsoft.com/office/drawing/2014/main" id="{1F0D44E5-7770-38DE-1BE4-C7DB96D3CB48}"/>
            </a:ext>
          </a:extLst>
        </xdr:cNvPr>
        <xdr:cNvGrpSpPr>
          <a:grpSpLocks noChangeAspect="1"/>
        </xdr:cNvGrpSpPr>
      </xdr:nvGrpSpPr>
      <xdr:grpSpPr bwMode="auto">
        <a:xfrm>
          <a:off x="6981825" y="1354873"/>
          <a:ext cx="868735" cy="457200"/>
          <a:chOff x="1073099" y="1110079"/>
          <a:chExt cx="15705" cy="8263"/>
        </a:xfrm>
      </xdr:grpSpPr>
      <xdr:sp macro="" textlink="">
        <xdr:nvSpPr>
          <xdr:cNvPr id="28" name="Oval 27">
            <a:extLst>
              <a:ext uri="{FF2B5EF4-FFF2-40B4-BE49-F238E27FC236}">
                <a16:creationId xmlns:a16="http://schemas.microsoft.com/office/drawing/2014/main" id="{655D8179-35DA-5BE5-0575-36B5219E64ED}"/>
              </a:ext>
            </a:extLst>
          </xdr:cNvPr>
          <xdr:cNvSpPr>
            <a:spLocks noChangeArrowheads="1"/>
          </xdr:cNvSpPr>
        </xdr:nvSpPr>
        <xdr:spPr bwMode="auto">
          <a:xfrm rot="-1957153">
            <a:off x="1073099" y="1111149"/>
            <a:ext cx="8264" cy="6122"/>
          </a:xfrm>
          <a:prstGeom prst="ellipse">
            <a:avLst/>
          </a:pr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sp macro="" textlink="">
        <xdr:nvSpPr>
          <xdr:cNvPr id="29" name="Oval 28">
            <a:extLst>
              <a:ext uri="{FF2B5EF4-FFF2-40B4-BE49-F238E27FC236}">
                <a16:creationId xmlns:a16="http://schemas.microsoft.com/office/drawing/2014/main" id="{939CA846-0352-EB9C-CE4F-F6A0930273C7}"/>
              </a:ext>
            </a:extLst>
          </xdr:cNvPr>
          <xdr:cNvSpPr>
            <a:spLocks noChangeArrowheads="1"/>
          </xdr:cNvSpPr>
        </xdr:nvSpPr>
        <xdr:spPr bwMode="auto">
          <a:xfrm rot="4800000">
            <a:off x="1081611" y="1111150"/>
            <a:ext cx="8263" cy="6122"/>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4</xdr:col>
      <xdr:colOff>38100</xdr:colOff>
      <xdr:row>3</xdr:row>
      <xdr:rowOff>114927</xdr:rowOff>
    </xdr:from>
    <xdr:to>
      <xdr:col>4</xdr:col>
      <xdr:colOff>426720</xdr:colOff>
      <xdr:row>3</xdr:row>
      <xdr:rowOff>572127</xdr:rowOff>
    </xdr:to>
    <xdr:pic>
      <xdr:nvPicPr>
        <xdr:cNvPr id="30" name="Picture 29" descr="A blue and green object&#10;&#10;Description automatically generated">
          <a:extLst>
            <a:ext uri="{FF2B5EF4-FFF2-40B4-BE49-F238E27FC236}">
              <a16:creationId xmlns:a16="http://schemas.microsoft.com/office/drawing/2014/main" id="{2BC8FD85-74B9-B37A-02F3-41D59F59C8D2}"/>
            </a:ext>
          </a:extLst>
        </xdr:cNvPr>
        <xdr:cNvPicPr>
          <a:picLocks noChangeAspect="1"/>
        </xdr:cNvPicPr>
      </xdr:nvPicPr>
      <xdr:blipFill>
        <a:blip xmlns:r="http://schemas.openxmlformats.org/officeDocument/2006/relationships" r:embed="rId4"/>
        <a:stretch>
          <a:fillRect/>
        </a:stretch>
      </xdr:blipFill>
      <xdr:spPr>
        <a:xfrm>
          <a:off x="6153150" y="2000877"/>
          <a:ext cx="388620" cy="457200"/>
        </a:xfrm>
        <a:prstGeom prst="rect">
          <a:avLst/>
        </a:prstGeom>
      </xdr:spPr>
    </xdr:pic>
    <xdr:clientData/>
  </xdr:twoCellAnchor>
  <xdr:twoCellAnchor>
    <xdr:from>
      <xdr:col>4</xdr:col>
      <xdr:colOff>38100</xdr:colOff>
      <xdr:row>4</xdr:row>
      <xdr:rowOff>103706</xdr:rowOff>
    </xdr:from>
    <xdr:to>
      <xdr:col>4</xdr:col>
      <xdr:colOff>535940</xdr:colOff>
      <xdr:row>4</xdr:row>
      <xdr:rowOff>560930</xdr:rowOff>
    </xdr:to>
    <xdr:grpSp>
      <xdr:nvGrpSpPr>
        <xdr:cNvPr id="31" name="Group 30">
          <a:extLst>
            <a:ext uri="{FF2B5EF4-FFF2-40B4-BE49-F238E27FC236}">
              <a16:creationId xmlns:a16="http://schemas.microsoft.com/office/drawing/2014/main" id="{475056EB-AF67-7E1F-2810-990925AAD86E}"/>
            </a:ext>
          </a:extLst>
        </xdr:cNvPr>
        <xdr:cNvGrpSpPr>
          <a:grpSpLocks noChangeAspect="1"/>
        </xdr:cNvGrpSpPr>
      </xdr:nvGrpSpPr>
      <xdr:grpSpPr>
        <a:xfrm>
          <a:off x="6981825" y="2618306"/>
          <a:ext cx="497840" cy="457224"/>
          <a:chOff x="0" y="1"/>
          <a:chExt cx="2069465" cy="1893035"/>
        </a:xfrm>
      </xdr:grpSpPr>
      <xdr:grpSp>
        <xdr:nvGrpSpPr>
          <xdr:cNvPr id="32" name="Group 31">
            <a:extLst>
              <a:ext uri="{FF2B5EF4-FFF2-40B4-BE49-F238E27FC236}">
                <a16:creationId xmlns:a16="http://schemas.microsoft.com/office/drawing/2014/main" id="{75828B37-8FD5-8BB9-7281-E7AEE2F6E25A}"/>
              </a:ext>
            </a:extLst>
          </xdr:cNvPr>
          <xdr:cNvGrpSpPr>
            <a:grpSpLocks/>
          </xdr:cNvGrpSpPr>
        </xdr:nvGrpSpPr>
        <xdr:grpSpPr bwMode="auto">
          <a:xfrm>
            <a:off x="0" y="1"/>
            <a:ext cx="2069465" cy="1893035"/>
            <a:chOff x="1111124" y="1087127"/>
            <a:chExt cx="20692" cy="18932"/>
          </a:xfrm>
        </xdr:grpSpPr>
        <xdr:sp macro="" textlink="">
          <xdr:nvSpPr>
            <xdr:cNvPr id="34" name="Freeform 3">
              <a:extLst>
                <a:ext uri="{FF2B5EF4-FFF2-40B4-BE49-F238E27FC236}">
                  <a16:creationId xmlns:a16="http://schemas.microsoft.com/office/drawing/2014/main" id="{46890E8E-25C4-E08B-1615-20F1B07E1AB6}"/>
                </a:ext>
              </a:extLst>
            </xdr:cNvPr>
            <xdr:cNvSpPr>
              <a:spLocks/>
            </xdr:cNvSpPr>
          </xdr:nvSpPr>
          <xdr:spPr bwMode="auto">
            <a:xfrm>
              <a:off x="1111124" y="1087127"/>
              <a:ext cx="20692" cy="18932"/>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5" name="Freeform 4">
              <a:extLst>
                <a:ext uri="{FF2B5EF4-FFF2-40B4-BE49-F238E27FC236}">
                  <a16:creationId xmlns:a16="http://schemas.microsoft.com/office/drawing/2014/main" id="{5727F5FA-831F-0CE7-D14E-844913BF9716}"/>
                </a:ext>
              </a:extLst>
            </xdr:cNvPr>
            <xdr:cNvSpPr>
              <a:spLocks/>
            </xdr:cNvSpPr>
          </xdr:nvSpPr>
          <xdr:spPr bwMode="auto">
            <a:xfrm>
              <a:off x="1113958" y="1089896"/>
              <a:ext cx="14724" cy="12943"/>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FFFFFF"/>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sp macro="" textlink="">
        <xdr:nvSpPr>
          <xdr:cNvPr id="33" name="Freeform: Shape 32">
            <a:extLst>
              <a:ext uri="{FF2B5EF4-FFF2-40B4-BE49-F238E27FC236}">
                <a16:creationId xmlns:a16="http://schemas.microsoft.com/office/drawing/2014/main" id="{B9D498B7-798B-64A6-E187-19FEAD1601F0}"/>
              </a:ext>
            </a:extLst>
          </xdr:cNvPr>
          <xdr:cNvSpPr>
            <a:spLocks/>
          </xdr:cNvSpPr>
        </xdr:nvSpPr>
        <xdr:spPr bwMode="auto">
          <a:xfrm>
            <a:off x="356235" y="396240"/>
            <a:ext cx="796290" cy="1097280"/>
          </a:xfrm>
          <a:custGeom>
            <a:avLst/>
            <a:gdLst>
              <a:gd name="T0" fmla="*/ 392806 w 869324"/>
              <a:gd name="T1" fmla="*/ 0 h 1161245"/>
              <a:gd name="T2" fmla="*/ 869324 w 869324"/>
              <a:gd name="T3" fmla="*/ 940158 h 1161245"/>
              <a:gd name="T4" fmla="*/ 186744 w 869324"/>
              <a:gd name="T5" fmla="*/ 1043189 h 1161245"/>
              <a:gd name="T6" fmla="*/ 109471 w 869324"/>
              <a:gd name="T7" fmla="*/ 347730 h 1161245"/>
              <a:gd name="T8" fmla="*/ 392806 w 869324"/>
              <a:gd name="T9" fmla="*/ 0 h 1161245"/>
              <a:gd name="connsiteX0" fmla="*/ 320267 w 796785"/>
              <a:gd name="connsiteY0" fmla="*/ 0 h 1097151"/>
              <a:gd name="connsiteX1" fmla="*/ 796785 w 796785"/>
              <a:gd name="connsiteY1" fmla="*/ 940158 h 1097151"/>
              <a:gd name="connsiteX2" fmla="*/ 114205 w 796785"/>
              <a:gd name="connsiteY2" fmla="*/ 1043189 h 1097151"/>
              <a:gd name="connsiteX3" fmla="*/ 36932 w 796785"/>
              <a:gd name="connsiteY3" fmla="*/ 347730 h 1097151"/>
              <a:gd name="connsiteX4" fmla="*/ 114788 w 796785"/>
              <a:gd name="connsiteY4" fmla="*/ 172060 h 1097151"/>
              <a:gd name="connsiteX5" fmla="*/ 320267 w 796785"/>
              <a:gd name="connsiteY5" fmla="*/ 0 h 109715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796785" h="1097151">
                <a:moveTo>
                  <a:pt x="320267" y="0"/>
                </a:moveTo>
                <a:lnTo>
                  <a:pt x="796785" y="940158"/>
                </a:lnTo>
                <a:cubicBezTo>
                  <a:pt x="552086" y="1066800"/>
                  <a:pt x="300949" y="1161245"/>
                  <a:pt x="114205" y="1043189"/>
                </a:cubicBezTo>
                <a:cubicBezTo>
                  <a:pt x="-72539" y="925133"/>
                  <a:pt x="22547" y="497680"/>
                  <a:pt x="36932" y="347730"/>
                </a:cubicBezTo>
                <a:cubicBezTo>
                  <a:pt x="91459" y="279650"/>
                  <a:pt x="60261" y="240140"/>
                  <a:pt x="114788" y="172060"/>
                </a:cubicBezTo>
                <a:lnTo>
                  <a:pt x="320267" y="0"/>
                </a:lnTo>
                <a:close/>
              </a:path>
            </a:pathLst>
          </a:custGeom>
          <a:solidFill>
            <a:srgbClr val="00B050">
              <a:alpha val="70000"/>
            </a:srgbClr>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grpSp>
    <xdr:clientData/>
  </xdr:twoCellAnchor>
  <xdr:twoCellAnchor>
    <xdr:from>
      <xdr:col>4</xdr:col>
      <xdr:colOff>590550</xdr:colOff>
      <xdr:row>4</xdr:row>
      <xdr:rowOff>85725</xdr:rowOff>
    </xdr:from>
    <xdr:to>
      <xdr:col>4</xdr:col>
      <xdr:colOff>1089025</xdr:colOff>
      <xdr:row>4</xdr:row>
      <xdr:rowOff>542925</xdr:rowOff>
    </xdr:to>
    <xdr:grpSp>
      <xdr:nvGrpSpPr>
        <xdr:cNvPr id="36" name="Group 35">
          <a:extLst>
            <a:ext uri="{FF2B5EF4-FFF2-40B4-BE49-F238E27FC236}">
              <a16:creationId xmlns:a16="http://schemas.microsoft.com/office/drawing/2014/main" id="{A11F21F6-6E6F-4500-35F6-B932523C3748}"/>
            </a:ext>
          </a:extLst>
        </xdr:cNvPr>
        <xdr:cNvGrpSpPr>
          <a:grpSpLocks noChangeAspect="1"/>
        </xdr:cNvGrpSpPr>
      </xdr:nvGrpSpPr>
      <xdr:grpSpPr bwMode="auto">
        <a:xfrm>
          <a:off x="7534275" y="2600325"/>
          <a:ext cx="498475" cy="457200"/>
          <a:chOff x="1090551" y="1104655"/>
          <a:chExt cx="20692" cy="18931"/>
        </a:xfrm>
      </xdr:grpSpPr>
      <xdr:sp macro="" textlink="">
        <xdr:nvSpPr>
          <xdr:cNvPr id="37" name="Freeform 3">
            <a:extLst>
              <a:ext uri="{FF2B5EF4-FFF2-40B4-BE49-F238E27FC236}">
                <a16:creationId xmlns:a16="http://schemas.microsoft.com/office/drawing/2014/main" id="{02A17DB0-508F-7D95-D62B-AACBE0D13A76}"/>
              </a:ext>
            </a:extLst>
          </xdr:cNvPr>
          <xdr:cNvSpPr>
            <a:spLocks/>
          </xdr:cNvSpPr>
        </xdr:nvSpPr>
        <xdr:spPr bwMode="auto">
          <a:xfrm>
            <a:off x="1090551" y="1104655"/>
            <a:ext cx="20692" cy="18931"/>
          </a:xfrm>
          <a:custGeom>
            <a:avLst/>
            <a:gdLst>
              <a:gd name="T0" fmla="*/ 109471 w 2069206"/>
              <a:gd name="T1" fmla="*/ 1363014 h 1893194"/>
              <a:gd name="T2" fmla="*/ 212501 w 2069206"/>
              <a:gd name="T3" fmla="*/ 448614 h 1893194"/>
              <a:gd name="T4" fmla="*/ 1023871 w 2069206"/>
              <a:gd name="T5" fmla="*/ 100884 h 1893194"/>
              <a:gd name="T6" fmla="*/ 1925392 w 2069206"/>
              <a:gd name="T7" fmla="*/ 603160 h 1893194"/>
              <a:gd name="T8" fmla="*/ 1435994 w 2069206"/>
              <a:gd name="T9" fmla="*/ 1453166 h 1893194"/>
              <a:gd name="T10" fmla="*/ 560231 w 2069206"/>
              <a:gd name="T11" fmla="*/ 1878169 h 1893194"/>
              <a:gd name="T12" fmla="*/ 109471 w 2069206"/>
              <a:gd name="T13" fmla="*/ 1363014 h 1893194"/>
            </a:gdLst>
            <a:ahLst/>
            <a:cxnLst>
              <a:cxn ang="0">
                <a:pos x="T0" y="T1"/>
              </a:cxn>
              <a:cxn ang="0">
                <a:pos x="T2" y="T3"/>
              </a:cxn>
              <a:cxn ang="0">
                <a:pos x="T4" y="T5"/>
              </a:cxn>
              <a:cxn ang="0">
                <a:pos x="T6" y="T7"/>
              </a:cxn>
              <a:cxn ang="0">
                <a:pos x="T8" y="T9"/>
              </a:cxn>
              <a:cxn ang="0">
                <a:pos x="T10" y="T11"/>
              </a:cxn>
              <a:cxn ang="0">
                <a:pos x="T12" y="T13"/>
              </a:cxn>
            </a:cxnLst>
            <a:rect l="0" t="0" r="r" b="b"/>
            <a:pathLst>
              <a:path w="2069206" h="1893194">
                <a:moveTo>
                  <a:pt x="109471" y="1363014"/>
                </a:moveTo>
                <a:cubicBezTo>
                  <a:pt x="105178" y="1350135"/>
                  <a:pt x="0" y="729803"/>
                  <a:pt x="212501" y="448614"/>
                </a:cubicBezTo>
                <a:cubicBezTo>
                  <a:pt x="425002" y="167425"/>
                  <a:pt x="502277" y="201768"/>
                  <a:pt x="1023871" y="100884"/>
                </a:cubicBezTo>
                <a:cubicBezTo>
                  <a:pt x="1545465" y="0"/>
                  <a:pt x="1781578" y="289774"/>
                  <a:pt x="1925392" y="603160"/>
                </a:cubicBezTo>
                <a:cubicBezTo>
                  <a:pt x="2069206" y="916546"/>
                  <a:pt x="1781577" y="1337256"/>
                  <a:pt x="1435994" y="1453166"/>
                </a:cubicBezTo>
                <a:cubicBezTo>
                  <a:pt x="1090411" y="1569076"/>
                  <a:pt x="781318" y="1893194"/>
                  <a:pt x="560231" y="1878169"/>
                </a:cubicBezTo>
                <a:cubicBezTo>
                  <a:pt x="339144" y="1863144"/>
                  <a:pt x="264017" y="1478924"/>
                  <a:pt x="109471" y="1363014"/>
                </a:cubicBezTo>
                <a:close/>
              </a:path>
            </a:pathLst>
          </a:cu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8" name="Freeform 4">
            <a:extLst>
              <a:ext uri="{FF2B5EF4-FFF2-40B4-BE49-F238E27FC236}">
                <a16:creationId xmlns:a16="http://schemas.microsoft.com/office/drawing/2014/main" id="{7C3B5D7B-74A3-31E4-1E67-A0B3F0ADF26C}"/>
              </a:ext>
            </a:extLst>
          </xdr:cNvPr>
          <xdr:cNvSpPr>
            <a:spLocks/>
          </xdr:cNvSpPr>
        </xdr:nvSpPr>
        <xdr:spPr bwMode="auto">
          <a:xfrm>
            <a:off x="1093384" y="1107423"/>
            <a:ext cx="14725" cy="12944"/>
          </a:xfrm>
          <a:custGeom>
            <a:avLst/>
            <a:gdLst>
              <a:gd name="T0" fmla="*/ 392806 w 1472485"/>
              <a:gd name="T1" fmla="*/ 133082 h 1294327"/>
              <a:gd name="T2" fmla="*/ 1075386 w 1472485"/>
              <a:gd name="T3" fmla="*/ 55809 h 1294327"/>
              <a:gd name="T4" fmla="*/ 1371601 w 1472485"/>
              <a:gd name="T5" fmla="*/ 635358 h 1294327"/>
              <a:gd name="T6" fmla="*/ 869324 w 1472485"/>
              <a:gd name="T7" fmla="*/ 1073240 h 1294327"/>
              <a:gd name="T8" fmla="*/ 186744 w 1472485"/>
              <a:gd name="T9" fmla="*/ 1176271 h 1294327"/>
              <a:gd name="T10" fmla="*/ 109471 w 1472485"/>
              <a:gd name="T11" fmla="*/ 480812 h 1294327"/>
              <a:gd name="T12" fmla="*/ 392806 w 1472485"/>
              <a:gd name="T13" fmla="*/ 133082 h 1294327"/>
            </a:gdLst>
            <a:ahLst/>
            <a:cxnLst>
              <a:cxn ang="0">
                <a:pos x="T0" y="T1"/>
              </a:cxn>
              <a:cxn ang="0">
                <a:pos x="T2" y="T3"/>
              </a:cxn>
              <a:cxn ang="0">
                <a:pos x="T4" y="T5"/>
              </a:cxn>
              <a:cxn ang="0">
                <a:pos x="T6" y="T7"/>
              </a:cxn>
              <a:cxn ang="0">
                <a:pos x="T8" y="T9"/>
              </a:cxn>
              <a:cxn ang="0">
                <a:pos x="T10" y="T11"/>
              </a:cxn>
              <a:cxn ang="0">
                <a:pos x="T12" y="T13"/>
              </a:cxn>
            </a:cxnLst>
            <a:rect l="0" t="0" r="r" b="b"/>
            <a:pathLst>
              <a:path w="1472485" h="1294327">
                <a:moveTo>
                  <a:pt x="392806" y="133082"/>
                </a:moveTo>
                <a:cubicBezTo>
                  <a:pt x="680434" y="0"/>
                  <a:pt x="845713" y="21465"/>
                  <a:pt x="1075386" y="55809"/>
                </a:cubicBezTo>
                <a:cubicBezTo>
                  <a:pt x="1305059" y="90153"/>
                  <a:pt x="1472485" y="384220"/>
                  <a:pt x="1371601" y="635358"/>
                </a:cubicBezTo>
                <a:cubicBezTo>
                  <a:pt x="1270717" y="886496"/>
                  <a:pt x="1114023" y="946598"/>
                  <a:pt x="869324" y="1073240"/>
                </a:cubicBezTo>
                <a:cubicBezTo>
                  <a:pt x="624625" y="1199882"/>
                  <a:pt x="373488" y="1294327"/>
                  <a:pt x="186744" y="1176271"/>
                </a:cubicBezTo>
                <a:cubicBezTo>
                  <a:pt x="0" y="1058215"/>
                  <a:pt x="75127" y="654677"/>
                  <a:pt x="109471" y="480812"/>
                </a:cubicBezTo>
                <a:cubicBezTo>
                  <a:pt x="143815" y="306947"/>
                  <a:pt x="333778" y="205526"/>
                  <a:pt x="392806" y="133082"/>
                </a:cubicBezTo>
                <a:close/>
              </a:path>
            </a:pathLst>
          </a:custGeom>
          <a:solidFill>
            <a:srgbClr val="00B050"/>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91440" tIns="45720" rIns="91440" bIns="45720" anchor="t" anchorCtr="0" upright="1">
            <a:noAutofit/>
          </a:bodyPr>
          <a:lstStyle/>
          <a:p>
            <a:endParaRPr lang="en-CA"/>
          </a:p>
        </xdr:txBody>
      </xdr:sp>
      <xdr:sp macro="" textlink="">
        <xdr:nvSpPr>
          <xdr:cNvPr id="39" name="Oval 38">
            <a:extLst>
              <a:ext uri="{FF2B5EF4-FFF2-40B4-BE49-F238E27FC236}">
                <a16:creationId xmlns:a16="http://schemas.microsoft.com/office/drawing/2014/main" id="{5D8A5712-726C-24AA-FFC7-83D556D3B91F}"/>
              </a:ext>
            </a:extLst>
          </xdr:cNvPr>
          <xdr:cNvSpPr>
            <a:spLocks noChangeArrowheads="1"/>
          </xdr:cNvSpPr>
        </xdr:nvSpPr>
        <xdr:spPr bwMode="auto">
          <a:xfrm rot="-1957153">
            <a:off x="1096079" y="1110427"/>
            <a:ext cx="8263" cy="6121"/>
          </a:xfrm>
          <a:prstGeom prst="ellipse">
            <a:avLst/>
          </a:prstGeom>
          <a:solidFill>
            <a:srgbClr val="5B9BD5"/>
          </a:solidFill>
          <a:ln w="25400">
            <a:solidFill>
              <a:schemeClr val="dk1">
                <a:lumMod val="0"/>
                <a:lumOff val="0"/>
              </a:schemeClr>
            </a:solidFill>
            <a:round/>
            <a:headEnd/>
            <a:tailEnd/>
          </a:ln>
          <a:effectLst/>
          <a:extLst>
            <a:ext uri="{AF507438-7753-43E0-B8FC-AC1667EBCBE1}">
              <a14:hiddenEffects xmlns:a14="http://schemas.microsoft.com/office/drawing/2010/main">
                <a:effectLst>
                  <a:outerShdw dist="35921" dir="2700000" algn="ctr" rotWithShape="0">
                    <a:schemeClr val="dk1">
                      <a:lumMod val="0"/>
                      <a:lumOff val="0"/>
                    </a:schemeClr>
                  </a:outerShdw>
                </a:effectLst>
              </a14:hiddenEffects>
            </a:ext>
          </a:extLst>
        </xdr:spPr>
        <xdr:txBody>
          <a:bodyPr rot="0" vert="horz" wrap="square" lIns="36576" tIns="36576" rIns="36576" bIns="36576" anchor="t" anchorCtr="0" upright="1">
            <a:noAutofit/>
          </a:bodyPr>
          <a:lstStyle/>
          <a:p>
            <a:endParaRPr lang="en-CA"/>
          </a:p>
        </xdr:txBody>
      </xdr:sp>
    </xdr:grpSp>
    <xdr:clientData/>
  </xdr:twoCellAnchor>
  <xdr:twoCellAnchor editAs="oneCell">
    <xdr:from>
      <xdr:col>4</xdr:col>
      <xdr:colOff>38100</xdr:colOff>
      <xdr:row>5</xdr:row>
      <xdr:rowOff>54409</xdr:rowOff>
    </xdr:from>
    <xdr:to>
      <xdr:col>4</xdr:col>
      <xdr:colOff>450215</xdr:colOff>
      <xdr:row>5</xdr:row>
      <xdr:rowOff>511609</xdr:rowOff>
    </xdr:to>
    <xdr:pic>
      <xdr:nvPicPr>
        <xdr:cNvPr id="40" name="Picture 39" descr="A colorful drawing of a yellow blue and green object&#10;&#10;Description automatically generated with medium confidence">
          <a:extLst>
            <a:ext uri="{FF2B5EF4-FFF2-40B4-BE49-F238E27FC236}">
              <a16:creationId xmlns:a16="http://schemas.microsoft.com/office/drawing/2014/main" id="{B42AFFBA-336B-599F-0567-7A637F6D0E25}"/>
            </a:ext>
          </a:extLst>
        </xdr:cNvPr>
        <xdr:cNvPicPr>
          <a:picLocks noChangeAspect="1"/>
        </xdr:cNvPicPr>
      </xdr:nvPicPr>
      <xdr:blipFill>
        <a:blip xmlns:r="http://schemas.openxmlformats.org/officeDocument/2006/relationships" r:embed="rId5"/>
        <a:stretch>
          <a:fillRect/>
        </a:stretch>
      </xdr:blipFill>
      <xdr:spPr>
        <a:xfrm>
          <a:off x="6153150" y="3264334"/>
          <a:ext cx="412115" cy="457200"/>
        </a:xfrm>
        <a:prstGeom prst="rect">
          <a:avLst/>
        </a:prstGeom>
      </xdr:spPr>
    </xdr:pic>
    <xdr:clientData/>
  </xdr:twoCellAnchor>
  <xdr:twoCellAnchor editAs="oneCell">
    <xdr:from>
      <xdr:col>4</xdr:col>
      <xdr:colOff>590550</xdr:colOff>
      <xdr:row>5</xdr:row>
      <xdr:rowOff>76200</xdr:rowOff>
    </xdr:from>
    <xdr:to>
      <xdr:col>4</xdr:col>
      <xdr:colOff>1269365</xdr:colOff>
      <xdr:row>5</xdr:row>
      <xdr:rowOff>533400</xdr:rowOff>
    </xdr:to>
    <xdr:pic>
      <xdr:nvPicPr>
        <xdr:cNvPr id="41" name="Picture 40" descr="A cartoon of a hat&#10;&#10;Description automatically generated">
          <a:extLst>
            <a:ext uri="{FF2B5EF4-FFF2-40B4-BE49-F238E27FC236}">
              <a16:creationId xmlns:a16="http://schemas.microsoft.com/office/drawing/2014/main" id="{F65B1BBC-C1E7-3FCD-F3A4-72D88EC6FA44}"/>
            </a:ext>
          </a:extLst>
        </xdr:cNvPr>
        <xdr:cNvPicPr>
          <a:picLocks noChangeAspect="1"/>
        </xdr:cNvPicPr>
      </xdr:nvPicPr>
      <xdr:blipFill>
        <a:blip xmlns:r="http://schemas.openxmlformats.org/officeDocument/2006/relationships" r:embed="rId6"/>
        <a:stretch>
          <a:fillRect/>
        </a:stretch>
      </xdr:blipFill>
      <xdr:spPr>
        <a:xfrm>
          <a:off x="6705600" y="3286125"/>
          <a:ext cx="678815" cy="457200"/>
        </a:xfrm>
        <a:prstGeom prst="rect">
          <a:avLst/>
        </a:prstGeom>
      </xdr:spPr>
    </xdr:pic>
    <xdr:clientData/>
  </xdr:twoCellAnchor>
  <xdr:twoCellAnchor editAs="oneCell">
    <xdr:from>
      <xdr:col>4</xdr:col>
      <xdr:colOff>38100</xdr:colOff>
      <xdr:row>6</xdr:row>
      <xdr:rowOff>252738</xdr:rowOff>
    </xdr:from>
    <xdr:to>
      <xdr:col>4</xdr:col>
      <xdr:colOff>513080</xdr:colOff>
      <xdr:row>6</xdr:row>
      <xdr:rowOff>709938</xdr:rowOff>
    </xdr:to>
    <xdr:pic>
      <xdr:nvPicPr>
        <xdr:cNvPr id="42" name="Picture 41" descr="A blue and yellow object&#10;&#10;Description automatically generated">
          <a:extLst>
            <a:ext uri="{FF2B5EF4-FFF2-40B4-BE49-F238E27FC236}">
              <a16:creationId xmlns:a16="http://schemas.microsoft.com/office/drawing/2014/main" id="{648D7085-C295-EA7A-ECA0-FB3903626CC5}"/>
            </a:ext>
          </a:extLst>
        </xdr:cNvPr>
        <xdr:cNvPicPr>
          <a:picLocks noChangeAspect="1"/>
        </xdr:cNvPicPr>
      </xdr:nvPicPr>
      <xdr:blipFill>
        <a:blip xmlns:r="http://schemas.openxmlformats.org/officeDocument/2006/relationships" r:embed="rId7"/>
        <a:stretch>
          <a:fillRect/>
        </a:stretch>
      </xdr:blipFill>
      <xdr:spPr>
        <a:xfrm>
          <a:off x="6153150" y="4091313"/>
          <a:ext cx="474980" cy="457200"/>
        </a:xfrm>
        <a:prstGeom prst="rect">
          <a:avLst/>
        </a:prstGeom>
      </xdr:spPr>
    </xdr:pic>
    <xdr:clientData/>
  </xdr:twoCellAnchor>
  <xdr:twoCellAnchor editAs="oneCell">
    <xdr:from>
      <xdr:col>4</xdr:col>
      <xdr:colOff>590550</xdr:colOff>
      <xdr:row>6</xdr:row>
      <xdr:rowOff>133350</xdr:rowOff>
    </xdr:from>
    <xdr:to>
      <xdr:col>4</xdr:col>
      <xdr:colOff>1065530</xdr:colOff>
      <xdr:row>6</xdr:row>
      <xdr:rowOff>590550</xdr:rowOff>
    </xdr:to>
    <xdr:pic>
      <xdr:nvPicPr>
        <xdr:cNvPr id="43" name="Picture 42" descr="A blue and white circle with yellow center&#10;&#10;Description automatically generated">
          <a:extLst>
            <a:ext uri="{FF2B5EF4-FFF2-40B4-BE49-F238E27FC236}">
              <a16:creationId xmlns:a16="http://schemas.microsoft.com/office/drawing/2014/main" id="{BAE42805-2CDD-72AF-B056-AB4DB391BFC0}"/>
            </a:ext>
          </a:extLst>
        </xdr:cNvPr>
        <xdr:cNvPicPr>
          <a:picLocks noChangeAspect="1"/>
        </xdr:cNvPicPr>
      </xdr:nvPicPr>
      <xdr:blipFill>
        <a:blip xmlns:r="http://schemas.openxmlformats.org/officeDocument/2006/relationships" r:embed="rId8"/>
        <a:stretch>
          <a:fillRect/>
        </a:stretch>
      </xdr:blipFill>
      <xdr:spPr>
        <a:xfrm>
          <a:off x="6705600" y="3971925"/>
          <a:ext cx="474980" cy="457200"/>
        </a:xfrm>
        <a:prstGeom prst="rect">
          <a:avLst/>
        </a:prstGeom>
      </xdr:spPr>
    </xdr:pic>
    <xdr:clientData/>
  </xdr:twoCellAnchor>
  <xdr:twoCellAnchor editAs="oneCell">
    <xdr:from>
      <xdr:col>4</xdr:col>
      <xdr:colOff>1247775</xdr:colOff>
      <xdr:row>6</xdr:row>
      <xdr:rowOff>114300</xdr:rowOff>
    </xdr:from>
    <xdr:to>
      <xdr:col>4</xdr:col>
      <xdr:colOff>1723390</xdr:colOff>
      <xdr:row>6</xdr:row>
      <xdr:rowOff>571500</xdr:rowOff>
    </xdr:to>
    <xdr:pic>
      <xdr:nvPicPr>
        <xdr:cNvPr id="44" name="Picture 43" descr="A blue and yellow circle&#10;&#10;Description automatically generated">
          <a:extLst>
            <a:ext uri="{FF2B5EF4-FFF2-40B4-BE49-F238E27FC236}">
              <a16:creationId xmlns:a16="http://schemas.microsoft.com/office/drawing/2014/main" id="{F40328BD-C035-CA25-E9E2-147F385B3536}"/>
            </a:ext>
          </a:extLst>
        </xdr:cNvPr>
        <xdr:cNvPicPr>
          <a:picLocks noChangeAspect="1"/>
        </xdr:cNvPicPr>
      </xdr:nvPicPr>
      <xdr:blipFill>
        <a:blip xmlns:r="http://schemas.openxmlformats.org/officeDocument/2006/relationships" r:embed="rId9"/>
        <a:stretch>
          <a:fillRect/>
        </a:stretch>
      </xdr:blipFill>
      <xdr:spPr>
        <a:xfrm>
          <a:off x="7362825" y="3952875"/>
          <a:ext cx="475615" cy="457200"/>
        </a:xfrm>
        <a:prstGeom prst="rect">
          <a:avLst/>
        </a:prstGeom>
      </xdr:spPr>
    </xdr:pic>
    <xdr:clientData/>
  </xdr:twoCellAnchor>
  <xdr:twoCellAnchor editAs="oneCell">
    <xdr:from>
      <xdr:col>4</xdr:col>
      <xdr:colOff>38100</xdr:colOff>
      <xdr:row>7</xdr:row>
      <xdr:rowOff>117692</xdr:rowOff>
    </xdr:from>
    <xdr:to>
      <xdr:col>4</xdr:col>
      <xdr:colOff>450215</xdr:colOff>
      <xdr:row>7</xdr:row>
      <xdr:rowOff>574892</xdr:rowOff>
    </xdr:to>
    <xdr:pic>
      <xdr:nvPicPr>
        <xdr:cNvPr id="45" name="Picture 44" descr="A colorful drawing of a yellow blue and green object&#10;&#10;Description automatically generated with medium confidence">
          <a:extLst>
            <a:ext uri="{FF2B5EF4-FFF2-40B4-BE49-F238E27FC236}">
              <a16:creationId xmlns:a16="http://schemas.microsoft.com/office/drawing/2014/main" id="{B0C68EAF-3356-8A57-4E3D-E9AD75CB770A}"/>
            </a:ext>
          </a:extLst>
        </xdr:cNvPr>
        <xdr:cNvPicPr>
          <a:picLocks noChangeAspect="1"/>
        </xdr:cNvPicPr>
      </xdr:nvPicPr>
      <xdr:blipFill>
        <a:blip xmlns:r="http://schemas.openxmlformats.org/officeDocument/2006/relationships" r:embed="rId5"/>
        <a:stretch>
          <a:fillRect/>
        </a:stretch>
      </xdr:blipFill>
      <xdr:spPr>
        <a:xfrm>
          <a:off x="6153150" y="4699217"/>
          <a:ext cx="412115" cy="457200"/>
        </a:xfrm>
        <a:prstGeom prst="rect">
          <a:avLst/>
        </a:prstGeom>
      </xdr:spPr>
    </xdr:pic>
    <xdr:clientData/>
  </xdr:twoCellAnchor>
  <xdr:twoCellAnchor editAs="oneCell">
    <xdr:from>
      <xdr:col>4</xdr:col>
      <xdr:colOff>590550</xdr:colOff>
      <xdr:row>7</xdr:row>
      <xdr:rowOff>66675</xdr:rowOff>
    </xdr:from>
    <xdr:to>
      <xdr:col>4</xdr:col>
      <xdr:colOff>1269365</xdr:colOff>
      <xdr:row>7</xdr:row>
      <xdr:rowOff>523875</xdr:rowOff>
    </xdr:to>
    <xdr:pic>
      <xdr:nvPicPr>
        <xdr:cNvPr id="46" name="Picture 45" descr="A cartoon of a hat&#10;&#10;Description automatically generated">
          <a:extLst>
            <a:ext uri="{FF2B5EF4-FFF2-40B4-BE49-F238E27FC236}">
              <a16:creationId xmlns:a16="http://schemas.microsoft.com/office/drawing/2014/main" id="{DAFC175A-49FA-DC02-27C7-132D760F9928}"/>
            </a:ext>
          </a:extLst>
        </xdr:cNvPr>
        <xdr:cNvPicPr>
          <a:picLocks noChangeAspect="1"/>
        </xdr:cNvPicPr>
      </xdr:nvPicPr>
      <xdr:blipFill>
        <a:blip xmlns:r="http://schemas.openxmlformats.org/officeDocument/2006/relationships" r:embed="rId6"/>
        <a:stretch>
          <a:fillRect/>
        </a:stretch>
      </xdr:blipFill>
      <xdr:spPr>
        <a:xfrm>
          <a:off x="6705600" y="4648200"/>
          <a:ext cx="678815" cy="457200"/>
        </a:xfrm>
        <a:prstGeom prst="rect">
          <a:avLst/>
        </a:prstGeom>
      </xdr:spPr>
    </xdr:pic>
    <xdr:clientData/>
  </xdr:twoCellAnchor>
  <xdr:twoCellAnchor editAs="oneCell">
    <xdr:from>
      <xdr:col>4</xdr:col>
      <xdr:colOff>1247775</xdr:colOff>
      <xdr:row>7</xdr:row>
      <xdr:rowOff>104775</xdr:rowOff>
    </xdr:from>
    <xdr:to>
      <xdr:col>4</xdr:col>
      <xdr:colOff>1724660</xdr:colOff>
      <xdr:row>7</xdr:row>
      <xdr:rowOff>561975</xdr:rowOff>
    </xdr:to>
    <xdr:pic>
      <xdr:nvPicPr>
        <xdr:cNvPr id="47" name="Picture 46" descr="A blue yellow and green circle&#10;&#10;Description automatically generated">
          <a:extLst>
            <a:ext uri="{FF2B5EF4-FFF2-40B4-BE49-F238E27FC236}">
              <a16:creationId xmlns:a16="http://schemas.microsoft.com/office/drawing/2014/main" id="{4484635E-423C-DCEC-4F8A-727A133CB1F9}"/>
            </a:ext>
          </a:extLst>
        </xdr:cNvPr>
        <xdr:cNvPicPr>
          <a:picLocks noChangeAspect="1"/>
        </xdr:cNvPicPr>
      </xdr:nvPicPr>
      <xdr:blipFill>
        <a:blip xmlns:r="http://schemas.openxmlformats.org/officeDocument/2006/relationships" r:embed="rId10"/>
        <a:stretch>
          <a:fillRect/>
        </a:stretch>
      </xdr:blipFill>
      <xdr:spPr>
        <a:xfrm>
          <a:off x="7362825" y="4686300"/>
          <a:ext cx="476885" cy="457200"/>
        </a:xfrm>
        <a:prstGeom prst="rect">
          <a:avLst/>
        </a:prstGeom>
      </xdr:spPr>
    </xdr:pic>
    <xdr:clientData/>
  </xdr:twoCellAnchor>
  <xdr:twoCellAnchor editAs="oneCell">
    <xdr:from>
      <xdr:col>4</xdr:col>
      <xdr:colOff>1781175</xdr:colOff>
      <xdr:row>7</xdr:row>
      <xdr:rowOff>104775</xdr:rowOff>
    </xdr:from>
    <xdr:to>
      <xdr:col>4</xdr:col>
      <xdr:colOff>2269490</xdr:colOff>
      <xdr:row>7</xdr:row>
      <xdr:rowOff>561975</xdr:rowOff>
    </xdr:to>
    <xdr:pic>
      <xdr:nvPicPr>
        <xdr:cNvPr id="48" name="Picture 47" descr="A colorful circle with a yellow and blue circle&#10;&#10;Description automatically generated">
          <a:extLst>
            <a:ext uri="{FF2B5EF4-FFF2-40B4-BE49-F238E27FC236}">
              <a16:creationId xmlns:a16="http://schemas.microsoft.com/office/drawing/2014/main" id="{5296DBFF-F0F5-1957-E75B-7E0FCAADD5BC}"/>
            </a:ext>
          </a:extLst>
        </xdr:cNvPr>
        <xdr:cNvPicPr>
          <a:picLocks noChangeAspect="1"/>
        </xdr:cNvPicPr>
      </xdr:nvPicPr>
      <xdr:blipFill>
        <a:blip xmlns:r="http://schemas.openxmlformats.org/officeDocument/2006/relationships" r:embed="rId11"/>
        <a:stretch>
          <a:fillRect/>
        </a:stretch>
      </xdr:blipFill>
      <xdr:spPr>
        <a:xfrm>
          <a:off x="7896225" y="4638675"/>
          <a:ext cx="488315" cy="457200"/>
        </a:xfrm>
        <a:prstGeom prst="rect">
          <a:avLst/>
        </a:prstGeom>
      </xdr:spPr>
    </xdr:pic>
    <xdr:clientData/>
  </xdr:twoCellAnchor>
  <xdr:twoCellAnchor editAs="oneCell">
    <xdr:from>
      <xdr:col>4</xdr:col>
      <xdr:colOff>2352675</xdr:colOff>
      <xdr:row>7</xdr:row>
      <xdr:rowOff>104775</xdr:rowOff>
    </xdr:from>
    <xdr:to>
      <xdr:col>4</xdr:col>
      <xdr:colOff>2827655</xdr:colOff>
      <xdr:row>7</xdr:row>
      <xdr:rowOff>561975</xdr:rowOff>
    </xdr:to>
    <xdr:pic>
      <xdr:nvPicPr>
        <xdr:cNvPr id="49" name="Picture 48" descr="A blue green yellow and orange circle&#10;&#10;Description automatically generated">
          <a:extLst>
            <a:ext uri="{FF2B5EF4-FFF2-40B4-BE49-F238E27FC236}">
              <a16:creationId xmlns:a16="http://schemas.microsoft.com/office/drawing/2014/main" id="{D0D64044-CBDD-A9E5-7158-434C1098CED9}"/>
            </a:ext>
          </a:extLst>
        </xdr:cNvPr>
        <xdr:cNvPicPr>
          <a:picLocks noChangeAspect="1"/>
        </xdr:cNvPicPr>
      </xdr:nvPicPr>
      <xdr:blipFill>
        <a:blip xmlns:r="http://schemas.openxmlformats.org/officeDocument/2006/relationships" r:embed="rId12"/>
        <a:stretch>
          <a:fillRect/>
        </a:stretch>
      </xdr:blipFill>
      <xdr:spPr>
        <a:xfrm>
          <a:off x="8467725" y="4638675"/>
          <a:ext cx="474980" cy="457200"/>
        </a:xfrm>
        <a:prstGeom prst="rect">
          <a:avLst/>
        </a:prstGeom>
      </xdr:spPr>
    </xdr:pic>
    <xdr:clientData/>
  </xdr:twoCellAnchor>
  <xdr:twoCellAnchor editAs="oneCell">
    <xdr:from>
      <xdr:col>4</xdr:col>
      <xdr:colOff>38100</xdr:colOff>
      <xdr:row>8</xdr:row>
      <xdr:rowOff>192196</xdr:rowOff>
    </xdr:from>
    <xdr:to>
      <xdr:col>4</xdr:col>
      <xdr:colOff>516255</xdr:colOff>
      <xdr:row>8</xdr:row>
      <xdr:rowOff>649396</xdr:rowOff>
    </xdr:to>
    <xdr:pic>
      <xdr:nvPicPr>
        <xdr:cNvPr id="50" name="Picture 49" descr="A cartoon of a fried egg&#10;&#10;Description automatically generated">
          <a:extLst>
            <a:ext uri="{FF2B5EF4-FFF2-40B4-BE49-F238E27FC236}">
              <a16:creationId xmlns:a16="http://schemas.microsoft.com/office/drawing/2014/main" id="{C221220E-10F4-B465-F83B-613652A4B452}"/>
            </a:ext>
          </a:extLst>
        </xdr:cNvPr>
        <xdr:cNvPicPr>
          <a:picLocks noChangeAspect="1"/>
        </xdr:cNvPicPr>
      </xdr:nvPicPr>
      <xdr:blipFill>
        <a:blip xmlns:r="http://schemas.openxmlformats.org/officeDocument/2006/relationships" r:embed="rId13"/>
        <a:stretch>
          <a:fillRect/>
        </a:stretch>
      </xdr:blipFill>
      <xdr:spPr>
        <a:xfrm>
          <a:off x="6153150" y="5402371"/>
          <a:ext cx="478155" cy="457200"/>
        </a:xfrm>
        <a:prstGeom prst="rect">
          <a:avLst/>
        </a:prstGeom>
      </xdr:spPr>
    </xdr:pic>
    <xdr:clientData/>
  </xdr:twoCellAnchor>
  <xdr:twoCellAnchor editAs="oneCell">
    <xdr:from>
      <xdr:col>4</xdr:col>
      <xdr:colOff>590550</xdr:colOff>
      <xdr:row>8</xdr:row>
      <xdr:rowOff>57150</xdr:rowOff>
    </xdr:from>
    <xdr:to>
      <xdr:col>4</xdr:col>
      <xdr:colOff>1065530</xdr:colOff>
      <xdr:row>8</xdr:row>
      <xdr:rowOff>514350</xdr:rowOff>
    </xdr:to>
    <xdr:pic>
      <xdr:nvPicPr>
        <xdr:cNvPr id="51" name="Picture 50" descr="A blue and yellow egg&#10;&#10;Description automatically generated">
          <a:extLst>
            <a:ext uri="{FF2B5EF4-FFF2-40B4-BE49-F238E27FC236}">
              <a16:creationId xmlns:a16="http://schemas.microsoft.com/office/drawing/2014/main" id="{C5013CBC-462C-44C4-00CF-5D0E2E743785}"/>
            </a:ext>
          </a:extLst>
        </xdr:cNvPr>
        <xdr:cNvPicPr>
          <a:picLocks noChangeAspect="1"/>
        </xdr:cNvPicPr>
      </xdr:nvPicPr>
      <xdr:blipFill>
        <a:blip xmlns:r="http://schemas.openxmlformats.org/officeDocument/2006/relationships" r:embed="rId14"/>
        <a:stretch>
          <a:fillRect/>
        </a:stretch>
      </xdr:blipFill>
      <xdr:spPr>
        <a:xfrm>
          <a:off x="6705600" y="5267325"/>
          <a:ext cx="474980" cy="457200"/>
        </a:xfrm>
        <a:prstGeom prst="rect">
          <a:avLst/>
        </a:prstGeom>
      </xdr:spPr>
    </xdr:pic>
    <xdr:clientData/>
  </xdr:twoCellAnchor>
  <xdr:twoCellAnchor editAs="oneCell">
    <xdr:from>
      <xdr:col>4</xdr:col>
      <xdr:colOff>38100</xdr:colOff>
      <xdr:row>9</xdr:row>
      <xdr:rowOff>104775</xdr:rowOff>
    </xdr:from>
    <xdr:to>
      <xdr:col>4</xdr:col>
      <xdr:colOff>495300</xdr:colOff>
      <xdr:row>9</xdr:row>
      <xdr:rowOff>543560</xdr:rowOff>
    </xdr:to>
    <xdr:pic>
      <xdr:nvPicPr>
        <xdr:cNvPr id="52" name="Picture 51" descr="A yellow circle with black outline&#10;&#10;Description automatically generated">
          <a:extLst>
            <a:ext uri="{FF2B5EF4-FFF2-40B4-BE49-F238E27FC236}">
              <a16:creationId xmlns:a16="http://schemas.microsoft.com/office/drawing/2014/main" id="{EAD00126-5F37-A16E-DCB9-3D10A0158AA4}"/>
            </a:ext>
          </a:extLst>
        </xdr:cNvPr>
        <xdr:cNvPicPr>
          <a:picLocks noChangeAspect="1"/>
        </xdr:cNvPicPr>
      </xdr:nvPicPr>
      <xdr:blipFill>
        <a:blip xmlns:r="http://schemas.openxmlformats.org/officeDocument/2006/relationships" r:embed="rId15"/>
        <a:stretch>
          <a:fillRect/>
        </a:stretch>
      </xdr:blipFill>
      <xdr:spPr>
        <a:xfrm>
          <a:off x="6153150" y="6057900"/>
          <a:ext cx="457200" cy="4387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19</xdr:col>
      <xdr:colOff>579120</xdr:colOff>
      <xdr:row>36</xdr:row>
      <xdr:rowOff>0</xdr:rowOff>
    </xdr:to>
    <xdr:graphicFrame macro="">
      <xdr:nvGraphicFramePr>
        <xdr:cNvPr id="4" name="Diagram 3">
          <a:extLst>
            <a:ext uri="{FF2B5EF4-FFF2-40B4-BE49-F238E27FC236}">
              <a16:creationId xmlns:a16="http://schemas.microsoft.com/office/drawing/2014/main" id="{76E86FB3-7767-E7B3-5B58-4BDD78D5C1E2}"/>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30000000}" name="Table465" displayName="Table465" ref="D2:G5" totalsRowShown="0" headerRowDxfId="1051" dataDxfId="1050" tableBorderDxfId="1049">
  <tableColumns count="4">
    <tableColumn id="1" xr3:uid="{00000000-0010-0000-3000-000001000000}" name=" " dataDxfId="1048"/>
    <tableColumn id="2" xr3:uid="{00000000-0010-0000-3000-000002000000}" name="I" dataDxfId="1047"/>
    <tableColumn id="3" xr3:uid="{00000000-0010-0000-3000-000003000000}" name="B" dataDxfId="1046"/>
    <tableColumn id="4" xr3:uid="{00000000-0010-0000-3000-000004000000}" name="E" dataDxfId="1045"/>
  </tableColumns>
  <tableStyleInfo name="TableStyleMedium13" showFirstColumn="1"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31000000}" name="Table4678" displayName="Table4678" ref="D32:G35" totalsRowShown="0" headerRowDxfId="1044" dataDxfId="1043" tableBorderDxfId="1042">
  <tableColumns count="4">
    <tableColumn id="1" xr3:uid="{00000000-0010-0000-3100-000001000000}" name=" " dataDxfId="1041"/>
    <tableColumn id="2" xr3:uid="{00000000-0010-0000-3100-000002000000}" name="I" dataDxfId="1040"/>
    <tableColumn id="3" xr3:uid="{00000000-0010-0000-3100-000003000000}" name="B" dataDxfId="1039"/>
    <tableColumn id="4" xr3:uid="{00000000-0010-0000-3100-000004000000}" name="E" dataDxfId="1038"/>
  </tableColumns>
  <tableStyleInfo name="TableStyleMedium13" showFirstColumn="1"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32000000}" name="Table462031" displayName="Table462031" ref="J2:M5" totalsRowShown="0" headerRowDxfId="1037" dataDxfId="1036" tableBorderDxfId="1035">
  <tableColumns count="4">
    <tableColumn id="1" xr3:uid="{00000000-0010-0000-3200-000001000000}" name=" " dataDxfId="1034"/>
    <tableColumn id="2" xr3:uid="{00000000-0010-0000-3200-000002000000}" name="I" dataDxfId="1033"/>
    <tableColumn id="3" xr3:uid="{00000000-0010-0000-3200-000003000000}" name="B" dataDxfId="1032"/>
    <tableColumn id="4" xr3:uid="{00000000-0010-0000-3200-000004000000}" name="E" dataDxfId="1031"/>
  </tableColumns>
  <tableStyleInfo name="TableStyleMedium13" showFirstColumn="1"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33000000}" name="Table462132" displayName="Table462132" ref="J32:M35" totalsRowShown="0" headerRowDxfId="1030" dataDxfId="1029" tableBorderDxfId="1028">
  <tableColumns count="4">
    <tableColumn id="1" xr3:uid="{00000000-0010-0000-3300-000001000000}" name=" " dataDxfId="1027"/>
    <tableColumn id="2" xr3:uid="{00000000-0010-0000-3300-000002000000}" name="I" dataDxfId="1026"/>
    <tableColumn id="3" xr3:uid="{00000000-0010-0000-3300-000003000000}" name="B" dataDxfId="1025"/>
    <tableColumn id="4" xr3:uid="{00000000-0010-0000-3300-000004000000}" name="E" dataDxfId="1024"/>
  </tableColumns>
  <tableStyleInfo name="TableStyleMedium13" showFirstColumn="1"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34000000}" name="Table462536" displayName="Table462536" ref="P2:S5" totalsRowShown="0" headerRowDxfId="1023" dataDxfId="1022" tableBorderDxfId="1021">
  <tableColumns count="4">
    <tableColumn id="1" xr3:uid="{00000000-0010-0000-3400-000001000000}" name=" " dataDxfId="1020"/>
    <tableColumn id="2" xr3:uid="{00000000-0010-0000-3400-000002000000}" name="I" dataDxfId="1019"/>
    <tableColumn id="3" xr3:uid="{00000000-0010-0000-3400-000003000000}" name="B" dataDxfId="1018"/>
    <tableColumn id="4" xr3:uid="{00000000-0010-0000-3400-000004000000}" name="E" dataDxfId="1017"/>
  </tableColumns>
  <tableStyleInfo name="TableStyleMedium13" showFirstColumn="1"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35000000}" name="Table462637" displayName="Table462637" ref="P32:S35" totalsRowShown="0" headerRowDxfId="1016" dataDxfId="1015" tableBorderDxfId="1014">
  <tableColumns count="4">
    <tableColumn id="1" xr3:uid="{00000000-0010-0000-3500-000001000000}" name=" " dataDxfId="1013"/>
    <tableColumn id="2" xr3:uid="{00000000-0010-0000-3500-000002000000}" name="I" dataDxfId="1012"/>
    <tableColumn id="3" xr3:uid="{00000000-0010-0000-3500-000003000000}" name="B" dataDxfId="1011"/>
    <tableColumn id="4" xr3:uid="{00000000-0010-0000-3500-000004000000}" name="E" dataDxfId="1010"/>
  </tableColumns>
  <tableStyleInfo name="TableStyleMedium13" showFirstColumn="1"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36000000}" name="Table46542" displayName="Table46542" ref="W2:Z5" totalsRowShown="0" headerRowDxfId="1009" tableBorderDxfId="1008">
  <tableColumns count="4">
    <tableColumn id="1" xr3:uid="{00000000-0010-0000-3600-000001000000}" name=" " dataDxfId="1007"/>
    <tableColumn id="2" xr3:uid="{00000000-0010-0000-3600-000002000000}" name="I" dataDxfId="1006"/>
    <tableColumn id="3" xr3:uid="{00000000-0010-0000-3600-000003000000}" name="B" dataDxfId="1005"/>
    <tableColumn id="4" xr3:uid="{00000000-0010-0000-3600-000004000000}" name="E" dataDxfId="1004"/>
  </tableColumns>
  <tableStyleInfo name="TableStyleMedium13" showFirstColumn="1"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37000000}" name="Table467843" displayName="Table467843" ref="W20:Z23" totalsRowShown="0" headerRowDxfId="1003" dataDxfId="1002" tableBorderDxfId="1001">
  <tableColumns count="4">
    <tableColumn id="1" xr3:uid="{00000000-0010-0000-3700-000001000000}" name=" " dataDxfId="1000"/>
    <tableColumn id="2" xr3:uid="{00000000-0010-0000-3700-000002000000}" name="I" dataDxfId="999"/>
    <tableColumn id="3" xr3:uid="{00000000-0010-0000-3700-000003000000}" name="B" dataDxfId="998"/>
    <tableColumn id="4" xr3:uid="{00000000-0010-0000-3700-000004000000}" name="E" dataDxfId="997"/>
  </tableColumns>
  <tableStyleInfo name="TableStyleMedium13" showFirstColumn="1"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00000000-000C-0000-FFFF-FFFF38000000}" name="Table46203151" displayName="Table46203151" ref="AC2:AF5" totalsRowShown="0" headerRowDxfId="996" dataDxfId="995" tableBorderDxfId="994">
  <tableColumns count="4">
    <tableColumn id="1" xr3:uid="{00000000-0010-0000-3800-000001000000}" name=" " dataDxfId="993"/>
    <tableColumn id="2" xr3:uid="{00000000-0010-0000-3800-000002000000}" name="I" dataDxfId="992"/>
    <tableColumn id="3" xr3:uid="{00000000-0010-0000-3800-000003000000}" name="B" dataDxfId="991"/>
    <tableColumn id="4" xr3:uid="{00000000-0010-0000-3800-000004000000}" name="E" dataDxfId="990"/>
  </tableColumns>
  <tableStyleInfo name="TableStyleMedium13" showFirstColumn="1"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0000000-000C-0000-FFFF-FFFF39000000}" name="Table46213252" displayName="Table46213252" ref="AC20:AF23" totalsRowShown="0" headerRowDxfId="989" dataDxfId="988" tableBorderDxfId="987">
  <tableColumns count="4">
    <tableColumn id="1" xr3:uid="{00000000-0010-0000-3900-000001000000}" name=" " dataDxfId="986"/>
    <tableColumn id="2" xr3:uid="{00000000-0010-0000-3900-000002000000}" name="I" dataDxfId="985"/>
    <tableColumn id="3" xr3:uid="{00000000-0010-0000-3900-000003000000}" name="B" dataDxfId="984"/>
    <tableColumn id="4" xr3:uid="{00000000-0010-0000-3900-000004000000}" name="E" dataDxfId="983"/>
  </tableColumns>
  <tableStyleInfo name="TableStyleMedium13" showFirstColumn="1"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00000000-000C-0000-FFFF-FFFF3A000000}" name="Table46253656" displayName="Table46253656" ref="AI2:AL5" totalsRowShown="0" headerRowDxfId="982" dataDxfId="981" tableBorderDxfId="980">
  <tableColumns count="4">
    <tableColumn id="1" xr3:uid="{00000000-0010-0000-3A00-000001000000}" name=" " dataDxfId="979"/>
    <tableColumn id="2" xr3:uid="{00000000-0010-0000-3A00-000002000000}" name="I" dataDxfId="978"/>
    <tableColumn id="3" xr3:uid="{00000000-0010-0000-3A00-000003000000}" name="B" dataDxfId="977"/>
    <tableColumn id="4" xr3:uid="{00000000-0010-0000-3A00-000004000000}" name="E" dataDxfId="976"/>
  </tableColumns>
  <tableStyleInfo name="TableStyleMedium13" showFirstColumn="1"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0000000-000C-0000-FFFF-FFFF3B000000}" name="Table46263757" displayName="Table46263757" ref="AI20:AL23" totalsRowShown="0" headerRowDxfId="975" dataDxfId="974" tableBorderDxfId="973">
  <tableColumns count="4">
    <tableColumn id="1" xr3:uid="{00000000-0010-0000-3B00-000001000000}" name=" " dataDxfId="972"/>
    <tableColumn id="2" xr3:uid="{00000000-0010-0000-3B00-000002000000}" name="I" dataDxfId="971"/>
    <tableColumn id="3" xr3:uid="{00000000-0010-0000-3B00-000003000000}" name="B" dataDxfId="970"/>
    <tableColumn id="4" xr3:uid="{00000000-0010-0000-3B00-000004000000}" name="E" dataDxfId="969"/>
  </tableColumns>
  <tableStyleInfo name="TableStyleMedium13" showFirstColumn="1"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0000000-000C-0000-FFFF-FFFF3C000000}" name="Table4654265" displayName="Table4654265" ref="AP2:AS5" totalsRowShown="0" headerRowDxfId="968" dataDxfId="967" tableBorderDxfId="966">
  <tableColumns count="4">
    <tableColumn id="1" xr3:uid="{00000000-0010-0000-3C00-000001000000}" name=" " dataDxfId="965"/>
    <tableColumn id="2" xr3:uid="{00000000-0010-0000-3C00-000002000000}" name="I" dataDxfId="964"/>
    <tableColumn id="3" xr3:uid="{00000000-0010-0000-3C00-000003000000}" name="B" dataDxfId="963"/>
    <tableColumn id="4" xr3:uid="{00000000-0010-0000-3C00-000004000000}" name="E" dataDxfId="962"/>
  </tableColumns>
  <tableStyleInfo name="TableStyleMedium13" showFirstColumn="1"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0000000-000C-0000-FFFF-FFFF3D000000}" name="Table46784366" displayName="Table46784366" ref="AP14:AS17" totalsRowShown="0" headerRowDxfId="961" dataDxfId="960" tableBorderDxfId="959">
  <tableColumns count="4">
    <tableColumn id="1" xr3:uid="{00000000-0010-0000-3D00-000001000000}" name=" " dataDxfId="958"/>
    <tableColumn id="2" xr3:uid="{00000000-0010-0000-3D00-000002000000}" name="I" dataDxfId="957"/>
    <tableColumn id="3" xr3:uid="{00000000-0010-0000-3D00-000003000000}" name="B" dataDxfId="956"/>
    <tableColumn id="4" xr3:uid="{00000000-0010-0000-3D00-000004000000}" name="E" dataDxfId="955"/>
  </tableColumns>
  <tableStyleInfo name="TableStyleMedium13" showFirstColumn="1"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0000000-000C-0000-FFFF-FFFF3E000000}" name="Table4620315174" displayName="Table4620315174" ref="AV2:AY5" totalsRowShown="0" headerRowDxfId="954" dataDxfId="953" tableBorderDxfId="952">
  <tableColumns count="4">
    <tableColumn id="1" xr3:uid="{00000000-0010-0000-3E00-000001000000}" name=" " dataDxfId="951"/>
    <tableColumn id="2" xr3:uid="{00000000-0010-0000-3E00-000002000000}" name="I" dataDxfId="950"/>
    <tableColumn id="3" xr3:uid="{00000000-0010-0000-3E00-000003000000}" name="B" dataDxfId="949"/>
    <tableColumn id="4" xr3:uid="{00000000-0010-0000-3E00-000004000000}" name="E" dataDxfId="948"/>
  </tableColumns>
  <tableStyleInfo name="TableStyleMedium13" showFirstColumn="1"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00000000-000C-0000-FFFF-FFFF3F000000}" name="Table4621325275" displayName="Table4621325275" ref="AV14:AY17" totalsRowShown="0" headerRowDxfId="947" dataDxfId="946" tableBorderDxfId="945">
  <tableColumns count="4">
    <tableColumn id="1" xr3:uid="{00000000-0010-0000-3F00-000001000000}" name=" " dataDxfId="944"/>
    <tableColumn id="2" xr3:uid="{00000000-0010-0000-3F00-000002000000}" name="I" dataDxfId="943"/>
    <tableColumn id="3" xr3:uid="{00000000-0010-0000-3F00-000003000000}" name="B" dataDxfId="942"/>
    <tableColumn id="4" xr3:uid="{00000000-0010-0000-3F00-000004000000}" name="E" dataDxfId="941"/>
  </tableColumns>
  <tableStyleInfo name="TableStyleMedium13" showFirstColumn="1"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0000000-000C-0000-FFFF-FFFF40000000}" name="Table4625365679" displayName="Table4625365679" ref="BB2:BE5" totalsRowShown="0" headerRowDxfId="940" dataDxfId="939" tableBorderDxfId="938">
  <tableColumns count="4">
    <tableColumn id="1" xr3:uid="{00000000-0010-0000-4000-000001000000}" name=" " dataDxfId="937"/>
    <tableColumn id="2" xr3:uid="{00000000-0010-0000-4000-000002000000}" name="I" dataDxfId="936"/>
    <tableColumn id="3" xr3:uid="{00000000-0010-0000-4000-000003000000}" name="B" dataDxfId="935"/>
    <tableColumn id="4" xr3:uid="{00000000-0010-0000-4000-000004000000}" name="E" dataDxfId="934"/>
  </tableColumns>
  <tableStyleInfo name="TableStyleMedium13" showFirstColumn="1" showLastColumn="0" showRowStripes="0"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0000000-000C-0000-FFFF-FFFF41000000}" name="Table4626375780" displayName="Table4626375780" ref="BB14:BE17" totalsRowShown="0" headerRowDxfId="933" dataDxfId="932" tableBorderDxfId="931">
  <tableColumns count="4">
    <tableColumn id="1" xr3:uid="{00000000-0010-0000-4100-000001000000}" name=" " dataDxfId="930"/>
    <tableColumn id="2" xr3:uid="{00000000-0010-0000-4100-000002000000}" name="I" dataDxfId="929"/>
    <tableColumn id="3" xr3:uid="{00000000-0010-0000-4100-000003000000}" name="B" dataDxfId="928"/>
    <tableColumn id="4" xr3:uid="{00000000-0010-0000-4100-000004000000}" name="E" dataDxfId="927"/>
  </tableColumns>
  <tableStyleInfo name="TableStyleMedium13" showFirstColumn="1" showLastColumn="0" showRowStripes="0"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00000000-000C-0000-FFFF-FFFF42000000}" name="Table465426582" displayName="Table465426582" ref="BI2:BL5" totalsRowShown="0" headerRowDxfId="926" dataDxfId="925" tableBorderDxfId="924">
  <tableColumns count="4">
    <tableColumn id="1" xr3:uid="{00000000-0010-0000-4200-000001000000}" name=" " dataDxfId="923"/>
    <tableColumn id="2" xr3:uid="{00000000-0010-0000-4200-000002000000}" name="I" dataDxfId="922"/>
    <tableColumn id="3" xr3:uid="{00000000-0010-0000-4200-000003000000}" name="B" dataDxfId="921"/>
    <tableColumn id="4" xr3:uid="{00000000-0010-0000-4200-000004000000}" name="E" dataDxfId="920"/>
  </tableColumns>
  <tableStyleInfo name="TableStyleMedium13" showFirstColumn="1" showLastColumn="0" showRowStripes="0"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00000000-000C-0000-FFFF-FFFF43000000}" name="Table4678436683" displayName="Table4678436683" ref="BI8:BL11" totalsRowShown="0" headerRowDxfId="919" dataDxfId="918">
  <tableColumns count="4">
    <tableColumn id="1" xr3:uid="{00000000-0010-0000-4300-000001000000}" name=" " dataDxfId="917"/>
    <tableColumn id="2" xr3:uid="{00000000-0010-0000-4300-000002000000}" name="I" dataDxfId="916"/>
    <tableColumn id="3" xr3:uid="{00000000-0010-0000-4300-000003000000}" name="B" dataDxfId="915"/>
    <tableColumn id="4" xr3:uid="{00000000-0010-0000-4300-000004000000}" name="E" dataDxfId="914"/>
  </tableColumns>
  <tableStyleInfo name="TableStyleMedium13" showFirstColumn="1" showLastColumn="0" showRowStripes="0"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0000000-000C-0000-FFFF-FFFF44000000}" name="Table462031517491" displayName="Table462031517491" ref="BO2:BR5" totalsRowShown="0" headerRowDxfId="913" dataDxfId="912" tableBorderDxfId="911">
  <tableColumns count="4">
    <tableColumn id="1" xr3:uid="{00000000-0010-0000-4400-000001000000}" name=" " dataDxfId="910"/>
    <tableColumn id="2" xr3:uid="{00000000-0010-0000-4400-000002000000}" name="I" dataDxfId="909"/>
    <tableColumn id="3" xr3:uid="{00000000-0010-0000-4400-000003000000}" name="B" dataDxfId="908"/>
    <tableColumn id="4" xr3:uid="{00000000-0010-0000-4400-000004000000}" name="E" dataDxfId="907"/>
  </tableColumns>
  <tableStyleInfo name="TableStyleMedium13" showFirstColumn="1" showLastColumn="0" showRowStripes="0"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0000000-000C-0000-FFFF-FFFF45000000}" name="Table462132527592" displayName="Table462132527592" ref="BO8:BR11" totalsRowShown="0" headerRowDxfId="906" dataDxfId="905" tableBorderDxfId="904">
  <tableColumns count="4">
    <tableColumn id="1" xr3:uid="{00000000-0010-0000-4500-000001000000}" name=" " dataDxfId="903"/>
    <tableColumn id="2" xr3:uid="{00000000-0010-0000-4500-000002000000}" name="I" dataDxfId="902"/>
    <tableColumn id="3" xr3:uid="{00000000-0010-0000-4500-000003000000}" name="B" dataDxfId="901"/>
    <tableColumn id="4" xr3:uid="{00000000-0010-0000-4500-000004000000}" name="E" dataDxfId="900"/>
  </tableColumns>
  <tableStyleInfo name="TableStyleMedium13" showFirstColumn="1" showLastColumn="0" showRowStripes="0"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0000000-000C-0000-FFFF-FFFF46000000}" name="Table462536567996" displayName="Table462536567996" ref="BU2:BX5" totalsRowShown="0" headerRowDxfId="899" dataDxfId="898" tableBorderDxfId="897">
  <tableColumns count="4">
    <tableColumn id="1" xr3:uid="{00000000-0010-0000-4600-000001000000}" name=" " dataDxfId="896"/>
    <tableColumn id="2" xr3:uid="{00000000-0010-0000-4600-000002000000}" name="I" dataDxfId="895"/>
    <tableColumn id="3" xr3:uid="{00000000-0010-0000-4600-000003000000}" name="B" dataDxfId="894"/>
    <tableColumn id="4" xr3:uid="{00000000-0010-0000-4600-000004000000}" name="E" dataDxfId="893"/>
  </tableColumns>
  <tableStyleInfo name="TableStyleMedium13" showFirstColumn="1" showLastColumn="0" showRowStripes="0"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00000000-000C-0000-FFFF-FFFF47000000}" name="Table462637578097" displayName="Table462637578097" ref="BU8:BX11" totalsRowShown="0" headerRowDxfId="892" dataDxfId="891" tableBorderDxfId="890">
  <tableColumns count="4">
    <tableColumn id="1" xr3:uid="{00000000-0010-0000-4700-000001000000}" name=" " dataDxfId="889"/>
    <tableColumn id="2" xr3:uid="{00000000-0010-0000-4700-000002000000}" name="I" dataDxfId="888"/>
    <tableColumn id="3" xr3:uid="{00000000-0010-0000-4700-000003000000}" name="B" dataDxfId="887"/>
    <tableColumn id="4" xr3:uid="{00000000-0010-0000-4700-000004000000}" name="E" dataDxfId="886"/>
  </tableColumns>
  <tableStyleInfo name="TableStyleMedium13" showFirstColumn="1" showLastColumn="0" showRowStripes="0"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00000000-000C-0000-FFFF-FFFF48000000}" name="Table4654265993370" displayName="Table4654265993370" ref="AP20:AS23" totalsRowShown="0" headerRowDxfId="885" dataDxfId="884" tableBorderDxfId="883">
  <tableColumns count="4">
    <tableColumn id="1" xr3:uid="{00000000-0010-0000-4800-000001000000}" name=" " dataDxfId="882"/>
    <tableColumn id="2" xr3:uid="{00000000-0010-0000-4800-000002000000}" name="I" dataDxfId="881"/>
    <tableColumn id="3" xr3:uid="{00000000-0010-0000-4800-000003000000}" name="B" dataDxfId="880"/>
    <tableColumn id="4" xr3:uid="{00000000-0010-0000-4800-000004000000}" name="E" dataDxfId="879"/>
  </tableColumns>
  <tableStyleInfo name="TableStyleMedium13" showFirstColumn="1" showLastColumn="0" showRowStripes="0"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0000000-000C-0000-FFFF-FFFF49000000}" name="Table46203151741013571" displayName="Table46203151741013571" ref="AV20:AY23" totalsRowShown="0" headerRowDxfId="878" dataDxfId="877" tableBorderDxfId="876">
  <tableColumns count="4">
    <tableColumn id="1" xr3:uid="{00000000-0010-0000-4900-000001000000}" name=" " dataDxfId="875"/>
    <tableColumn id="2" xr3:uid="{00000000-0010-0000-4900-000002000000}" name="I" dataDxfId="874"/>
    <tableColumn id="3" xr3:uid="{00000000-0010-0000-4900-000003000000}" name="B" dataDxfId="873"/>
    <tableColumn id="4" xr3:uid="{00000000-0010-0000-4900-000004000000}" name="E" dataDxfId="872"/>
  </tableColumns>
  <tableStyleInfo name="TableStyleMedium13" showFirstColumn="1" showLastColumn="0" showRowStripes="0"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00000000-000C-0000-FFFF-FFFF4A000000}" name="Table46253656791033972" displayName="Table46253656791033972" ref="BB20:BE23" totalsRowShown="0" headerRowDxfId="871" dataDxfId="870" tableBorderDxfId="869">
  <tableColumns count="4">
    <tableColumn id="1" xr3:uid="{00000000-0010-0000-4A00-000001000000}" name=" " dataDxfId="868"/>
    <tableColumn id="2" xr3:uid="{00000000-0010-0000-4A00-000002000000}" name="I" dataDxfId="867"/>
    <tableColumn id="3" xr3:uid="{00000000-0010-0000-4A00-000003000000}" name="B" dataDxfId="866"/>
    <tableColumn id="4" xr3:uid="{00000000-0010-0000-4A00-000004000000}" name="E" dataDxfId="865"/>
  </tableColumns>
  <tableStyleInfo name="TableStyleMedium13" showFirstColumn="1" showLastColumn="0" showRowStripes="0"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0000000-000C-0000-FFFF-FFFF4B000000}" name="Table467843661003473" displayName="Table467843661003473" ref="AP26:AS29" totalsRowShown="0" headerRowDxfId="864" dataDxfId="863">
  <tableColumns count="4">
    <tableColumn id="1" xr3:uid="{00000000-0010-0000-4B00-000001000000}" name=" " dataDxfId="862"/>
    <tableColumn id="2" xr3:uid="{00000000-0010-0000-4B00-000002000000}" name="I" dataDxfId="861"/>
    <tableColumn id="3" xr3:uid="{00000000-0010-0000-4B00-000003000000}" name="B" dataDxfId="860"/>
    <tableColumn id="4" xr3:uid="{00000000-0010-0000-4B00-000004000000}" name="E" dataDxfId="859"/>
  </tableColumns>
  <tableStyleInfo name="TableStyleMedium13" showFirstColumn="1" showLastColumn="0" showRowStripes="0"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0000000-000C-0000-FFFF-FFFF4C000000}" name="Table46213252751023876" displayName="Table46213252751023876" ref="AV26:AY29" totalsRowShown="0" headerRowDxfId="858" dataDxfId="857">
  <tableColumns count="4">
    <tableColumn id="1" xr3:uid="{00000000-0010-0000-4C00-000001000000}" name=" " dataDxfId="856"/>
    <tableColumn id="2" xr3:uid="{00000000-0010-0000-4C00-000002000000}" name="I" dataDxfId="855"/>
    <tableColumn id="3" xr3:uid="{00000000-0010-0000-4C00-000003000000}" name="B" dataDxfId="854"/>
    <tableColumn id="4" xr3:uid="{00000000-0010-0000-4C00-000004000000}" name="E" dataDxfId="853"/>
  </tableColumns>
  <tableStyleInfo name="TableStyleMedium13" showFirstColumn="1" showLastColumn="0" showRowStripes="0"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00000000-000C-0000-FFFF-FFFF4D000000}" name="Table46263757801044077" displayName="Table46263757801044077" ref="BB26:BE29" totalsRowShown="0" headerRowDxfId="852" dataDxfId="851" tableBorderDxfId="850">
  <tableColumns count="4">
    <tableColumn id="1" xr3:uid="{00000000-0010-0000-4D00-000001000000}" name=" " dataDxfId="849"/>
    <tableColumn id="2" xr3:uid="{00000000-0010-0000-4D00-000002000000}" name="I" dataDxfId="848"/>
    <tableColumn id="3" xr3:uid="{00000000-0010-0000-4D00-000003000000}" name="B" dataDxfId="847"/>
    <tableColumn id="4" xr3:uid="{00000000-0010-0000-4D00-000004000000}" name="E" dataDxfId="846"/>
  </tableColumns>
  <tableStyleInfo name="TableStyleMedium13" showFirstColumn="1" showLastColumn="0" showRowStripes="0"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0000000-000C-0000-FFFF-FFFF4E000000}" name="Table465421114967103" displayName="Table465421114967103" ref="W32:Z35" totalsRowShown="0" headerRowDxfId="845" dataDxfId="844" tableBorderDxfId="843">
  <tableColumns count="4">
    <tableColumn id="1" xr3:uid="{00000000-0010-0000-4E00-000001000000}" name=" " dataDxfId="842"/>
    <tableColumn id="2" xr3:uid="{00000000-0010-0000-4E00-000002000000}" name="I" dataDxfId="841"/>
    <tableColumn id="3" xr3:uid="{00000000-0010-0000-4E00-000003000000}" name="B" dataDxfId="840"/>
    <tableColumn id="4" xr3:uid="{00000000-0010-0000-4E00-000004000000}" name="E" dataDxfId="839"/>
  </tableColumns>
  <tableStyleInfo name="TableStyleMedium13" showFirstColumn="1" showLastColumn="0" showRowStripes="0"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00000000-000C-0000-FFFF-FFFF4F000000}" name="Table462031511135368104" displayName="Table462031511135368104" ref="AC32:AF35" totalsRowShown="0" headerRowDxfId="838" dataDxfId="837" tableBorderDxfId="836">
  <tableColumns count="4">
    <tableColumn id="1" xr3:uid="{00000000-0010-0000-4F00-000001000000}" name=" " dataDxfId="835"/>
    <tableColumn id="2" xr3:uid="{00000000-0010-0000-4F00-000002000000}" name="I" dataDxfId="834"/>
    <tableColumn id="3" xr3:uid="{00000000-0010-0000-4F00-000003000000}" name="B" dataDxfId="833"/>
    <tableColumn id="4" xr3:uid="{00000000-0010-0000-4F00-000004000000}" name="E" dataDxfId="832"/>
  </tableColumns>
  <tableStyleInfo name="TableStyleMedium13" showFirstColumn="1" showLastColumn="0" showRowStripes="0"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0000000-000C-0000-FFFF-FFFF50000000}" name="Table462536561155569105" displayName="Table462536561155569105" ref="AI32:AL35" totalsRowShown="0" headerRowDxfId="831" dataDxfId="830" tableBorderDxfId="829">
  <tableColumns count="4">
    <tableColumn id="1" xr3:uid="{00000000-0010-0000-5000-000001000000}" name=" " dataDxfId="828"/>
    <tableColumn id="2" xr3:uid="{00000000-0010-0000-5000-000002000000}" name="I" dataDxfId="827"/>
    <tableColumn id="3" xr3:uid="{00000000-0010-0000-5000-000003000000}" name="B" dataDxfId="826"/>
    <tableColumn id="4" xr3:uid="{00000000-0010-0000-5000-000004000000}" name="E" dataDxfId="825"/>
  </tableColumns>
  <tableStyleInfo name="TableStyleMedium13" showFirstColumn="1" showLastColumn="0" showRowStripes="0"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00000000-000C-0000-FFFF-FFFF51000000}" name="Table467843668311860106" displayName="Table467843668311860106" ref="W50:Z53" totalsRowShown="0" headerRowDxfId="824" dataDxfId="823">
  <tableColumns count="4">
    <tableColumn id="1" xr3:uid="{00000000-0010-0000-5100-000001000000}" name=" " dataDxfId="822"/>
    <tableColumn id="2" xr3:uid="{00000000-0010-0000-5100-000002000000}" name="I" dataDxfId="821"/>
    <tableColumn id="3" xr3:uid="{00000000-0010-0000-5100-000003000000}" name="B" dataDxfId="820"/>
    <tableColumn id="4" xr3:uid="{00000000-0010-0000-5100-000004000000}" name="E" dataDxfId="819"/>
  </tableColumns>
  <tableStyleInfo name="TableStyleMedium13" showFirstColumn="1" showLastColumn="0" showRowStripes="0"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00000000-000C-0000-FFFF-FFFF52000000}" name="Table46213252759212062107" displayName="Table46213252759212062107" ref="AC50:AF53" totalsRowShown="0" headerRowDxfId="818" dataDxfId="817">
  <tableColumns count="4">
    <tableColumn id="1" xr3:uid="{00000000-0010-0000-5200-000001000000}" name=" " dataDxfId="816"/>
    <tableColumn id="2" xr3:uid="{00000000-0010-0000-5200-000002000000}" name="I" dataDxfId="815"/>
    <tableColumn id="3" xr3:uid="{00000000-0010-0000-5200-000003000000}" name="B" dataDxfId="814"/>
    <tableColumn id="4" xr3:uid="{00000000-0010-0000-5200-000004000000}" name="E" dataDxfId="813"/>
  </tableColumns>
  <tableStyleInfo name="TableStyleMedium13" showFirstColumn="1" showLastColumn="0" showRowStripes="0"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0000000-000C-0000-FFFF-FFFF53000000}" name="Table46263757809712264108" displayName="Table46263757809712264108" ref="AI50:AL53" totalsRowShown="0" headerRowDxfId="812" dataDxfId="811" tableBorderDxfId="810">
  <tableColumns count="4">
    <tableColumn id="1" xr3:uid="{00000000-0010-0000-5300-000001000000}" name=" " dataDxfId="809"/>
    <tableColumn id="2" xr3:uid="{00000000-0010-0000-5300-000002000000}" name="I" dataDxfId="808"/>
    <tableColumn id="3" xr3:uid="{00000000-0010-0000-5300-000003000000}" name="B" dataDxfId="807"/>
    <tableColumn id="4" xr3:uid="{00000000-0010-0000-5300-000004000000}" name="E" dataDxfId="806"/>
  </tableColumns>
  <tableStyleInfo name="TableStyleMedium13" showFirstColumn="1" showLastColumn="0" showRowStripes="0"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00000000-000C-0000-FFFF-FFFF54000000}" name="Table4654211149109" displayName="Table4654211149109" ref="AP32:AS35" totalsRowShown="0" headerRowDxfId="805" dataDxfId="804" tableBorderDxfId="803">
  <tableColumns count="4">
    <tableColumn id="1" xr3:uid="{00000000-0010-0000-5400-000001000000}" name=" " dataDxfId="802"/>
    <tableColumn id="2" xr3:uid="{00000000-0010-0000-5400-000002000000}" name="I" dataDxfId="801"/>
    <tableColumn id="3" xr3:uid="{00000000-0010-0000-5400-000003000000}" name="B" dataDxfId="800"/>
    <tableColumn id="4" xr3:uid="{00000000-0010-0000-5400-000004000000}" name="E" dataDxfId="799"/>
  </tableColumns>
  <tableStyleInfo name="TableStyleMedium13" showFirstColumn="1" showLastColumn="0" showRowStripes="0"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0000000-000C-0000-FFFF-FFFF55000000}" name="Table4620315111353110" displayName="Table4620315111353110" ref="AV32:AY35" totalsRowShown="0" headerRowDxfId="798" dataDxfId="797" tableBorderDxfId="796">
  <tableColumns count="4">
    <tableColumn id="1" xr3:uid="{00000000-0010-0000-5500-000001000000}" name=" " dataDxfId="795"/>
    <tableColumn id="2" xr3:uid="{00000000-0010-0000-5500-000002000000}" name="I" dataDxfId="794"/>
    <tableColumn id="3" xr3:uid="{00000000-0010-0000-5500-000003000000}" name="B" dataDxfId="793"/>
    <tableColumn id="4" xr3:uid="{00000000-0010-0000-5500-000004000000}" name="E" dataDxfId="792"/>
  </tableColumns>
  <tableStyleInfo name="TableStyleMedium13" showFirstColumn="1" showLastColumn="0" showRowStripes="0"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00000000-000C-0000-FFFF-FFFF56000000}" name="Table4625365611555111" displayName="Table4625365611555111" ref="BB32:BE35" totalsRowShown="0" headerRowDxfId="791" dataDxfId="790" tableBorderDxfId="789">
  <tableColumns count="4">
    <tableColumn id="1" xr3:uid="{00000000-0010-0000-5600-000001000000}" name=" " dataDxfId="788"/>
    <tableColumn id="2" xr3:uid="{00000000-0010-0000-5600-000002000000}" name="I" dataDxfId="787"/>
    <tableColumn id="3" xr3:uid="{00000000-0010-0000-5600-000003000000}" name="B" dataDxfId="786"/>
    <tableColumn id="4" xr3:uid="{00000000-0010-0000-5600-000004000000}" name="E" dataDxfId="785"/>
  </tableColumns>
  <tableStyleInfo name="TableStyleMedium13" showFirstColumn="1" showLastColumn="0" showRowStripes="0"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00000000-000C-0000-FFFF-FFFF57000000}" name="Table46784311250112" displayName="Table46784311250112" ref="AP38:AS41" totalsRowShown="0" headerRowDxfId="784" dataDxfId="783">
  <tableColumns count="4">
    <tableColumn id="1" xr3:uid="{00000000-0010-0000-5700-000001000000}" name=" " dataDxfId="782"/>
    <tableColumn id="2" xr3:uid="{00000000-0010-0000-5700-000002000000}" name="I" dataDxfId="781"/>
    <tableColumn id="3" xr3:uid="{00000000-0010-0000-5700-000003000000}" name="B" dataDxfId="780"/>
    <tableColumn id="4" xr3:uid="{00000000-0010-0000-5700-000004000000}" name="E" dataDxfId="779"/>
  </tableColumns>
  <tableStyleInfo name="TableStyleMedium13" showFirstColumn="1" showLastColumn="0" showRowStripes="0"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00000000-000C-0000-FFFF-FFFF58000000}" name="Table4621325211454113" displayName="Table4621325211454113" ref="AV38:AY41" totalsRowShown="0" headerRowDxfId="778" dataDxfId="777">
  <tableColumns count="4">
    <tableColumn id="1" xr3:uid="{00000000-0010-0000-5800-000001000000}" name=" " dataDxfId="776"/>
    <tableColumn id="2" xr3:uid="{00000000-0010-0000-5800-000002000000}" name="I" dataDxfId="775"/>
    <tableColumn id="3" xr3:uid="{00000000-0010-0000-5800-000003000000}" name="B" dataDxfId="774"/>
    <tableColumn id="4" xr3:uid="{00000000-0010-0000-5800-000004000000}" name="E" dataDxfId="773"/>
  </tableColumns>
  <tableStyleInfo name="TableStyleMedium13" showFirstColumn="1" showLastColumn="0" showRowStripes="0"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00000000-000C-0000-FFFF-FFFF59000000}" name="Table4626375711658114" displayName="Table4626375711658114" ref="BB38:BE41" totalsRowShown="0" headerRowDxfId="772" dataDxfId="771" tableBorderDxfId="770">
  <tableColumns count="4">
    <tableColumn id="1" xr3:uid="{00000000-0010-0000-5900-000001000000}" name=" " dataDxfId="769"/>
    <tableColumn id="2" xr3:uid="{00000000-0010-0000-5900-000002000000}" name="I" dataDxfId="768"/>
    <tableColumn id="3" xr3:uid="{00000000-0010-0000-5900-000003000000}" name="B" dataDxfId="767"/>
    <tableColumn id="4" xr3:uid="{00000000-0010-0000-5900-000004000000}" name="E" dataDxfId="766"/>
  </tableColumns>
  <tableStyleInfo name="TableStyleMedium13" showFirstColumn="1" showLastColumn="0" showRowStripes="0"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0000000-000C-0000-FFFF-FFFF5A000000}" name="Table465426510541115" displayName="Table465426510541115" ref="BI38:BL41" totalsRowShown="0" headerRowDxfId="765" dataDxfId="764" tableBorderDxfId="763">
  <tableColumns count="4">
    <tableColumn id="1" xr3:uid="{00000000-0010-0000-5A00-000001000000}" name=" " dataDxfId="762"/>
    <tableColumn id="2" xr3:uid="{00000000-0010-0000-5A00-000002000000}" name="I" dataDxfId="761"/>
    <tableColumn id="3" xr3:uid="{00000000-0010-0000-5A00-000003000000}" name="B" dataDxfId="760"/>
    <tableColumn id="4" xr3:uid="{00000000-0010-0000-5A00-000004000000}" name="E" dataDxfId="759"/>
  </tableColumns>
  <tableStyleInfo name="TableStyleMedium13" showFirstColumn="1" showLastColumn="0" showRowStripes="0"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0000000-000C-0000-FFFF-FFFF5B000000}" name="Table462031517410745116" displayName="Table462031517410745116" ref="BO38:BR41" totalsRowShown="0" headerRowDxfId="758" dataDxfId="757" tableBorderDxfId="756">
  <tableColumns count="4">
    <tableColumn id="1" xr3:uid="{00000000-0010-0000-5B00-000001000000}" name=" " dataDxfId="755"/>
    <tableColumn id="2" xr3:uid="{00000000-0010-0000-5B00-000002000000}" name="I" dataDxfId="754"/>
    <tableColumn id="3" xr3:uid="{00000000-0010-0000-5B00-000003000000}" name="B" dataDxfId="753"/>
    <tableColumn id="4" xr3:uid="{00000000-0010-0000-5B00-000004000000}" name="E" dataDxfId="752"/>
  </tableColumns>
  <tableStyleInfo name="TableStyleMedium13" showFirstColumn="1" showLastColumn="0" showRowStripes="0"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0000000-000C-0000-FFFF-FFFF5C000000}" name="Table462536567910947118" displayName="Table462536567910947118" ref="BU38:BX41" totalsRowShown="0" headerRowDxfId="751" dataDxfId="750" tableBorderDxfId="749">
  <tableColumns count="4">
    <tableColumn id="1" xr3:uid="{00000000-0010-0000-5C00-000001000000}" name=" " dataDxfId="748"/>
    <tableColumn id="2" xr3:uid="{00000000-0010-0000-5C00-000002000000}" name="I" dataDxfId="747"/>
    <tableColumn id="3" xr3:uid="{00000000-0010-0000-5C00-000003000000}" name="B" dataDxfId="746"/>
    <tableColumn id="4" xr3:uid="{00000000-0010-0000-5C00-000004000000}" name="E" dataDxfId="745"/>
  </tableColumns>
  <tableStyleInfo name="TableStyleMedium13" showFirstColumn="1" showLastColumn="0" showRowStripes="0"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00000000-000C-0000-FFFF-FFFF5D000000}" name="Table4678436610644119" displayName="Table4678436610644119" ref="BI44:BL47" totalsRowShown="0" headerRowDxfId="744" dataDxfId="743">
  <tableColumns count="4">
    <tableColumn id="1" xr3:uid="{00000000-0010-0000-5D00-000001000000}" name=" " dataDxfId="742"/>
    <tableColumn id="2" xr3:uid="{00000000-0010-0000-5D00-000002000000}" name="I" dataDxfId="741"/>
    <tableColumn id="3" xr3:uid="{00000000-0010-0000-5D00-000003000000}" name="B" dataDxfId="740"/>
    <tableColumn id="4" xr3:uid="{00000000-0010-0000-5D00-000004000000}" name="E" dataDxfId="739"/>
  </tableColumns>
  <tableStyleInfo name="TableStyleMedium13" showFirstColumn="1" showLastColumn="0" showRowStripes="0"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00000000-000C-0000-FFFF-FFFF5E000000}" name="Table462132527510846120" displayName="Table462132527510846120" ref="BO44:BR47" totalsRowShown="0" headerRowDxfId="738" dataDxfId="737">
  <tableColumns count="4">
    <tableColumn id="1" xr3:uid="{00000000-0010-0000-5E00-000001000000}" name=" " dataDxfId="736"/>
    <tableColumn id="2" xr3:uid="{00000000-0010-0000-5E00-000002000000}" name="I" dataDxfId="735"/>
    <tableColumn id="3" xr3:uid="{00000000-0010-0000-5E00-000003000000}" name="B" dataDxfId="734"/>
    <tableColumn id="4" xr3:uid="{00000000-0010-0000-5E00-000004000000}" name="E" dataDxfId="733"/>
  </tableColumns>
  <tableStyleInfo name="TableStyleMedium13" showFirstColumn="1" showLastColumn="0" showRowStripes="0"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71F2BBB-19F7-4041-8BDE-EEF377C3F487}" name="Table46253656791094711859" displayName="Table46253656791094711859" ref="BU44:BX47" totalsRowShown="0" headerRowDxfId="732" dataDxfId="731" tableBorderDxfId="730">
  <tableColumns count="4">
    <tableColumn id="1" xr3:uid="{73C17A66-5E1F-4167-9670-49D879C8BC6B}" name=" " dataDxfId="729"/>
    <tableColumn id="2" xr3:uid="{BABFE010-C80E-4046-8C87-EDEE620CC4D5}" name="I" dataDxfId="728"/>
    <tableColumn id="3" xr3:uid="{E79B3604-693A-487D-BC38-A08E29C0A2F7}" name="B" dataDxfId="727"/>
    <tableColumn id="4" xr3:uid="{3065A3CC-5461-4696-8A0A-E56E158F69DD}" name="E" dataDxfId="726"/>
  </tableColumns>
  <tableStyleInfo name="TableStyleMedium13" showFirstColumn="1" showLastColumn="0" showRowStripes="0"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00000000-000C-0000-FFFF-FFFF60000000}" name="Table46542111123" displayName="Table46542111123" ref="C28:F31" totalsRowShown="0" headerRowDxfId="725" dataDxfId="724" tableBorderDxfId="723">
  <tableColumns count="4">
    <tableColumn id="1" xr3:uid="{00000000-0010-0000-6000-000001000000}" name=" " dataDxfId="722"/>
    <tableColumn id="2" xr3:uid="{00000000-0010-0000-6000-000002000000}" name="I" dataDxfId="721">
      <calculatedColumnFormula>'Descision Matrix'!AQ33</calculatedColumnFormula>
    </tableColumn>
    <tableColumn id="3" xr3:uid="{00000000-0010-0000-6000-000003000000}" name="B" dataDxfId="720">
      <calculatedColumnFormula>'Descision Matrix'!AR33</calculatedColumnFormula>
    </tableColumn>
    <tableColumn id="4" xr3:uid="{00000000-0010-0000-6000-000004000000}" name="E" dataDxfId="719">
      <calculatedColumnFormula>'Descision Matrix'!AS33</calculatedColumnFormula>
    </tableColumn>
  </tableColumns>
  <tableStyleInfo name="TableStyleMedium13" showFirstColumn="1" showLastColumn="0" showRowStripes="0"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0000000-000C-0000-FFFF-FFFF61000000}" name="Table46203151113124" displayName="Table46203151113124" ref="I28:L31" totalsRowShown="0" headerRowDxfId="718" dataDxfId="717" tableBorderDxfId="716">
  <tableColumns count="4">
    <tableColumn id="1" xr3:uid="{00000000-0010-0000-6100-000001000000}" name=" " dataDxfId="715"/>
    <tableColumn id="2" xr3:uid="{00000000-0010-0000-6100-000002000000}" name="I" dataDxfId="714">
      <calculatedColumnFormula>'Descision Matrix'!AW33</calculatedColumnFormula>
    </tableColumn>
    <tableColumn id="3" xr3:uid="{00000000-0010-0000-6100-000003000000}" name="B" dataDxfId="713">
      <calculatedColumnFormula>'Descision Matrix'!AX33</calculatedColumnFormula>
    </tableColumn>
    <tableColumn id="4" xr3:uid="{00000000-0010-0000-6100-000004000000}" name="E" dataDxfId="712">
      <calculatedColumnFormula>'Descision Matrix'!AY33</calculatedColumnFormula>
    </tableColumn>
  </tableColumns>
  <tableStyleInfo name="TableStyleMedium13" showFirstColumn="1" showLastColumn="0" showRowStripes="0"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00000000-000C-0000-FFFF-FFFF62000000}" name="Table46253656115125" displayName="Table46253656115125" ref="O28:R31" totalsRowShown="0" headerRowDxfId="711" dataDxfId="710" tableBorderDxfId="709">
  <tableColumns count="4">
    <tableColumn id="1" xr3:uid="{00000000-0010-0000-6200-000001000000}" name=" " dataDxfId="708"/>
    <tableColumn id="2" xr3:uid="{00000000-0010-0000-6200-000002000000}" name="I" dataDxfId="707">
      <calculatedColumnFormula>'Descision Matrix'!BC33</calculatedColumnFormula>
    </tableColumn>
    <tableColumn id="3" xr3:uid="{00000000-0010-0000-6200-000003000000}" name="B" dataDxfId="706">
      <calculatedColumnFormula>'Descision Matrix'!BD33</calculatedColumnFormula>
    </tableColumn>
    <tableColumn id="4" xr3:uid="{00000000-0010-0000-6200-000004000000}" name="E" dataDxfId="705">
      <calculatedColumnFormula>'Descision Matrix'!BE33</calculatedColumnFormula>
    </tableColumn>
  </tableColumns>
  <tableStyleInfo name="TableStyleMedium13" showFirstColumn="1" showLastColumn="0" showRowStripes="0"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00000000-000C-0000-FFFF-FFFF63000000}" name="Table46784366126" displayName="Table46784366126" ref="C13:F16" totalsRowShown="0" headerRowDxfId="704" dataDxfId="703" tableBorderDxfId="702">
  <tableColumns count="4">
    <tableColumn id="1" xr3:uid="{00000000-0010-0000-6300-000001000000}" name=" " dataDxfId="701"/>
    <tableColumn id="2" xr3:uid="{00000000-0010-0000-6300-000002000000}" name="I" dataDxfId="700">
      <calculatedColumnFormula>'Descision Matrix'!AQ15</calculatedColumnFormula>
    </tableColumn>
    <tableColumn id="3" xr3:uid="{00000000-0010-0000-6300-000003000000}" name="B" dataDxfId="699">
      <calculatedColumnFormula>'Descision Matrix'!AR15</calculatedColumnFormula>
    </tableColumn>
    <tableColumn id="4" xr3:uid="{00000000-0010-0000-6300-000004000000}" name="E" dataDxfId="698">
      <calculatedColumnFormula>'Descision Matrix'!AS15</calculatedColumnFormula>
    </tableColumn>
  </tableColumns>
  <tableStyleInfo name="TableStyleMedium13" showFirstColumn="1" showLastColumn="0" showRowStripes="0"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00000000-000C-0000-FFFF-FFFF64000000}" name="Table4621325275127" displayName="Table4621325275127" ref="I13:L16" totalsRowShown="0" headerRowDxfId="697" dataDxfId="696" tableBorderDxfId="695">
  <tableColumns count="4">
    <tableColumn id="1" xr3:uid="{00000000-0010-0000-6400-000001000000}" name=" " dataDxfId="694"/>
    <tableColumn id="2" xr3:uid="{00000000-0010-0000-6400-000002000000}" name="I" dataDxfId="693">
      <calculatedColumnFormula>'Descision Matrix'!AW15</calculatedColumnFormula>
    </tableColumn>
    <tableColumn id="3" xr3:uid="{00000000-0010-0000-6400-000003000000}" name="B" dataDxfId="692">
      <calculatedColumnFormula>'Descision Matrix'!AX15</calculatedColumnFormula>
    </tableColumn>
    <tableColumn id="4" xr3:uid="{00000000-0010-0000-6400-000004000000}" name="E" dataDxfId="691">
      <calculatedColumnFormula>'Descision Matrix'!AY15</calculatedColumnFormula>
    </tableColumn>
  </tableColumns>
  <tableStyleInfo name="TableStyleMedium13" showFirstColumn="1" showLastColumn="0" showRowStripes="0"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0000000-000C-0000-FFFF-FFFF65000000}" name="Table4626375780128" displayName="Table4626375780128" ref="O13:R16" totalsRowShown="0" headerRowDxfId="690" dataDxfId="689" tableBorderDxfId="688">
  <tableColumns count="4">
    <tableColumn id="1" xr3:uid="{00000000-0010-0000-6500-000001000000}" name=" " dataDxfId="687"/>
    <tableColumn id="2" xr3:uid="{00000000-0010-0000-6500-000002000000}" name="I" dataDxfId="686">
      <calculatedColumnFormula>'Descision Matrix'!BC15</calculatedColumnFormula>
    </tableColumn>
    <tableColumn id="3" xr3:uid="{00000000-0010-0000-6500-000003000000}" name="B" dataDxfId="685">
      <calculatedColumnFormula>'Descision Matrix'!BD15</calculatedColumnFormula>
    </tableColumn>
    <tableColumn id="4" xr3:uid="{00000000-0010-0000-6500-000004000000}" name="E" dataDxfId="684">
      <calculatedColumnFormula>'Descision Matrix'!BE15</calculatedColumnFormula>
    </tableColumn>
  </tableColumns>
  <tableStyleInfo name="TableStyleMedium13" showFirstColumn="1" showLastColumn="0" showRowStripes="0"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00000000-000C-0000-FFFF-FFFF66000000}" name="Table465426599129" displayName="Table465426599129" ref="C18:F21" totalsRowShown="0" headerRowDxfId="683" dataDxfId="682" tableBorderDxfId="681">
  <tableColumns count="4">
    <tableColumn id="1" xr3:uid="{00000000-0010-0000-6600-000001000000}" name=" " dataDxfId="680"/>
    <tableColumn id="2" xr3:uid="{00000000-0010-0000-6600-000002000000}" name="I" dataDxfId="679">
      <calculatedColumnFormula>'Descision Matrix'!AQ21</calculatedColumnFormula>
    </tableColumn>
    <tableColumn id="3" xr3:uid="{00000000-0010-0000-6600-000003000000}" name="B" dataDxfId="678">
      <calculatedColumnFormula>'Descision Matrix'!AR21</calculatedColumnFormula>
    </tableColumn>
    <tableColumn id="4" xr3:uid="{00000000-0010-0000-6600-000004000000}" name="E" dataDxfId="677">
      <calculatedColumnFormula>'Descision Matrix'!AS21</calculatedColumnFormula>
    </tableColumn>
  </tableColumns>
  <tableStyleInfo name="TableStyleMedium13" showFirstColumn="1" showLastColumn="0" showRowStripes="0"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0000000-000C-0000-FFFF-FFFF67000000}" name="Table46784366100130" displayName="Table46784366100130" ref="C23:F26" totalsRowShown="0" headerRowDxfId="676" dataDxfId="675" tableBorderDxfId="674">
  <tableColumns count="4">
    <tableColumn id="1" xr3:uid="{00000000-0010-0000-6700-000001000000}" name=" " dataDxfId="673"/>
    <tableColumn id="2" xr3:uid="{00000000-0010-0000-6700-000002000000}" name="I" dataDxfId="672">
      <calculatedColumnFormula>'Descision Matrix'!AQ27</calculatedColumnFormula>
    </tableColumn>
    <tableColumn id="3" xr3:uid="{00000000-0010-0000-6700-000003000000}" name="B" dataDxfId="671">
      <calculatedColumnFormula>'Descision Matrix'!AR27</calculatedColumnFormula>
    </tableColumn>
    <tableColumn id="4" xr3:uid="{00000000-0010-0000-6700-000004000000}" name="E" dataDxfId="670">
      <calculatedColumnFormula>'Descision Matrix'!AS27</calculatedColumnFormula>
    </tableColumn>
  </tableColumns>
  <tableStyleInfo name="TableStyleMedium13" showFirstColumn="1" showLastColumn="0" showRowStripes="0"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0000000-000C-0000-FFFF-FFFF68000000}" name="Table4620315174101131" displayName="Table4620315174101131" ref="I18:L21" totalsRowShown="0" headerRowDxfId="669" dataDxfId="668" tableBorderDxfId="667">
  <tableColumns count="4">
    <tableColumn id="1" xr3:uid="{00000000-0010-0000-6800-000001000000}" name=" " dataDxfId="666"/>
    <tableColumn id="2" xr3:uid="{00000000-0010-0000-6800-000002000000}" name="I" dataDxfId="665">
      <calculatedColumnFormula>'Descision Matrix'!AW21</calculatedColumnFormula>
    </tableColumn>
    <tableColumn id="3" xr3:uid="{00000000-0010-0000-6800-000003000000}" name="B" dataDxfId="664">
      <calculatedColumnFormula>'Descision Matrix'!AX21</calculatedColumnFormula>
    </tableColumn>
    <tableColumn id="4" xr3:uid="{00000000-0010-0000-6800-000004000000}" name="E" dataDxfId="663">
      <calculatedColumnFormula>'Descision Matrix'!AY21</calculatedColumnFormula>
    </tableColumn>
  </tableColumns>
  <tableStyleInfo name="TableStyleMedium13" showFirstColumn="1" showLastColumn="0" showRowStripes="0"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00000000-000C-0000-FFFF-FFFF69000000}" name="Table4621325275102132" displayName="Table4621325275102132" ref="I23:L26" totalsRowShown="0" headerRowDxfId="662" dataDxfId="661" tableBorderDxfId="660">
  <tableColumns count="4">
    <tableColumn id="1" xr3:uid="{00000000-0010-0000-6900-000001000000}" name=" " dataDxfId="659"/>
    <tableColumn id="2" xr3:uid="{00000000-0010-0000-6900-000002000000}" name="I" dataDxfId="658">
      <calculatedColumnFormula>'Descision Matrix'!AW27</calculatedColumnFormula>
    </tableColumn>
    <tableColumn id="3" xr3:uid="{00000000-0010-0000-6900-000003000000}" name="B" dataDxfId="657">
      <calculatedColumnFormula>'Descision Matrix'!AX27</calculatedColumnFormula>
    </tableColumn>
    <tableColumn id="4" xr3:uid="{00000000-0010-0000-6900-000004000000}" name="E" dataDxfId="656">
      <calculatedColumnFormula>'Descision Matrix'!AY27</calculatedColumnFormula>
    </tableColumn>
  </tableColumns>
  <tableStyleInfo name="TableStyleMedium13" showFirstColumn="1" showLastColumn="0" showRowStripes="0"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00000000-000C-0000-FFFF-FFFF6A000000}" name="Table4625365679103133" displayName="Table4625365679103133" ref="O18:R21" totalsRowShown="0" headerRowDxfId="655" dataDxfId="654" tableBorderDxfId="653">
  <tableColumns count="4">
    <tableColumn id="1" xr3:uid="{00000000-0010-0000-6A00-000001000000}" name=" " dataDxfId="652"/>
    <tableColumn id="2" xr3:uid="{00000000-0010-0000-6A00-000002000000}" name="I" dataDxfId="651">
      <calculatedColumnFormula>'Descision Matrix'!BC21</calculatedColumnFormula>
    </tableColumn>
    <tableColumn id="3" xr3:uid="{00000000-0010-0000-6A00-000003000000}" name="B" dataDxfId="650">
      <calculatedColumnFormula>'Descision Matrix'!BD21</calculatedColumnFormula>
    </tableColumn>
    <tableColumn id="4" xr3:uid="{00000000-0010-0000-6A00-000004000000}" name="E" dataDxfId="649">
      <calculatedColumnFormula>'Descision Matrix'!BE21</calculatedColumnFormula>
    </tableColumn>
  </tableColumns>
  <tableStyleInfo name="TableStyleMedium13" showFirstColumn="1" showLastColumn="0" showRowStripes="0"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0000000-000C-0000-FFFF-FFFF6B000000}" name="Table4626375780104134" displayName="Table4626375780104134" ref="O23:R26" totalsRowShown="0" headerRowDxfId="648" dataDxfId="647" tableBorderDxfId="646">
  <tableColumns count="4">
    <tableColumn id="1" xr3:uid="{00000000-0010-0000-6B00-000001000000}" name=" " dataDxfId="645"/>
    <tableColumn id="2" xr3:uid="{00000000-0010-0000-6B00-000002000000}" name="I" dataDxfId="644">
      <calculatedColumnFormula>'Descision Matrix'!BC27</calculatedColumnFormula>
    </tableColumn>
    <tableColumn id="3" xr3:uid="{00000000-0010-0000-6B00-000003000000}" name="B" dataDxfId="643">
      <calculatedColumnFormula>'Descision Matrix'!BD27</calculatedColumnFormula>
    </tableColumn>
    <tableColumn id="4" xr3:uid="{00000000-0010-0000-6B00-000004000000}" name="E" dataDxfId="642">
      <calculatedColumnFormula>'Descision Matrix'!BE27</calculatedColumnFormula>
    </tableColumn>
  </tableColumns>
  <tableStyleInfo name="TableStyleMedium13" showFirstColumn="1" showLastColumn="0" showRowStripes="0"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00000000-000C-0000-FFFF-FFFF6C000000}" name="Table4654265105135" displayName="Table4654265105135" ref="C33:F36" totalsRowShown="0" headerRowDxfId="641" dataDxfId="640" tableBorderDxfId="639">
  <tableColumns count="4">
    <tableColumn id="1" xr3:uid="{00000000-0010-0000-6C00-000001000000}" name=" " dataDxfId="638"/>
    <tableColumn id="2" xr3:uid="{00000000-0010-0000-6C00-000002000000}" name="I" dataDxfId="637">
      <calculatedColumnFormula>'Descision Matrix'!BJ39</calculatedColumnFormula>
    </tableColumn>
    <tableColumn id="3" xr3:uid="{00000000-0010-0000-6C00-000003000000}" name="B" dataDxfId="636">
      <calculatedColumnFormula>'Descision Matrix'!BK39</calculatedColumnFormula>
    </tableColumn>
    <tableColumn id="4" xr3:uid="{00000000-0010-0000-6C00-000004000000}" name="E" dataDxfId="635">
      <calculatedColumnFormula>'Descision Matrix'!BL39</calculatedColumnFormula>
    </tableColumn>
  </tableColumns>
  <tableStyleInfo name="TableStyleMedium13" showFirstColumn="1" showLastColumn="0" showRowStripes="0"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00000000-000C-0000-FFFF-FFFF6D000000}" name="Table4620315174107136" displayName="Table4620315174107136" ref="I33:L36" totalsRowShown="0" headerRowDxfId="634" dataDxfId="633" tableBorderDxfId="632">
  <tableColumns count="4">
    <tableColumn id="1" xr3:uid="{00000000-0010-0000-6D00-000001000000}" name=" " dataDxfId="631"/>
    <tableColumn id="2" xr3:uid="{00000000-0010-0000-6D00-000002000000}" name="I" dataDxfId="630">
      <calculatedColumnFormula>'Descision Matrix'!BP39</calculatedColumnFormula>
    </tableColumn>
    <tableColumn id="3" xr3:uid="{00000000-0010-0000-6D00-000003000000}" name="B" dataDxfId="629">
      <calculatedColumnFormula>'Descision Matrix'!BQ39</calculatedColumnFormula>
    </tableColumn>
    <tableColumn id="4" xr3:uid="{00000000-0010-0000-6D00-000004000000}" name="E" dataDxfId="628">
      <calculatedColumnFormula>'Descision Matrix'!BR39</calculatedColumnFormula>
    </tableColumn>
  </tableColumns>
  <tableStyleInfo name="TableStyleMedium13" showFirstColumn="1" showLastColumn="0" showRowStripes="0"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00000000-000C-0000-FFFF-FFFF6E000000}" name="Table4625365679109137" displayName="Table4625365679109137" ref="O33:R36" totalsRowShown="0" headerRowDxfId="627" dataDxfId="626" tableBorderDxfId="625">
  <tableColumns count="4">
    <tableColumn id="1" xr3:uid="{00000000-0010-0000-6E00-000001000000}" name=" " dataDxfId="624"/>
    <tableColumn id="2" xr3:uid="{00000000-0010-0000-6E00-000002000000}" name="I" dataDxfId="623">
      <calculatedColumnFormula>'Descision Matrix'!BV39</calculatedColumnFormula>
    </tableColumn>
    <tableColumn id="3" xr3:uid="{00000000-0010-0000-6E00-000003000000}" name="B" dataDxfId="622">
      <calculatedColumnFormula>'Descision Matrix'!BW39</calculatedColumnFormula>
    </tableColumn>
    <tableColumn id="4" xr3:uid="{00000000-0010-0000-6E00-000004000000}" name="E" dataDxfId="621">
      <calculatedColumnFormula>'Descision Matrix'!BX39</calculatedColumnFormula>
    </tableColumn>
  </tableColumns>
  <tableStyleInfo name="TableStyleMedium13" showFirstColumn="1" showLastColumn="0" showRowStripes="0"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00000000-000C-0000-FFFF-FFFF6F000000}" name="Table465426582117138" displayName="Table465426582117138" ref="C38:F41" totalsRowShown="0" headerRowDxfId="620" dataDxfId="619" tableBorderDxfId="618">
  <tableColumns count="4">
    <tableColumn id="1" xr3:uid="{00000000-0010-0000-6F00-000001000000}" name=" " dataDxfId="617"/>
    <tableColumn id="2" xr3:uid="{00000000-0010-0000-6F00-000002000000}" name="I" dataDxfId="616">
      <calculatedColumnFormula>'Descision Matrix'!BJ45</calculatedColumnFormula>
    </tableColumn>
    <tableColumn id="3" xr3:uid="{00000000-0010-0000-6F00-000003000000}" name="B" dataDxfId="615">
      <calculatedColumnFormula>'Descision Matrix'!BK45</calculatedColumnFormula>
    </tableColumn>
    <tableColumn id="4" xr3:uid="{00000000-0010-0000-6F00-000004000000}" name="E" dataDxfId="614">
      <calculatedColumnFormula>'Descision Matrix'!BL45</calculatedColumnFormula>
    </tableColumn>
  </tableColumns>
  <tableStyleInfo name="TableStyleMedium13" showFirstColumn="1" showLastColumn="0" showRowStripes="0"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0000000-000C-0000-FFFF-FFFF70000000}" name="Table4678436683118139" displayName="Table4678436683118139" ref="C43:F46" totalsRowShown="0" headerRowDxfId="613" dataDxfId="612" tableBorderDxfId="611">
  <tableColumns count="4">
    <tableColumn id="1" xr3:uid="{00000000-0010-0000-7000-000001000000}" name=" " dataDxfId="610"/>
    <tableColumn id="2" xr3:uid="{00000000-0010-0000-7000-000002000000}" name="I" dataDxfId="609">
      <calculatedColumnFormula>'Descision Matrix'!X51</calculatedColumnFormula>
    </tableColumn>
    <tableColumn id="3" xr3:uid="{00000000-0010-0000-7000-000003000000}" name="B" dataDxfId="608">
      <calculatedColumnFormula>'Descision Matrix'!Y51</calculatedColumnFormula>
    </tableColumn>
    <tableColumn id="4" xr3:uid="{00000000-0010-0000-7000-000004000000}" name="E" dataDxfId="607">
      <calculatedColumnFormula>'Descision Matrix'!Z51</calculatedColumnFormula>
    </tableColumn>
  </tableColumns>
  <tableStyleInfo name="TableStyleMedium13" showFirstColumn="1" showLastColumn="0" showRowStripes="0"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00000000-000C-0000-FFFF-FFFF71000000}" name="Table462031517491119140" displayName="Table462031517491119140" ref="I38:L41" totalsRowShown="0" headerRowDxfId="606" dataDxfId="605" tableBorderDxfId="604">
  <tableColumns count="4">
    <tableColumn id="1" xr3:uid="{00000000-0010-0000-7100-000001000000}" name=" " dataDxfId="603"/>
    <tableColumn id="2" xr3:uid="{00000000-0010-0000-7100-000002000000}" name="I" dataDxfId="602">
      <calculatedColumnFormula>'Descision Matrix'!BP45</calculatedColumnFormula>
    </tableColumn>
    <tableColumn id="3" xr3:uid="{00000000-0010-0000-7100-000003000000}" name="B" dataDxfId="601">
      <calculatedColumnFormula>'Descision Matrix'!BQ45</calculatedColumnFormula>
    </tableColumn>
    <tableColumn id="4" xr3:uid="{00000000-0010-0000-7100-000004000000}" name="E" dataDxfId="600">
      <calculatedColumnFormula>'Descision Matrix'!BR45</calculatedColumnFormula>
    </tableColumn>
  </tableColumns>
  <tableStyleInfo name="TableStyleMedium13" showFirstColumn="1" showLastColumn="0" showRowStripes="0"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0000000-000C-0000-FFFF-FFFF72000000}" name="Table462132527592120141" displayName="Table462132527592120141" ref="I43:L46" totalsRowShown="0" headerRowDxfId="599" dataDxfId="598" tableBorderDxfId="597">
  <tableColumns count="4">
    <tableColumn id="1" xr3:uid="{00000000-0010-0000-7200-000001000000}" name=" " dataDxfId="596"/>
    <tableColumn id="2" xr3:uid="{00000000-0010-0000-7200-000002000000}" name="I" dataDxfId="595">
      <calculatedColumnFormula>'Descision Matrix'!AD51</calculatedColumnFormula>
    </tableColumn>
    <tableColumn id="3" xr3:uid="{00000000-0010-0000-7200-000003000000}" name="B" dataDxfId="594">
      <calculatedColumnFormula>'Descision Matrix'!AE51</calculatedColumnFormula>
    </tableColumn>
    <tableColumn id="4" xr3:uid="{00000000-0010-0000-7200-000004000000}" name="E" dataDxfId="593">
      <calculatedColumnFormula>'Descision Matrix'!AF51</calculatedColumnFormula>
    </tableColumn>
  </tableColumns>
  <tableStyleInfo name="TableStyleMedium13" showFirstColumn="1" showLastColumn="0" showRowStripes="0"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00000000-000C-0000-FFFF-FFFF73000000}" name="Table462536567996121142" displayName="Table462536567996121142" ref="O38:R41" totalsRowShown="0" headerRowDxfId="592" dataDxfId="591" tableBorderDxfId="590">
  <tableColumns count="4">
    <tableColumn id="1" xr3:uid="{00000000-0010-0000-7300-000001000000}" name=" " dataDxfId="589"/>
    <tableColumn id="2" xr3:uid="{00000000-0010-0000-7300-000002000000}" name="I" dataDxfId="588">
      <calculatedColumnFormula>'Descision Matrix'!BV45</calculatedColumnFormula>
    </tableColumn>
    <tableColumn id="3" xr3:uid="{00000000-0010-0000-7300-000003000000}" name="B" dataDxfId="587">
      <calculatedColumnFormula>'Descision Matrix'!BW45</calculatedColumnFormula>
    </tableColumn>
    <tableColumn id="4" xr3:uid="{00000000-0010-0000-7300-000004000000}" name="E" dataDxfId="586">
      <calculatedColumnFormula>'Descision Matrix'!BX45</calculatedColumnFormula>
    </tableColumn>
  </tableColumns>
  <tableStyleInfo name="TableStyleMedium13" showFirstColumn="1" showLastColumn="0" showRowStripes="0"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00000000-000C-0000-FFFF-FFFF74000000}" name="Table462637578097122143" displayName="Table462637578097122143" ref="O43:R46" totalsRowShown="0" headerRowDxfId="585" dataDxfId="584" tableBorderDxfId="583">
  <tableColumns count="4">
    <tableColumn id="1" xr3:uid="{00000000-0010-0000-7400-000001000000}" name=" " dataDxfId="582"/>
    <tableColumn id="2" xr3:uid="{00000000-0010-0000-7400-000002000000}" name="I" dataDxfId="581">
      <calculatedColumnFormula>'Descision Matrix'!AJ51</calculatedColumnFormula>
    </tableColumn>
    <tableColumn id="3" xr3:uid="{00000000-0010-0000-7400-000003000000}" name="B" dataDxfId="580">
      <calculatedColumnFormula>'Descision Matrix'!AK51</calculatedColumnFormula>
    </tableColumn>
    <tableColumn id="4" xr3:uid="{00000000-0010-0000-7400-000004000000}" name="E" dataDxfId="579">
      <calculatedColumnFormula>'Descision Matrix'!AL51</calculatedColumnFormula>
    </tableColumn>
  </tableColumns>
  <tableStyleInfo name="TableStyleMedium13" showFirstColumn="1" showLastColumn="0" showRowStripes="0"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00000000-000C-0000-FFFF-FFFF75000000}" name="Table465426582144" displayName="Table465426582144" ref="C3:F6" totalsRowShown="0" headerRowDxfId="578" dataDxfId="577">
  <tableColumns count="4">
    <tableColumn id="1" xr3:uid="{00000000-0010-0000-7500-000001000000}" name=" " dataDxfId="576"/>
    <tableColumn id="2" xr3:uid="{00000000-0010-0000-7500-000002000000}" name="I" dataDxfId="575">
      <calculatedColumnFormula>'Descision Matrix'!BJ3</calculatedColumnFormula>
    </tableColumn>
    <tableColumn id="3" xr3:uid="{00000000-0010-0000-7500-000003000000}" name="B" dataDxfId="574">
      <calculatedColumnFormula>'Descision Matrix'!BK3</calculatedColumnFormula>
    </tableColumn>
    <tableColumn id="4" xr3:uid="{00000000-0010-0000-7500-000004000000}" name="E" dataDxfId="573">
      <calculatedColumnFormula>'Descision Matrix'!BL3</calculatedColumnFormula>
    </tableColumn>
  </tableColumns>
  <tableStyleInfo name="TableStyleMedium13" showFirstColumn="1" showLastColumn="0" showRowStripes="0"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00000000-000C-0000-FFFF-FFFF76000000}" name="Table4678436683145" displayName="Table4678436683145" ref="C8:F11" totalsRowShown="0" headerRowDxfId="572" dataDxfId="571" tableBorderDxfId="570">
  <tableColumns count="4">
    <tableColumn id="1" xr3:uid="{00000000-0010-0000-7600-000001000000}" name=" " dataDxfId="569"/>
    <tableColumn id="2" xr3:uid="{00000000-0010-0000-7600-000002000000}" name="I" dataDxfId="568">
      <calculatedColumnFormula>'Descision Matrix'!BJ9</calculatedColumnFormula>
    </tableColumn>
    <tableColumn id="3" xr3:uid="{00000000-0010-0000-7600-000003000000}" name="B" dataDxfId="567">
      <calculatedColumnFormula>'Descision Matrix'!BK9</calculatedColumnFormula>
    </tableColumn>
    <tableColumn id="4" xr3:uid="{00000000-0010-0000-7600-000004000000}" name="E" dataDxfId="566">
      <calculatedColumnFormula>'Descision Matrix'!BL9</calculatedColumnFormula>
    </tableColumn>
  </tableColumns>
  <tableStyleInfo name="TableStyleMedium13" showFirstColumn="1" showLastColumn="0" showRowStripes="0"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0000000-000C-0000-FFFF-FFFF77000000}" name="Table462031517491146" displayName="Table462031517491146" ref="I3:L6" totalsRowShown="0" headerRowDxfId="565" dataDxfId="564">
  <tableColumns count="4">
    <tableColumn id="1" xr3:uid="{00000000-0010-0000-7700-000001000000}" name=" " dataDxfId="563"/>
    <tableColumn id="2" xr3:uid="{00000000-0010-0000-7700-000002000000}" name="I" dataDxfId="562">
      <calculatedColumnFormula>'Descision Matrix'!BP3</calculatedColumnFormula>
    </tableColumn>
    <tableColumn id="3" xr3:uid="{00000000-0010-0000-7700-000003000000}" name="B" dataDxfId="561">
      <calculatedColumnFormula>'Descision Matrix'!BQ3</calculatedColumnFormula>
    </tableColumn>
    <tableColumn id="4" xr3:uid="{00000000-0010-0000-7700-000004000000}" name="E" dataDxfId="560">
      <calculatedColumnFormula>'Descision Matrix'!BR3</calculatedColumnFormula>
    </tableColumn>
  </tableColumns>
  <tableStyleInfo name="TableStyleMedium13" showFirstColumn="1" showLastColumn="0" showRowStripes="0"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00000000-000C-0000-FFFF-FFFF78000000}" name="Table462132527592147" displayName="Table462132527592147" ref="I8:L11" totalsRowShown="0" headerRowDxfId="559" dataDxfId="558" tableBorderDxfId="557">
  <tableColumns count="4">
    <tableColumn id="1" xr3:uid="{00000000-0010-0000-7800-000001000000}" name=" " dataDxfId="556"/>
    <tableColumn id="2" xr3:uid="{00000000-0010-0000-7800-000002000000}" name="I" dataDxfId="555">
      <calculatedColumnFormula>'Descision Matrix'!BP9</calculatedColumnFormula>
    </tableColumn>
    <tableColumn id="3" xr3:uid="{00000000-0010-0000-7800-000003000000}" name="B" dataDxfId="554">
      <calculatedColumnFormula>'Descision Matrix'!BQ9</calculatedColumnFormula>
    </tableColumn>
    <tableColumn id="4" xr3:uid="{00000000-0010-0000-7800-000004000000}" name="E" dataDxfId="553">
      <calculatedColumnFormula>'Descision Matrix'!BR9</calculatedColumnFormula>
    </tableColumn>
  </tableColumns>
  <tableStyleInfo name="TableStyleMedium13" showFirstColumn="1" showLastColumn="0" showRowStripes="0"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00000000-000C-0000-FFFF-FFFF79000000}" name="Table462536567996148" displayName="Table462536567996148" ref="O3:R6" totalsRowShown="0" headerRowDxfId="552" dataDxfId="551">
  <tableColumns count="4">
    <tableColumn id="1" xr3:uid="{00000000-0010-0000-7900-000001000000}" name=" " dataDxfId="550"/>
    <tableColumn id="2" xr3:uid="{00000000-0010-0000-7900-000002000000}" name="I" dataDxfId="549">
      <calculatedColumnFormula>'Descision Matrix'!BV3</calculatedColumnFormula>
    </tableColumn>
    <tableColumn id="3" xr3:uid="{00000000-0010-0000-7900-000003000000}" name="B" dataDxfId="548">
      <calculatedColumnFormula>'Descision Matrix'!BW3</calculatedColumnFormula>
    </tableColumn>
    <tableColumn id="4" xr3:uid="{00000000-0010-0000-7900-000004000000}" name="E" dataDxfId="547">
      <calculatedColumnFormula>'Descision Matrix'!BX3</calculatedColumnFormula>
    </tableColumn>
  </tableColumns>
  <tableStyleInfo name="TableStyleMedium13" showFirstColumn="1" showLastColumn="0" showRowStripes="0"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0000000-000C-0000-FFFF-FFFF7A000000}" name="Table462637578097149" displayName="Table462637578097149" ref="O8:R11" totalsRowShown="0" headerRowDxfId="546" dataDxfId="545" tableBorderDxfId="544">
  <tableColumns count="4">
    <tableColumn id="1" xr3:uid="{00000000-0010-0000-7A00-000001000000}" name=" " dataDxfId="543"/>
    <tableColumn id="2" xr3:uid="{00000000-0010-0000-7A00-000002000000}" name="I" dataDxfId="542">
      <calculatedColumnFormula>'Descision Matrix'!BV9</calculatedColumnFormula>
    </tableColumn>
    <tableColumn id="3" xr3:uid="{00000000-0010-0000-7A00-000003000000}" name="B" dataDxfId="541">
      <calculatedColumnFormula>'Descision Matrix'!BW9</calculatedColumnFormula>
    </tableColumn>
    <tableColumn id="4" xr3:uid="{00000000-0010-0000-7A00-000004000000}" name="E" dataDxfId="540">
      <calculatedColumnFormula>'Descision Matrix'!BX9</calculatedColumnFormula>
    </tableColumn>
  </tableColumns>
  <tableStyleInfo name="TableStyleMedium13" showFirstColumn="1" showLastColumn="0" showRowStripes="0"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E1AD7E31-C876-4CA6-8101-54362758FAB3}" name="Table4678436683118139161" displayName="Table4678436683118139161" ref="C56:F59" totalsRowShown="0" headerRowDxfId="539" dataDxfId="538" tableBorderDxfId="537">
  <tableColumns count="4">
    <tableColumn id="1" xr3:uid="{1FE0E368-DD94-4177-9783-ECA5C13A85CF}" name=" " dataDxfId="536"/>
    <tableColumn id="2" xr3:uid="{5E34C5F7-C4CE-4CF4-9C66-858B7B34F735}" name="I" dataDxfId="535"/>
    <tableColumn id="3" xr3:uid="{0F0842DB-743D-4E98-AA55-2C5B6CB15D7D}" name="B" dataDxfId="534"/>
    <tableColumn id="4" xr3:uid="{EAF43D52-3217-4BBB-A306-575ED0AAAEE2}" name="E" dataDxfId="533"/>
  </tableColumns>
  <tableStyleInfo name="TableStyleMedium13" showFirstColumn="1" showLastColumn="0" showRowStripes="0"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139ADC15-4352-442B-A465-A24FC1DA1B07}" name="Table462132527592120141162" displayName="Table462132527592120141162" ref="I56:L59" totalsRowShown="0" headerRowDxfId="532" dataDxfId="531" tableBorderDxfId="530">
  <tableColumns count="4">
    <tableColumn id="1" xr3:uid="{BE116EF6-403F-4706-93E1-6CC5E62F1C99}" name=" " dataDxfId="529"/>
    <tableColumn id="2" xr3:uid="{ECDCFE00-D151-49E8-9B1C-2CCCD3A6EF4D}" name="I" dataDxfId="528"/>
    <tableColumn id="3" xr3:uid="{1731BAB9-3767-47C4-8761-459183B0FE6E}" name="B" dataDxfId="527"/>
    <tableColumn id="4" xr3:uid="{18690345-3F61-48B1-8FC8-800DCFCF2ECB}" name="E" dataDxfId="526"/>
  </tableColumns>
  <tableStyleInfo name="TableStyleMedium13" showFirstColumn="1" showLastColumn="0" showRowStripes="0"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439BA6DE-3DBD-43D5-B136-2FFBDBA6B5C7}" name="Table462637578097122143163" displayName="Table462637578097122143163" ref="O56:R59" totalsRowShown="0" headerRowDxfId="525" dataDxfId="524" tableBorderDxfId="523">
  <tableColumns count="4">
    <tableColumn id="1" xr3:uid="{81967E98-F0DC-4E53-B005-CDB3FD6CF16C}" name=" " dataDxfId="522"/>
    <tableColumn id="2" xr3:uid="{72D7EB31-8A68-4850-A500-329D36496C25}" name="I" dataDxfId="521"/>
    <tableColumn id="3" xr3:uid="{8A7EC1B8-22BD-4067-8913-1CB8F7F93223}" name="B" dataDxfId="520"/>
    <tableColumn id="4" xr3:uid="{03E9CF0A-4CC0-43F4-BCFD-E37EE86BE169}" name="E" dataDxfId="519"/>
  </tableColumns>
  <tableStyleInfo name="TableStyleMedium13" showFirstColumn="1" showLastColumn="0" showRowStripes="0"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E6C943CB-F99A-4FA0-87FF-98EF19094A89}" name="Table4678436683118139164" displayName="Table4678436683118139164" ref="C61:F64" totalsRowShown="0" headerRowDxfId="518" dataDxfId="517" tableBorderDxfId="516">
  <tableColumns count="4">
    <tableColumn id="1" xr3:uid="{17D4306F-ECE8-4C3C-AE8C-9E1F27804038}" name=" " dataDxfId="515"/>
    <tableColumn id="2" xr3:uid="{D0CE9658-1E27-4B42-A9A0-A9BEE225C17C}" name="I" dataDxfId="514"/>
    <tableColumn id="3" xr3:uid="{12A002A7-4FE7-41A7-9E29-6247EEDB9911}" name="B" dataDxfId="513"/>
    <tableColumn id="4" xr3:uid="{59E6295A-CC3F-4B06-8AFD-9B552793EE0E}" name="E" dataDxfId="512"/>
  </tableColumns>
  <tableStyleInfo name="TableStyleMedium13" showFirstColumn="1" showLastColumn="0" showRowStripes="0"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FE4EA89A-7C9C-418E-A9AA-6A1D9AF104C9}" name="Table462132527592120141165" displayName="Table462132527592120141165" ref="I61:L64" totalsRowShown="0" headerRowDxfId="511" dataDxfId="510" tableBorderDxfId="509">
  <tableColumns count="4">
    <tableColumn id="1" xr3:uid="{256D537B-2720-47EF-97D0-464FAB029530}" name=" " dataDxfId="508"/>
    <tableColumn id="2" xr3:uid="{B69950D5-C7A1-4BE1-BF77-5C169C280B13}" name="I" dataDxfId="507"/>
    <tableColumn id="3" xr3:uid="{70F75279-BB20-4938-9086-972049523A6D}" name="B" dataDxfId="506"/>
    <tableColumn id="4" xr3:uid="{1AC93847-1408-404D-AF6D-0E2BB0F09CEE}" name="E" dataDxfId="505"/>
  </tableColumns>
  <tableStyleInfo name="TableStyleMedium13" showFirstColumn="1" showLastColumn="0" showRowStripes="0"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E2ED8C47-2F67-446A-B258-5D9527BD8065}" name="Table462637578097122143166" displayName="Table462637578097122143166" ref="O61:R64" totalsRowShown="0" headerRowDxfId="504" dataDxfId="503" tableBorderDxfId="502">
  <tableColumns count="4">
    <tableColumn id="1" xr3:uid="{2DA2D7AE-182B-4436-B217-F8B8AB9F0317}" name=" " dataDxfId="501"/>
    <tableColumn id="2" xr3:uid="{40D95F11-62E6-4C55-91A0-7F8D6B19C839}" name="I" dataDxfId="500"/>
    <tableColumn id="3" xr3:uid="{4DA58121-D6FF-43E6-9CB3-022F1C2BCF83}" name="B" dataDxfId="499"/>
    <tableColumn id="4" xr3:uid="{CC874EA2-EFAE-4D2A-A3D9-B4EB8F9F5E3A}" name="E" dataDxfId="498"/>
  </tableColumns>
  <tableStyleInfo name="TableStyleMedium13" showFirstColumn="1" showLastColumn="0" showRowStripes="0"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20DBAFE6-F4EE-43D1-BB83-F3866880C952}" name="Table4678436683118139167" displayName="Table4678436683118139167" ref="C71:F74" totalsRowShown="0" headerRowDxfId="497" dataDxfId="496" tableBorderDxfId="495">
  <tableColumns count="4">
    <tableColumn id="1" xr3:uid="{F8777130-DB01-41FD-A6CC-7DC4D1A1E3D6}" name=" " dataDxfId="494"/>
    <tableColumn id="2" xr3:uid="{62C079C0-4F11-4539-A20C-D2D27BCBBE70}" name="I" dataDxfId="493"/>
    <tableColumn id="3" xr3:uid="{9AA351E8-5DAE-4A8A-B657-6D490A5BDBE7}" name="B" dataDxfId="492"/>
    <tableColumn id="4" xr3:uid="{B90C5D9E-2863-4AFC-B5C1-BC48D2F125D9}" name="E" dataDxfId="491"/>
  </tableColumns>
  <tableStyleInfo name="TableStyleMedium13" showFirstColumn="1" showLastColumn="0" showRowStripes="0"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1A7711E1-FC91-4F5E-922A-680B546F806C}" name="Table462132527592120141168" displayName="Table462132527592120141168" ref="I71:L74" totalsRowShown="0" headerRowDxfId="490" dataDxfId="489" tableBorderDxfId="488">
  <tableColumns count="4">
    <tableColumn id="1" xr3:uid="{D8BFE2F3-F5CE-4B0F-9301-C3D2461AA3A5}" name=" " dataDxfId="487"/>
    <tableColumn id="2" xr3:uid="{7CF20388-E7DD-4698-96E4-C3BEA025FA9E}" name="I" dataDxfId="486"/>
    <tableColumn id="3" xr3:uid="{F416863D-AA15-4342-B7BE-8385B7EA4A0E}" name="B" dataDxfId="485"/>
    <tableColumn id="4" xr3:uid="{9DBB0DC4-9862-42FB-A5EE-9354E91AF63A}" name="E" dataDxfId="484"/>
  </tableColumns>
  <tableStyleInfo name="TableStyleMedium13" showFirstColumn="1" showLastColumn="0" showRowStripes="0"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8A27D62F-5D0D-4B91-AE2B-31BCD6FBAC8D}" name="Table462637578097122143169" displayName="Table462637578097122143169" ref="O71:R74" totalsRowShown="0" headerRowDxfId="483" dataDxfId="482" tableBorderDxfId="481">
  <tableColumns count="4">
    <tableColumn id="1" xr3:uid="{DDC5EC89-1EF1-4350-89BE-ADC5E78C8A37}" name=" " dataDxfId="480"/>
    <tableColumn id="2" xr3:uid="{8634771C-B6F3-4E4A-B9CF-61AE13B1ED0E}" name="I" dataDxfId="479"/>
    <tableColumn id="3" xr3:uid="{9D953874-57B1-4218-9C8B-AF82566F8441}" name="B" dataDxfId="478"/>
    <tableColumn id="4" xr3:uid="{3BFA4CA6-A562-4F5F-B780-C2564FC658CB}" name="E" dataDxfId="477"/>
  </tableColumns>
  <tableStyleInfo name="TableStyleMedium13" showFirstColumn="1" showLastColumn="0" showRowStripes="0"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E5CA3878-3A04-4F11-A598-7C91B1EC3724}" name="Table4678436683118139170" displayName="Table4678436683118139170" ref="C76:F79" totalsRowShown="0" headerRowDxfId="476" dataDxfId="475" tableBorderDxfId="474">
  <tableColumns count="4">
    <tableColumn id="1" xr3:uid="{0087EF5B-71E8-48C1-8A89-4E785F4A4FCC}" name=" " dataDxfId="473"/>
    <tableColumn id="2" xr3:uid="{4CAFDEAC-AED4-4E2D-8191-0182354F39D7}" name="I" dataDxfId="472"/>
    <tableColumn id="3" xr3:uid="{D9EC5487-AFDF-4F16-B9AB-E0802A1791F7}" name="B" dataDxfId="471"/>
    <tableColumn id="4" xr3:uid="{900A607E-1462-4062-97B8-433C240838CC}" name="E" dataDxfId="470"/>
  </tableColumns>
  <tableStyleInfo name="TableStyleMedium13" showFirstColumn="1" showLastColumn="0" showRowStripes="0"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9E838001-2EAC-425F-8D4C-C2CCA8F05DFE}" name="Table462132527592120141171" displayName="Table462132527592120141171" ref="I76:L79" totalsRowShown="0" headerRowDxfId="469" dataDxfId="468" tableBorderDxfId="467">
  <tableColumns count="4">
    <tableColumn id="1" xr3:uid="{A5BDBC8C-706B-46AA-90B5-A2389F99AD28}" name=" " dataDxfId="466"/>
    <tableColumn id="2" xr3:uid="{F68AB72C-24BE-499A-9064-7A96F78E7BCF}" name="I" dataDxfId="465"/>
    <tableColumn id="3" xr3:uid="{954550F6-82C8-400F-9BA9-01DC413966DE}" name="B" dataDxfId="464"/>
    <tableColumn id="4" xr3:uid="{3BB372A5-3063-4A1E-A4B5-CB1B81F24AE3}" name="E" dataDxfId="463"/>
  </tableColumns>
  <tableStyleInfo name="TableStyleMedium13" showFirstColumn="1" showLastColumn="0" showRowStripes="0"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4721C851-8456-42E7-BD85-B8C3391D366C}" name="Table462637578097122143172" displayName="Table462637578097122143172" ref="O76:R79" totalsRowShown="0" headerRowDxfId="462" dataDxfId="461" tableBorderDxfId="460">
  <tableColumns count="4">
    <tableColumn id="1" xr3:uid="{AA677D08-30CE-4558-A6F6-AF997E586590}" name=" " dataDxfId="459"/>
    <tableColumn id="2" xr3:uid="{6C9F18F5-896E-4CE8-AF2A-88F14D467C55}" name="I" dataDxfId="458"/>
    <tableColumn id="3" xr3:uid="{EC494CF6-1664-4A8E-BA5E-CD574AD36A77}" name="B" dataDxfId="457"/>
    <tableColumn id="4" xr3:uid="{8B6494D8-7C56-4EB1-99F0-5A420981CB79}" name="E" dataDxfId="456"/>
  </tableColumns>
  <tableStyleInfo name="TableStyleMedium13" showFirstColumn="1" showLastColumn="0" showRowStripes="0"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4F473991-52D4-4B0C-8E1D-05CB2756554D}" name="Table4678436683118139176" displayName="Table4678436683118139176" ref="C91:F94" totalsRowShown="0" headerRowDxfId="455" dataDxfId="454" tableBorderDxfId="453">
  <tableColumns count="4">
    <tableColumn id="1" xr3:uid="{27D2A0AF-0F88-4FFA-A483-6D7072D71F50}" name=" " dataDxfId="452"/>
    <tableColumn id="2" xr3:uid="{0F4BE1D4-1EB9-4187-BC62-E0CDE18B233D}" name="I" dataDxfId="451"/>
    <tableColumn id="3" xr3:uid="{FAD00FF2-87CB-4428-B17F-1593058A5D99}" name="B" dataDxfId="450"/>
    <tableColumn id="4" xr3:uid="{BAB6ED83-7304-4026-A229-EE51E4C5B5D9}" name="E" dataDxfId="449"/>
  </tableColumns>
  <tableStyleInfo name="TableStyleMedium13" showFirstColumn="1" showLastColumn="0" showRowStripes="0"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F4BA754C-2238-49EE-B52B-61ED50A61BFD}" name="Table462132527592120141177" displayName="Table462132527592120141177" ref="I91:L94" totalsRowShown="0" headerRowDxfId="448" dataDxfId="447" tableBorderDxfId="446">
  <tableColumns count="4">
    <tableColumn id="1" xr3:uid="{C83227BF-99FD-491C-BF42-88C32EADD90F}" name=" " dataDxfId="445"/>
    <tableColumn id="2" xr3:uid="{AF1A00BB-19BA-4C5E-81FD-22D393179B66}" name="I" dataDxfId="444"/>
    <tableColumn id="3" xr3:uid="{E3BCB66D-FB40-453E-B268-56C44253C621}" name="B" dataDxfId="443"/>
    <tableColumn id="4" xr3:uid="{7DF21F6F-13FE-4D66-8BA5-F18BD886F99D}" name="E" dataDxfId="442"/>
  </tableColumns>
  <tableStyleInfo name="TableStyleMedium13" showFirstColumn="1" showLastColumn="0" showRowStripes="0"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10522577-44EA-4C46-9FE0-0DFF81E2E307}" name="Table462637578097122143178" displayName="Table462637578097122143178" ref="O91:R94" totalsRowShown="0" headerRowDxfId="441" dataDxfId="440" tableBorderDxfId="439">
  <tableColumns count="4">
    <tableColumn id="1" xr3:uid="{C69E3AB3-0FD9-4B13-A9C8-F9314C4B0FBE}" name=" " dataDxfId="438"/>
    <tableColumn id="2" xr3:uid="{6D798EBE-061D-4FB1-839F-B628FDD190BD}" name="I" dataDxfId="437"/>
    <tableColumn id="3" xr3:uid="{976F52A6-FD31-4777-BA1A-2DE845FE633F}" name="B" dataDxfId="436"/>
    <tableColumn id="4" xr3:uid="{168A2038-007D-4C9F-A529-3B82CCCE655A}" name="E" dataDxfId="435"/>
  </tableColumns>
  <tableStyleInfo name="TableStyleMedium13" showFirstColumn="1" showLastColumn="0" showRowStripes="0"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9DA4F9EE-87C3-42DA-B095-EE7800952D41}" name="Table4654265105135179" displayName="Table4654265105135179" ref="C81:F84" totalsRowShown="0" headerRowDxfId="434" dataDxfId="433" tableBorderDxfId="432">
  <tableColumns count="4">
    <tableColumn id="1" xr3:uid="{EF814839-8FFC-4296-BF4C-C146593A7B35}" name=" " dataDxfId="431"/>
    <tableColumn id="2" xr3:uid="{E08C850A-BBE9-43B2-A032-7602E2A60223}" name="I" dataDxfId="430"/>
    <tableColumn id="3" xr3:uid="{0126A2DB-4277-4F97-B86B-FD8900F0F2BA}" name="B" dataDxfId="429"/>
    <tableColumn id="4" xr3:uid="{DD8FF5AA-542F-445E-AED3-D058BB0829EF}" name="E" dataDxfId="428"/>
  </tableColumns>
  <tableStyleInfo name="TableStyleMedium13" showFirstColumn="1" showLastColumn="0" showRowStripes="0"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4F748E8B-5F6A-434D-90CC-42A73DCC5F9F}" name="Table4620315174107136180" displayName="Table4620315174107136180" ref="I81:L84" totalsRowShown="0" headerRowDxfId="427" dataDxfId="426" tableBorderDxfId="425">
  <tableColumns count="4">
    <tableColumn id="1" xr3:uid="{1DC177E8-F732-4353-ACFE-552F3BF023FC}" name=" " dataDxfId="424"/>
    <tableColumn id="2" xr3:uid="{A1B6B461-11AC-4F56-918F-77AD62E38F06}" name="I" dataDxfId="423"/>
    <tableColumn id="3" xr3:uid="{E59707A5-896B-4285-9020-F118D97A1040}" name="B" dataDxfId="422"/>
    <tableColumn id="4" xr3:uid="{BF107E88-3966-4DDD-8B48-40DDDDEBBD31}" name="E" dataDxfId="421"/>
  </tableColumns>
  <tableStyleInfo name="TableStyleMedium13" showFirstColumn="1" showLastColumn="0" showRowStripes="0"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AC035911-5146-4154-A4DB-8FA47DA242DB}" name="Table4625365679109137181" displayName="Table4625365679109137181" ref="O81:R84" totalsRowShown="0" headerRowDxfId="420" dataDxfId="419" tableBorderDxfId="418">
  <tableColumns count="4">
    <tableColumn id="1" xr3:uid="{56F08FDB-B8DA-44BD-AB40-62C99995FC05}" name=" " dataDxfId="417"/>
    <tableColumn id="2" xr3:uid="{09B8F2BA-EFC2-4C12-B082-544529396151}" name="I" dataDxfId="416"/>
    <tableColumn id="3" xr3:uid="{F741DACC-6F97-4F22-A335-F6970132C31B}" name="B" dataDxfId="415"/>
    <tableColumn id="4" xr3:uid="{52AA4A15-61A6-40F3-AE1B-86C18BABA305}" name="E" dataDxfId="414"/>
  </tableColumns>
  <tableStyleInfo name="TableStyleMedium13" showFirstColumn="1" showLastColumn="0" showRowStripes="0"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ABF543E-C326-4537-B020-7A5E00CA223E}" name="Table465426599129182" displayName="Table465426599129182" ref="C66:F69" totalsRowShown="0" headerRowDxfId="413" dataDxfId="412" tableBorderDxfId="411">
  <tableColumns count="4">
    <tableColumn id="1" xr3:uid="{9AACE170-1FB0-4A1E-A488-9F6244214B22}" name=" " dataDxfId="410"/>
    <tableColumn id="2" xr3:uid="{09A25786-0F55-4D81-8AD2-A56321700042}" name="I" dataDxfId="409"/>
    <tableColumn id="3" xr3:uid="{BE23521E-0EFE-4FE5-82B5-78268B716DBE}" name="B" dataDxfId="408"/>
    <tableColumn id="4" xr3:uid="{6D799230-76A9-4875-9D71-CDE598A165A2}" name="E" dataDxfId="407"/>
  </tableColumns>
  <tableStyleInfo name="TableStyleMedium13" showFirstColumn="1" showLastColumn="0" showRowStripes="0"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4FFE0949-3576-4437-9843-C3B9B4EDCC69}" name="Table4620315174101131183" displayName="Table4620315174101131183" ref="I66:L69" totalsRowShown="0" headerRowDxfId="406" dataDxfId="405" tableBorderDxfId="404">
  <tableColumns count="4">
    <tableColumn id="1" xr3:uid="{5F932B51-2775-44C7-A176-AF5683CB35CC}" name=" " dataDxfId="403"/>
    <tableColumn id="2" xr3:uid="{C2C687CB-65AD-4C69-91B1-5761A4A17D02}" name="I" dataDxfId="402"/>
    <tableColumn id="3" xr3:uid="{7C9C0195-1788-487A-A614-587165C95B60}" name="B" dataDxfId="401"/>
    <tableColumn id="4" xr3:uid="{BF683D7C-50B0-4DAF-8ABB-9CCEB4879F15}" name="E" dataDxfId="400"/>
  </tableColumns>
  <tableStyleInfo name="TableStyleMedium13" showFirstColumn="1" showLastColumn="0" showRowStripes="0"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702AC07-5810-44DC-B566-8B1C5271B8B7}" name="Table4625365679103133184" displayName="Table4625365679103133184" ref="O66:R69" totalsRowShown="0" headerRowDxfId="399" dataDxfId="398" tableBorderDxfId="397">
  <tableColumns count="4">
    <tableColumn id="1" xr3:uid="{CAC2D449-260A-413C-9DF0-D102FE8BE95F}" name=" " dataDxfId="396"/>
    <tableColumn id="2" xr3:uid="{EF1F7D7A-83A7-4232-B6AA-74247E00F45A}" name="I" dataDxfId="395"/>
    <tableColumn id="3" xr3:uid="{1AD31098-CD2D-40FF-B971-C5B0039CF528}" name="B" dataDxfId="394"/>
    <tableColumn id="4" xr3:uid="{4685D07C-2648-413B-90FC-C6BE9EC0A89E}" name="E" dataDxfId="393"/>
  </tableColumns>
  <tableStyleInfo name="TableStyleMedium13" showFirstColumn="1" showLastColumn="0" showRowStripes="0"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41173250-E22B-43C5-93E9-7E0508122AA7}" name="Table465426582144185" displayName="Table465426582144185" ref="C51:F54" totalsRowShown="0" headerRowDxfId="392" dataDxfId="391">
  <tableColumns count="4">
    <tableColumn id="1" xr3:uid="{29A301A8-A2BA-463C-A584-7F734FA3D868}" name=" " dataDxfId="390"/>
    <tableColumn id="2" xr3:uid="{B92F6A1E-BF53-4F15-93B2-4A3171276C68}" name="I" dataDxfId="389"/>
    <tableColumn id="3" xr3:uid="{6F9A8312-5170-4B4D-9E5E-944E839C2313}" name="B" dataDxfId="388"/>
    <tableColumn id="4" xr3:uid="{C1BAD328-28D1-4A06-9A9E-1A90342686A3}" name="E" dataDxfId="387"/>
  </tableColumns>
  <tableStyleInfo name="TableStyleMedium13" showFirstColumn="1" showLastColumn="0" showRowStripes="0"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4BA99100-AD7C-417E-96C9-9AA553CE3AA3}" name="Table462031517491146186" displayName="Table462031517491146186" ref="I51:L54" totalsRowShown="0" headerRowDxfId="386" dataDxfId="385">
  <tableColumns count="4">
    <tableColumn id="1" xr3:uid="{0B8E36F4-EE20-4EB6-AE9C-35FEBD52F157}" name=" " dataDxfId="384"/>
    <tableColumn id="2" xr3:uid="{E1B2FEDF-421B-43F1-B120-937FE8FF601F}" name="I" dataDxfId="383"/>
    <tableColumn id="3" xr3:uid="{147D00E4-B6FB-4E17-80F5-D85BF6E1F7B1}" name="B" dataDxfId="382"/>
    <tableColumn id="4" xr3:uid="{A0748FAF-5D65-4BB2-83A0-C30E2A9D9FDE}" name="E" dataDxfId="381"/>
  </tableColumns>
  <tableStyleInfo name="TableStyleMedium13" showFirstColumn="1" showLastColumn="0" showRowStripes="0"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D9D8368B-6395-471D-B92D-C37B6A5C11D3}" name="Table462536567996148187" displayName="Table462536567996148187" ref="O51:R54" totalsRowShown="0" headerRowDxfId="380" dataDxfId="379">
  <tableColumns count="4">
    <tableColumn id="1" xr3:uid="{86DEFBD0-07E1-4015-BAFC-7F09ED069A62}" name=" " dataDxfId="378"/>
    <tableColumn id="2" xr3:uid="{AAE565CB-9845-4E1D-8E1F-1176039CB2BD}" name="I" dataDxfId="377"/>
    <tableColumn id="3" xr3:uid="{4D78616A-D460-4E6F-B12F-40794510F4F2}" name="B" dataDxfId="376"/>
    <tableColumn id="4" xr3:uid="{6E430043-2C12-4165-B212-DDFFBCCC008A}" name="E" dataDxfId="375"/>
  </tableColumns>
  <tableStyleInfo name="TableStyleMedium13" showFirstColumn="1" showLastColumn="0" showRowStripes="0"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7B000000}" name="Masks" displayName="Masks" ref="F2:I11" totalsRowShown="0" headerRowDxfId="374" headerRowBorderDxfId="373" tableBorderDxfId="372" headerRowCellStyle="Heading 3">
  <tableColumns count="4">
    <tableColumn id="1" xr3:uid="{00000000-0010-0000-7B00-000001000000}" name="Relationship" dataDxfId="371">
      <calculatedColumnFormula>A3</calculatedColumnFormula>
    </tableColumn>
    <tableColumn id="2" xr3:uid="{00000000-0010-0000-7B00-000002000000}" name="Region" dataDxfId="370">
      <calculatedColumnFormula>IF(ISBLANK(B3),0,SUBSTITUTE(SUBSTITUTE(SUBSTITUTE(B3,"*",0),"F","1"),"T",1))</calculatedColumnFormula>
    </tableColumn>
    <tableColumn id="3" xr3:uid="{00000000-0010-0000-7B00-000003000000}" name="External" dataDxfId="369">
      <calculatedColumnFormula>IF(ISBLANK(C3),0,SUBSTITUTE(SUBSTITUTE(SUBSTITUTE(C3,"*",0),"F","1"),"T",1))</calculatedColumnFormula>
    </tableColumn>
    <tableColumn id="4" xr3:uid="{00000000-0010-0000-7B00-000004000000}" name="Hull" dataDxfId="368">
      <calculatedColumnFormula>IF(ISBLANK(D3),0,SUBSTITUTE(SUBSTITUTE(SUBSTITUTE(D3,"*",0),"F","1"),"T",1))</calculatedColumnFormula>
    </tableColumn>
  </tableColumns>
  <tableStyleInfo name="TableStyleLight1" showFirstColumn="0" showLastColumn="0" showRowStripes="0"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7C000000}" name="Values" displayName="Values" ref="K2:N11" totalsRowShown="0" headerRowDxfId="367" headerRowBorderDxfId="366" tableBorderDxfId="365" headerRowCellStyle="Heading 3">
  <tableColumns count="4">
    <tableColumn id="1" xr3:uid="{00000000-0010-0000-7C00-000001000000}" name="Relationship" dataDxfId="364">
      <calculatedColumnFormula>A3</calculatedColumnFormula>
    </tableColumn>
    <tableColumn id="2" xr3:uid="{00000000-0010-0000-7C00-000002000000}" name="Region" dataDxfId="363">
      <calculatedColumnFormula>IF(ISBLANK(B3),0,SUBSTITUTE(SUBSTITUTE(SUBSTITUTE(B3,"*",0),"F","0"),"T",1))</calculatedColumnFormula>
    </tableColumn>
    <tableColumn id="3" xr3:uid="{00000000-0010-0000-7C00-000003000000}" name="External" dataDxfId="362">
      <calculatedColumnFormula>IF(ISBLANK(C3),0,SUBSTITUTE(SUBSTITUTE(SUBSTITUTE(C3,"*",0),"F","0"),"T",1))</calculatedColumnFormula>
    </tableColumn>
    <tableColumn id="4" xr3:uid="{00000000-0010-0000-7C00-000004000000}" name="Hull" dataDxfId="361">
      <calculatedColumnFormula>IF(ISBLANK(D3),0,SUBSTITUTE(SUBSTITUTE(SUBSTITUTE(D3,"*",0),"F","0"),"T",1))</calculatedColumnFormula>
    </tableColumn>
  </tableColumns>
  <tableStyleInfo name="TableStyleLight1" showFirstColumn="0" showLastColumn="0" showRowStripes="0"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BCF337-C088-45A5-8177-2330CD847243}" name="Table465421111236" displayName="Table465421111236" ref="C29:F32" totalsRowShown="0" headerRowDxfId="360" dataDxfId="359" tableBorderDxfId="358">
  <tableColumns count="4">
    <tableColumn id="1" xr3:uid="{27B7D6E6-9141-4D09-96CB-212F3ECBF99B}" name=" " dataDxfId="357"/>
    <tableColumn id="2" xr3:uid="{B909B3C8-4516-4081-8FB1-4EF1C6285F27}" name="I" dataDxfId="356">
      <calculatedColumnFormula>'Descision Matrix'!AQ33</calculatedColumnFormula>
    </tableColumn>
    <tableColumn id="3" xr3:uid="{C4722D79-3C8F-44DA-A5EC-1069E91EA114}" name="B" dataDxfId="355" dataCellStyle="Accent3">
      <calculatedColumnFormula>'Descision Matrix'!AR33</calculatedColumnFormula>
    </tableColumn>
    <tableColumn id="4" xr3:uid="{CD6770A2-50B7-4FCE-AFB9-5095EF91F986}" name="E" dataDxfId="354" dataCellStyle="20% - Accent5">
      <calculatedColumnFormula>'Descision Matrix'!AS33</calculatedColumnFormula>
    </tableColumn>
  </tableColumns>
  <tableStyleInfo name="TableStyleMedium13" showFirstColumn="1" showLastColumn="0" showRowStripes="0"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A32725-67AC-4463-B480-6088637FB139}" name="Table462031511131247" displayName="Table462031511131247" ref="I29:L32" totalsRowShown="0" headerRowDxfId="353" dataDxfId="352" tableBorderDxfId="351">
  <tableColumns count="4">
    <tableColumn id="1" xr3:uid="{3B7797B4-A0E6-4C8B-8B53-AAECA14D8833}" name=" " dataDxfId="350"/>
    <tableColumn id="2" xr3:uid="{66AB3C13-78A6-42D7-A679-A7DD1BEB1906}" name="I" dataDxfId="349">
      <calculatedColumnFormula>'Descision Matrix'!AW33</calculatedColumnFormula>
    </tableColumn>
    <tableColumn id="3" xr3:uid="{34F967D8-DE7A-456C-95DF-47F423B1BE82}" name="B" dataDxfId="348" dataCellStyle="Accent3">
      <calculatedColumnFormula>'Descision Matrix'!AX33</calculatedColumnFormula>
    </tableColumn>
    <tableColumn id="4" xr3:uid="{4F38409A-3AD8-4A73-AC79-829A9D9BF8D9}" name="E" dataDxfId="347" dataCellStyle="20% - Accent5">
      <calculatedColumnFormula>'Descision Matrix'!AY33</calculatedColumnFormula>
    </tableColumn>
  </tableColumns>
  <tableStyleInfo name="TableStyleMedium13" showFirstColumn="1" showLastColumn="0" showRowStripes="0"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0B4F1B9-5BA1-4F5D-B286-428E40BD7F40}" name="Table462536561151259" displayName="Table462536561151259" ref="O29:R32" totalsRowShown="0" headerRowDxfId="346" dataDxfId="345" tableBorderDxfId="344">
  <tableColumns count="4">
    <tableColumn id="1" xr3:uid="{C8F07AE9-BC66-409F-B54A-C538835490DD}" name=" " dataDxfId="343"/>
    <tableColumn id="2" xr3:uid="{30C2A107-B583-4933-BDD1-2E5B4E5F5C17}" name="I" dataDxfId="342">
      <calculatedColumnFormula>'Descision Matrix'!BC33</calculatedColumnFormula>
    </tableColumn>
    <tableColumn id="3" xr3:uid="{AFEA32AC-E2D4-4C0F-ACAB-EAE4D7940419}" name="B" dataDxfId="341" dataCellStyle="Accent3">
      <calculatedColumnFormula>'Descision Matrix'!BD33</calculatedColumnFormula>
    </tableColumn>
    <tableColumn id="4" xr3:uid="{9DD4B7A9-06CF-42CD-B646-0D6C0EF71BBE}" name="E" dataDxfId="340" dataCellStyle="20% - Accent5">
      <calculatedColumnFormula>'Descision Matrix'!BE33</calculatedColumnFormula>
    </tableColumn>
  </tableColumns>
  <tableStyleInfo name="TableStyleMedium13" showFirstColumn="1" showLastColumn="0" showRowStripes="0"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BB00938-79DA-4539-AD33-745BE2B630C7}" name="Table4678436612610" displayName="Table4678436612610" ref="C14:F17" totalsRowShown="0" headerRowDxfId="339" dataDxfId="338" tableBorderDxfId="337">
  <tableColumns count="4">
    <tableColumn id="1" xr3:uid="{44401A24-C642-4F82-A0DF-D57DD4AC4AD6}" name=" " dataDxfId="336"/>
    <tableColumn id="2" xr3:uid="{6495FD16-BBF9-4690-B37C-EAFFC35B9225}" name="I" dataDxfId="335">
      <calculatedColumnFormula>'Descision Matrix'!AQ15</calculatedColumnFormula>
    </tableColumn>
    <tableColumn id="3" xr3:uid="{E4D6D7E6-3CD1-4DDB-83F9-944FF61AD198}" name="B" dataDxfId="334" dataCellStyle="Accent3">
      <calculatedColumnFormula>'Descision Matrix'!AR15</calculatedColumnFormula>
    </tableColumn>
    <tableColumn id="4" xr3:uid="{7372FAC7-483B-436D-A5E0-F0163599B8DE}" name="E" dataDxfId="333" dataCellStyle="20% - Accent5">
      <calculatedColumnFormula>'Descision Matrix'!AS15</calculatedColumnFormula>
    </tableColumn>
  </tableColumns>
  <tableStyleInfo name="TableStyleMedium13" showFirstColumn="1" showLastColumn="0" showRowStripes="0"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A1CE50C-23AC-4D5F-9413-DE94DB3DDEF6}" name="Table462132527512711" displayName="Table462132527512711" ref="I14:L17" totalsRowShown="0" headerRowDxfId="332" dataDxfId="331" tableBorderDxfId="330">
  <tableColumns count="4">
    <tableColumn id="1" xr3:uid="{9EED8CBA-43EB-4723-81CA-D457152E0E98}" name=" " dataDxfId="329"/>
    <tableColumn id="2" xr3:uid="{A1256618-8C9D-49E5-AC73-A312F9608AEF}" name="I" dataDxfId="328">
      <calculatedColumnFormula>'Descision Matrix'!AW15</calculatedColumnFormula>
    </tableColumn>
    <tableColumn id="3" xr3:uid="{45D45D1C-22E4-4A09-9FD9-EC4AC4C4DB43}" name="B" dataDxfId="327" dataCellStyle="Accent3">
      <calculatedColumnFormula>'Descision Matrix'!AX15</calculatedColumnFormula>
    </tableColumn>
    <tableColumn id="4" xr3:uid="{7AA09486-EBD4-4B38-A392-FC05605AC46F}" name="E" dataDxfId="326" dataCellStyle="20% - Accent5">
      <calculatedColumnFormula>'Descision Matrix'!AY15</calculatedColumnFormula>
    </tableColumn>
  </tableColumns>
  <tableStyleInfo name="TableStyleMedium13" showFirstColumn="1" showLastColumn="0" showRowStripes="0"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92CBA65-A302-42D8-AAFC-275D68B73B4A}" name="Table462637578012812" displayName="Table462637578012812" ref="O14:R17" totalsRowShown="0" headerRowDxfId="325" dataDxfId="324" tableBorderDxfId="323">
  <tableColumns count="4">
    <tableColumn id="1" xr3:uid="{B3386A60-F720-48A1-8D9C-D5E5340599F6}" name=" " dataDxfId="322"/>
    <tableColumn id="2" xr3:uid="{AB1DFD94-EF48-47B7-B23B-F23F2716FA78}" name="I" dataDxfId="321">
      <calculatedColumnFormula>'Descision Matrix'!BC15</calculatedColumnFormula>
    </tableColumn>
    <tableColumn id="3" xr3:uid="{22ED7724-B068-4619-94AA-A486A7C03E79}" name="B" dataDxfId="320" dataCellStyle="Accent3">
      <calculatedColumnFormula>'Descision Matrix'!BD15</calculatedColumnFormula>
    </tableColumn>
    <tableColumn id="4" xr3:uid="{7F9C5CF9-E552-46DE-9777-AD174EEA92C7}" name="E" dataDxfId="319" dataCellStyle="20% - Accent5">
      <calculatedColumnFormula>'Descision Matrix'!BE15</calculatedColumnFormula>
    </tableColumn>
  </tableColumns>
  <tableStyleInfo name="TableStyleMedium13" showFirstColumn="1" showLastColumn="0" showRowStripes="0"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615697F-9E21-45AC-9C4B-42581D698FC0}" name="Table46542659912913" displayName="Table46542659912913" ref="C19:F22" totalsRowShown="0" headerRowDxfId="318" dataDxfId="317" tableBorderDxfId="316">
  <tableColumns count="4">
    <tableColumn id="1" xr3:uid="{E7DE6E4E-1095-44B0-B31F-6B6144606A90}" name=" " dataDxfId="315"/>
    <tableColumn id="2" xr3:uid="{88B7FB85-AA88-469C-8696-2A2517CA6F0C}" name="I" dataDxfId="314">
      <calculatedColumnFormula>'Descision Matrix'!AQ21</calculatedColumnFormula>
    </tableColumn>
    <tableColumn id="3" xr3:uid="{1BD7AC78-06AD-4D70-A311-F2BCF1F70A65}" name="B" dataDxfId="313" dataCellStyle="Accent3">
      <calculatedColumnFormula>'Descision Matrix'!AR21</calculatedColumnFormula>
    </tableColumn>
    <tableColumn id="4" xr3:uid="{D0A6E4B7-2A41-433B-9325-4AB6600DB659}" name="E" dataDxfId="312" dataCellStyle="20% - Accent5">
      <calculatedColumnFormula>'Descision Matrix'!AS21</calculatedColumnFormula>
    </tableColumn>
  </tableColumns>
  <tableStyleInfo name="TableStyleMedium13" showFirstColumn="1" showLastColumn="0" showRowStripes="0"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2B46E7A-F4EC-4E9A-B442-2391A4D67702}" name="Table4678436610013014" displayName="Table4678436610013014" ref="C24:F27" totalsRowShown="0" headerRowDxfId="311" dataDxfId="310" tableBorderDxfId="309">
  <tableColumns count="4">
    <tableColumn id="1" xr3:uid="{4CF28BD4-CEAC-4130-A61B-FF7ACCF41991}" name=" " dataDxfId="308"/>
    <tableColumn id="2" xr3:uid="{495907A4-EDBB-4F24-AF90-0C0DFF62F63F}" name="I" dataDxfId="307">
      <calculatedColumnFormula>'Descision Matrix'!AQ27</calculatedColumnFormula>
    </tableColumn>
    <tableColumn id="3" xr3:uid="{EDC0270E-5473-4AB8-AB41-16DEB744AD2F}" name="B" dataDxfId="306" dataCellStyle="Accent3">
      <calculatedColumnFormula>'Descision Matrix'!AR27</calculatedColumnFormula>
    </tableColumn>
    <tableColumn id="4" xr3:uid="{B995BCF9-E8A4-4F62-9580-B755E72B461F}" name="E" dataDxfId="305" dataCellStyle="20% - Accent5">
      <calculatedColumnFormula>'Descision Matrix'!AS27</calculatedColumnFormula>
    </tableColumn>
  </tableColumns>
  <tableStyleInfo name="TableStyleMedium13" showFirstColumn="1" showLastColumn="0" showRowStripes="0"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844F2C7-87CB-4429-B5A6-8E9B6167AF2F}" name="Table462031517410113115" displayName="Table462031517410113115" ref="I19:L22" totalsRowShown="0" headerRowDxfId="304" dataDxfId="303" tableBorderDxfId="302">
  <tableColumns count="4">
    <tableColumn id="1" xr3:uid="{109069E1-3047-49DA-967F-AC702CE3F5A7}" name=" " dataDxfId="301"/>
    <tableColumn id="2" xr3:uid="{ECE9622B-A2F4-4062-9EFA-5F59089FA0F9}" name="I" dataDxfId="300">
      <calculatedColumnFormula>'Descision Matrix'!AW21</calculatedColumnFormula>
    </tableColumn>
    <tableColumn id="3" xr3:uid="{7E0237F3-63C6-4725-A638-2B98D791B258}" name="B" dataDxfId="299" dataCellStyle="Accent3">
      <calculatedColumnFormula>'Descision Matrix'!AX21</calculatedColumnFormula>
    </tableColumn>
    <tableColumn id="4" xr3:uid="{19237132-8E6C-4E81-8F82-49DEADBA19F9}" name="E" dataDxfId="298" dataCellStyle="20% - Accent5">
      <calculatedColumnFormula>'Descision Matrix'!AY21</calculatedColumnFormula>
    </tableColumn>
  </tableColumns>
  <tableStyleInfo name="TableStyleMedium13" showFirstColumn="1" showLastColumn="0" showRowStripes="0"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1F87311-4DE6-4F61-931B-8EDC850900F8}" name="Table462132527510213216" displayName="Table462132527510213216" ref="I24:L27" totalsRowShown="0" headerRowDxfId="297" dataDxfId="296" tableBorderDxfId="295">
  <tableColumns count="4">
    <tableColumn id="1" xr3:uid="{E1D087FF-A378-47DA-8908-78373EC008D7}" name=" " dataDxfId="294"/>
    <tableColumn id="2" xr3:uid="{204805DF-1B7B-4AD1-A79F-9401E0E97F9C}" name="I" dataDxfId="293">
      <calculatedColumnFormula>'Descision Matrix'!AW27</calculatedColumnFormula>
    </tableColumn>
    <tableColumn id="3" xr3:uid="{5C3B449B-FDCB-4F08-AE8B-C3B1E5CD052D}" name="B" dataDxfId="292" dataCellStyle="Accent3">
      <calculatedColumnFormula>'Descision Matrix'!AX27</calculatedColumnFormula>
    </tableColumn>
    <tableColumn id="4" xr3:uid="{03F0365B-CBF4-4C09-8D7E-E2ABC2A26576}" name="E" dataDxfId="291" dataCellStyle="20% - Accent5">
      <calculatedColumnFormula>'Descision Matrix'!AY27</calculatedColumnFormula>
    </tableColumn>
  </tableColumns>
  <tableStyleInfo name="TableStyleMedium13" showFirstColumn="1" showLastColumn="0" showRowStripes="0"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22EAB4B-76B0-4EE7-A5C9-C18E05517B12}" name="Table462536567910313317" displayName="Table462536567910313317" ref="O19:R22" totalsRowShown="0" headerRowDxfId="290" dataDxfId="289" tableBorderDxfId="288">
  <tableColumns count="4">
    <tableColumn id="1" xr3:uid="{818DBEDC-68F1-4077-942C-23D930ACC56A}" name=" " dataDxfId="287"/>
    <tableColumn id="2" xr3:uid="{2C2D4059-33E1-483B-AB00-99ACF3A9AF7A}" name="I" dataDxfId="286">
      <calculatedColumnFormula>'Descision Matrix'!BC21</calculatedColumnFormula>
    </tableColumn>
    <tableColumn id="3" xr3:uid="{32B5005B-94C2-46B1-86F0-CB47237FD9F2}" name="B" dataDxfId="285" dataCellStyle="Accent3">
      <calculatedColumnFormula>'Descision Matrix'!BD21</calculatedColumnFormula>
    </tableColumn>
    <tableColumn id="4" xr3:uid="{A285E6B5-96DB-4A27-984D-6184536BF5F7}" name="E" dataDxfId="284" dataCellStyle="20% - Accent5">
      <calculatedColumnFormula>'Descision Matrix'!BE21</calculatedColumnFormula>
    </tableColumn>
  </tableColumns>
  <tableStyleInfo name="TableStyleMedium13" showFirstColumn="1" showLastColumn="0" showRowStripes="0"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47099E8-F447-49F4-A93C-76D7A3B2D724}" name="Table462637578010413418" displayName="Table462637578010413418" ref="O24:R27" totalsRowShown="0" headerRowDxfId="283" dataDxfId="282" tableBorderDxfId="281">
  <tableColumns count="4">
    <tableColumn id="1" xr3:uid="{9015D339-EA14-4F8A-8F6C-0CA99456B3F8}" name=" " dataDxfId="280"/>
    <tableColumn id="2" xr3:uid="{0646C4A9-E90D-46E6-93FF-612EB8664717}" name="I" dataDxfId="279">
      <calculatedColumnFormula>'Descision Matrix'!BC27</calculatedColumnFormula>
    </tableColumn>
    <tableColumn id="3" xr3:uid="{AF7371E2-954C-419B-ABC4-E70C16AAE623}" name="B" dataDxfId="278" dataCellStyle="Accent3">
      <calculatedColumnFormula>'Descision Matrix'!BD27</calculatedColumnFormula>
    </tableColumn>
    <tableColumn id="4" xr3:uid="{5665999D-EC49-4E01-BCB3-996E683EBE6E}" name="E" dataDxfId="277" dataCellStyle="20% - Accent5">
      <calculatedColumnFormula>'Descision Matrix'!BE27</calculatedColumnFormula>
    </tableColumn>
  </tableColumns>
  <tableStyleInfo name="TableStyleMedium13" showFirstColumn="1" showLastColumn="0" showRowStripes="0"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EEC2FD1-8566-4EAC-83F1-24464809EB1D}" name="Table465426510513519" displayName="Table465426510513519" ref="C34:F37" totalsRowShown="0" headerRowDxfId="276" dataDxfId="275" tableBorderDxfId="274">
  <tableColumns count="4">
    <tableColumn id="1" xr3:uid="{534FFDD1-4D18-406B-AAB0-8B7283996F8E}" name=" " dataDxfId="273"/>
    <tableColumn id="2" xr3:uid="{14B5BE2B-81BD-4CBA-8061-7F73B0F326E2}" name="I" dataDxfId="272">
      <calculatedColumnFormula>'Descision Matrix'!BJ39</calculatedColumnFormula>
    </tableColumn>
    <tableColumn id="3" xr3:uid="{1889731F-7082-42C1-9799-F5D2ACE655D0}" name="B" dataDxfId="271" dataCellStyle="Accent3">
      <calculatedColumnFormula>'Descision Matrix'!BK39</calculatedColumnFormula>
    </tableColumn>
    <tableColumn id="4" xr3:uid="{94D23ABC-A6AA-4F41-836C-E6E702F76942}" name="E" dataDxfId="270" dataCellStyle="20% - Accent5">
      <calculatedColumnFormula>'Descision Matrix'!BL39</calculatedColumnFormula>
    </tableColumn>
  </tableColumns>
  <tableStyleInfo name="TableStyleMedium13" showFirstColumn="1" showLastColumn="0" showRowStripes="0"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1FACD29-2C75-45B1-9BAD-5B5FEFF2F73E}" name="Table462031517410713620" displayName="Table462031517410713620" ref="I34:L37" totalsRowShown="0" headerRowDxfId="269" dataDxfId="268" tableBorderDxfId="267">
  <tableColumns count="4">
    <tableColumn id="1" xr3:uid="{10FE5F10-D0E8-4FE2-81E9-4151C2C967A7}" name=" " dataDxfId="266"/>
    <tableColumn id="2" xr3:uid="{079057B3-F431-4E4F-9763-12BDA8A2FCBA}" name="I" dataDxfId="265">
      <calculatedColumnFormula>'Descision Matrix'!BP39</calculatedColumnFormula>
    </tableColumn>
    <tableColumn id="3" xr3:uid="{ACB312F5-C52F-43C1-A78D-13766974FD42}" name="B" dataDxfId="264" dataCellStyle="Accent3">
      <calculatedColumnFormula>'Descision Matrix'!BQ39</calculatedColumnFormula>
    </tableColumn>
    <tableColumn id="4" xr3:uid="{6E2C73F7-4A86-436F-93A9-C7372E9ABC6B}" name="E" dataDxfId="263" dataCellStyle="20% - Accent5">
      <calculatedColumnFormula>'Descision Matrix'!BR39</calculatedColumnFormula>
    </tableColumn>
  </tableColumns>
  <tableStyleInfo name="TableStyleMedium13" showFirstColumn="1" showLastColumn="0" showRowStripes="0"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1528B18-0D6C-4CF9-B9D1-C1E9FCA35881}" name="Table462536567910913721" displayName="Table462536567910913721" ref="O34:R37" totalsRowShown="0" headerRowDxfId="262" dataDxfId="261" tableBorderDxfId="260">
  <tableColumns count="4">
    <tableColumn id="1" xr3:uid="{7C2948E4-8D02-46D7-8569-A68D30C2DC03}" name=" " dataDxfId="259"/>
    <tableColumn id="2" xr3:uid="{BEA53A92-88EE-46C3-B5F8-D9E119A2E393}" name="I" dataDxfId="258">
      <calculatedColumnFormula>'Descision Matrix'!BV39</calculatedColumnFormula>
    </tableColumn>
    <tableColumn id="3" xr3:uid="{576FDBA6-8060-41CC-970B-96AB4AADC690}" name="B" dataDxfId="257" dataCellStyle="Accent3">
      <calculatedColumnFormula>'Descision Matrix'!BW39</calculatedColumnFormula>
    </tableColumn>
    <tableColumn id="4" xr3:uid="{F2BE0282-7ECF-403B-A3A5-907FC24FAD59}" name="E" dataDxfId="256" dataCellStyle="20% - Accent5">
      <calculatedColumnFormula>'Descision Matrix'!BX39</calculatedColumnFormula>
    </tableColumn>
  </tableColumns>
  <tableStyleInfo name="TableStyleMedium13" showFirstColumn="1" showLastColumn="0" showRowStripes="0"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A9C3EBD-5DE6-4BF9-8988-A6DE574EE7B1}" name="Table46542658211713822" displayName="Table46542658211713822" ref="C39:F42" totalsRowShown="0" headerRowDxfId="255" dataDxfId="254" tableBorderDxfId="253">
  <tableColumns count="4">
    <tableColumn id="1" xr3:uid="{7D9D49EF-8512-4104-8912-F7BB88798573}" name=" " dataDxfId="252"/>
    <tableColumn id="2" xr3:uid="{99F03A50-0D53-4763-AC4A-488FB7116352}" name="I" dataDxfId="251">
      <calculatedColumnFormula>'Descision Matrix'!BJ45</calculatedColumnFormula>
    </tableColumn>
    <tableColumn id="3" xr3:uid="{48CF5617-D91F-4D76-8D60-82C5FE7FFFEC}" name="B" dataDxfId="250" dataCellStyle="Accent3">
      <calculatedColumnFormula>'Descision Matrix'!BK45</calculatedColumnFormula>
    </tableColumn>
    <tableColumn id="4" xr3:uid="{A01133E4-DCB5-45B7-8BE2-158BD7E2121E}" name="E" dataDxfId="249" dataCellStyle="20% - Accent5">
      <calculatedColumnFormula>'Descision Matrix'!BL45</calculatedColumnFormula>
    </tableColumn>
  </tableColumns>
  <tableStyleInfo name="TableStyleMedium13" showFirstColumn="1" showLastColumn="0" showRowStripes="0"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253A8B9-8527-4D67-BF9E-77346FAE86BD}" name="Table467843668311813923" displayName="Table467843668311813923" ref="C44:F47" totalsRowShown="0" headerRowDxfId="248" dataDxfId="247" tableBorderDxfId="246">
  <tableColumns count="4">
    <tableColumn id="1" xr3:uid="{D66BDE43-F4BC-44F1-BEFC-208EF3A25D09}" name=" " dataDxfId="245"/>
    <tableColumn id="2" xr3:uid="{9A6340E2-1D5E-45B9-AE9E-FE2700CF0BC2}" name="I" dataDxfId="244">
      <calculatedColumnFormula>'Descision Matrix'!X51</calculatedColumnFormula>
    </tableColumn>
    <tableColumn id="3" xr3:uid="{E84894ED-CF3E-4A86-A02C-55F382CCF1C1}" name="B" dataDxfId="243" dataCellStyle="Accent3">
      <calculatedColumnFormula>'Descision Matrix'!Y51</calculatedColumnFormula>
    </tableColumn>
    <tableColumn id="4" xr3:uid="{C4B87D92-0523-45E9-B113-0A013D0CB64A}" name="E" dataDxfId="242" dataCellStyle="20% - Accent5">
      <calculatedColumnFormula>'Descision Matrix'!Z51</calculatedColumnFormula>
    </tableColumn>
  </tableColumns>
  <tableStyleInfo name="TableStyleMedium13" showFirstColumn="1" showLastColumn="0" showRowStripes="0"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B8F0FCB-1F0B-4BC1-AE55-6BD9B1DAC2EB}" name="Table46203151749111914024" displayName="Table46203151749111914024" ref="I39:L42" totalsRowShown="0" headerRowDxfId="241" dataDxfId="240" tableBorderDxfId="239">
  <tableColumns count="4">
    <tableColumn id="1" xr3:uid="{61ECC956-DE89-4D1C-84D9-469B93ED447E}" name=" " dataDxfId="238"/>
    <tableColumn id="2" xr3:uid="{3A95D1E2-82D7-496B-BEFE-1D8941434EE5}" name="I" dataDxfId="237">
      <calculatedColumnFormula>'Descision Matrix'!BP45</calculatedColumnFormula>
    </tableColumn>
    <tableColumn id="3" xr3:uid="{192C9948-519B-4936-A9E7-8B76704E806B}" name="B" dataDxfId="236" dataCellStyle="Accent3">
      <calculatedColumnFormula>'Descision Matrix'!BQ45</calculatedColumnFormula>
    </tableColumn>
    <tableColumn id="4" xr3:uid="{8966481E-8990-4585-BEC9-A81EAB069337}" name="E" dataDxfId="235" dataCellStyle="20% - Accent5">
      <calculatedColumnFormula>'Descision Matrix'!BR45</calculatedColumnFormula>
    </tableColumn>
  </tableColumns>
  <tableStyleInfo name="TableStyleMedium13" showFirstColumn="1" showLastColumn="0" showRowStripes="0"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F259BEF-5F32-43F0-B4F2-4EE7340F967E}" name="Table46213252759212014125" displayName="Table46213252759212014125" ref="I44:L47" totalsRowShown="0" headerRowDxfId="234" dataDxfId="233" tableBorderDxfId="232">
  <tableColumns count="4">
    <tableColumn id="1" xr3:uid="{D3B77F80-00A8-4866-93FC-76E92072E53A}" name=" " dataDxfId="231"/>
    <tableColumn id="2" xr3:uid="{5373A697-E417-46A7-AA3F-D45DEF2683E2}" name="I" dataDxfId="230">
      <calculatedColumnFormula>'Descision Matrix'!AD51</calculatedColumnFormula>
    </tableColumn>
    <tableColumn id="3" xr3:uid="{737CF106-B8A4-44AC-AC79-1D8C4A8722FB}" name="B" dataDxfId="229" dataCellStyle="Accent3">
      <calculatedColumnFormula>'Descision Matrix'!AE51</calculatedColumnFormula>
    </tableColumn>
    <tableColumn id="4" xr3:uid="{3AA62200-1688-4B8B-89E0-F191E8471E35}" name="E" dataDxfId="228" dataCellStyle="20% - Accent5">
      <calculatedColumnFormula>'Descision Matrix'!AF51</calculatedColumnFormula>
    </tableColumn>
  </tableColumns>
  <tableStyleInfo name="TableStyleMedium13" showFirstColumn="1" showLastColumn="0" showRowStripes="0"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F384103-7E3A-4DF8-88A6-58B3F92EECED}" name="Table46253656799612114226" displayName="Table46253656799612114226" ref="O39:R42" totalsRowShown="0" headerRowDxfId="227" dataDxfId="226" tableBorderDxfId="225">
  <tableColumns count="4">
    <tableColumn id="1" xr3:uid="{2D171D9D-C755-4E44-BF2E-7E4D662AB744}" name=" " dataDxfId="224"/>
    <tableColumn id="2" xr3:uid="{7D4D8984-18C8-47BE-A344-A7485FA31933}" name="I" dataDxfId="223">
      <calculatedColumnFormula>'Descision Matrix'!BV45</calculatedColumnFormula>
    </tableColumn>
    <tableColumn id="3" xr3:uid="{E3459395-66FF-455F-9F2B-15A2BB611DEB}" name="B" dataDxfId="222" dataCellStyle="Accent3">
      <calculatedColumnFormula>'Descision Matrix'!BW45</calculatedColumnFormula>
    </tableColumn>
    <tableColumn id="4" xr3:uid="{735647B3-4D14-4E20-B609-97B45D96BAED}" name="E" dataDxfId="221" dataCellStyle="20% - Accent5">
      <calculatedColumnFormula>'Descision Matrix'!BX45</calculatedColumnFormula>
    </tableColumn>
  </tableColumns>
  <tableStyleInfo name="TableStyleMedium13" showFirstColumn="1" showLastColumn="0" showRowStripes="0"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0AF85F9-F365-4576-9ACC-3B6DA460F41D}" name="Table46263757809712214327" displayName="Table46263757809712214327" ref="O44:R47" totalsRowShown="0" headerRowDxfId="220" dataDxfId="219" tableBorderDxfId="218">
  <tableColumns count="4">
    <tableColumn id="1" xr3:uid="{AE453449-EB48-49A2-9C86-D75DD934D361}" name=" " dataDxfId="217"/>
    <tableColumn id="2" xr3:uid="{4EE4F451-30E4-44E5-A5B5-0C97DA63A8AF}" name="I" dataDxfId="216">
      <calculatedColumnFormula>'Descision Matrix'!AJ51</calculatedColumnFormula>
    </tableColumn>
    <tableColumn id="3" xr3:uid="{34B03325-10E0-4A63-B8F5-B7AF27291C42}" name="B" dataDxfId="215" dataCellStyle="Accent3">
      <calculatedColumnFormula>'Descision Matrix'!AK51</calculatedColumnFormula>
    </tableColumn>
    <tableColumn id="4" xr3:uid="{11AF5014-C1C2-464F-86B3-BE3EF9C09426}" name="E" dataDxfId="214" dataCellStyle="20% - Accent5">
      <calculatedColumnFormula>'Descision Matrix'!AL51</calculatedColumnFormula>
    </tableColumn>
  </tableColumns>
  <tableStyleInfo name="TableStyleMedium13" showFirstColumn="1" showLastColumn="0" showRowStripes="0"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BB1301C-CC29-4FC2-8F82-EE2015C1397B}" name="Table46542658214428" displayName="Table46542658214428" ref="C4:F7" totalsRowShown="0" headerRowDxfId="213" dataDxfId="212">
  <tableColumns count="4">
    <tableColumn id="1" xr3:uid="{5D967A58-E893-48E3-8976-9380BEA2244F}" name=" " dataDxfId="211"/>
    <tableColumn id="2" xr3:uid="{06EED663-6597-408A-AB13-6CA068ECD556}" name="I" dataDxfId="210">
      <calculatedColumnFormula>'Descision Matrix'!BJ3</calculatedColumnFormula>
    </tableColumn>
    <tableColumn id="3" xr3:uid="{0F28E5C1-2623-46F2-BB12-EDA42DBEAAEC}" name="B" dataDxfId="209" dataCellStyle="Accent3">
      <calculatedColumnFormula>'Descision Matrix'!BK3</calculatedColumnFormula>
    </tableColumn>
    <tableColumn id="4" xr3:uid="{E0CD7C6B-AA92-48D5-AAD4-73354E59DCBB}" name="E" dataDxfId="208" dataCellStyle="20% - Accent5">
      <calculatedColumnFormula>'Descision Matrix'!BL3</calculatedColumnFormula>
    </tableColumn>
  </tableColumns>
  <tableStyleInfo name="TableStyleMedium13" showFirstColumn="1" showLastColumn="0" showRowStripes="0"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C605A7F-6C3D-4878-AC53-276BD4B92B7F}" name="Table467843668314529" displayName="Table467843668314529" ref="C9:F12" totalsRowShown="0" headerRowDxfId="207" dataDxfId="206" tableBorderDxfId="205">
  <tableColumns count="4">
    <tableColumn id="1" xr3:uid="{341EF3D7-32EA-4435-8978-1876BC7A43F1}" name=" " dataDxfId="204"/>
    <tableColumn id="2" xr3:uid="{F1C5B8FA-E946-40F9-AF44-6786A468ED4E}" name="I" dataDxfId="203">
      <calculatedColumnFormula>'Descision Matrix'!BJ9</calculatedColumnFormula>
    </tableColumn>
    <tableColumn id="3" xr3:uid="{6F98D351-3D4B-4A13-BD90-6AD224E3509A}" name="B" dataDxfId="202">
      <calculatedColumnFormula>'Descision Matrix'!BK9</calculatedColumnFormula>
    </tableColumn>
    <tableColumn id="4" xr3:uid="{89A19387-14A6-485C-A608-CE2A3168B91A}" name="E" dataDxfId="201">
      <calculatedColumnFormula>'Descision Matrix'!BL9</calculatedColumnFormula>
    </tableColumn>
  </tableColumns>
  <tableStyleInfo name="TableStyleMedium13" showFirstColumn="1" showLastColumn="0" showRowStripes="0"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C730B1F-DBB4-4137-B012-99850400227A}" name="Table46203151749114630" displayName="Table46203151749114630" ref="I4:L7" totalsRowShown="0" headerRowDxfId="200" dataDxfId="199">
  <tableColumns count="4">
    <tableColumn id="1" xr3:uid="{A536CBA0-068E-4AAE-944B-62BB6E525E23}" name=" " dataDxfId="198"/>
    <tableColumn id="2" xr3:uid="{27EB0BB1-CFDA-440E-B58C-2F17F9DB8D93}" name="I" dataDxfId="197">
      <calculatedColumnFormula>'Descision Matrix'!BP3</calculatedColumnFormula>
    </tableColumn>
    <tableColumn id="3" xr3:uid="{6153445A-B844-46E6-9AA2-9CB67D9BAEC9}" name="B" dataDxfId="196" dataCellStyle="Accent3">
      <calculatedColumnFormula>'Descision Matrix'!BQ3</calculatedColumnFormula>
    </tableColumn>
    <tableColumn id="4" xr3:uid="{76D91D65-F56D-4951-B106-B8B7C8BCCB1D}" name="E" dataDxfId="195" dataCellStyle="20% - Accent5">
      <calculatedColumnFormula>'Descision Matrix'!BR3</calculatedColumnFormula>
    </tableColumn>
  </tableColumns>
  <tableStyleInfo name="TableStyleMedium13" showFirstColumn="1" showLastColumn="0" showRowStripes="0"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5190913-B447-48E6-9C54-059C88DD9EB5}" name="Table46213252759214733" displayName="Table46213252759214733" ref="I9:L12" totalsRowShown="0" headerRowDxfId="194" dataDxfId="193" tableBorderDxfId="192">
  <tableColumns count="4">
    <tableColumn id="1" xr3:uid="{22009DD6-01D6-438D-B094-6E1B286BB6D6}" name=" " dataDxfId="191"/>
    <tableColumn id="2" xr3:uid="{378D21A4-146D-446B-B544-2F332DF52A19}" name="I" dataDxfId="190">
      <calculatedColumnFormula>'Descision Matrix'!BP9</calculatedColumnFormula>
    </tableColumn>
    <tableColumn id="3" xr3:uid="{E568D28D-13C7-4CBD-8131-5F0CD386C5A8}" name="B" dataDxfId="189" dataCellStyle="Accent3">
      <calculatedColumnFormula>'Descision Matrix'!BQ9</calculatedColumnFormula>
    </tableColumn>
    <tableColumn id="4" xr3:uid="{6C5D8639-6F66-4EDB-B337-09FE9AE9EEC4}" name="E" dataDxfId="188" dataCellStyle="20% - Accent5">
      <calculatedColumnFormula>'Descision Matrix'!BR9</calculatedColumnFormula>
    </tableColumn>
  </tableColumns>
  <tableStyleInfo name="TableStyleMedium13" showFirstColumn="1" showLastColumn="0" showRowStripes="0"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4E1068-8F2C-45F8-B424-AC2E20AEC0EF}" name="Table46253656799614834" displayName="Table46253656799614834" ref="O4:R7" totalsRowShown="0" headerRowDxfId="187" dataDxfId="186">
  <tableColumns count="4">
    <tableColumn id="1" xr3:uid="{599BD426-B418-4A00-9A4D-730970749445}" name=" " dataDxfId="185"/>
    <tableColumn id="2" xr3:uid="{5FEFF199-71A4-4718-948A-704314AD07AC}" name="I" dataDxfId="184">
      <calculatedColumnFormula>'Descision Matrix'!BV3</calculatedColumnFormula>
    </tableColumn>
    <tableColumn id="3" xr3:uid="{656B669B-2197-45E8-96F9-37F6861786DA}" name="B" dataDxfId="183" dataCellStyle="Accent3">
      <calculatedColumnFormula>'Descision Matrix'!BW3</calculatedColumnFormula>
    </tableColumn>
    <tableColumn id="4" xr3:uid="{6AA39BEE-D84F-4DE3-ACF3-B0CF864C6ED1}" name="E" dataDxfId="182" dataCellStyle="20% - Accent5">
      <calculatedColumnFormula>'Descision Matrix'!BX3</calculatedColumnFormula>
    </tableColumn>
  </tableColumns>
  <tableStyleInfo name="TableStyleMedium13" showFirstColumn="1" showLastColumn="0" showRowStripes="0"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117F2F1-DBBF-436B-858C-93BAA6C35808}" name="Table46263757809714935" displayName="Table46263757809714935" ref="O9:R12" totalsRowShown="0" headerRowDxfId="181" dataDxfId="180" tableBorderDxfId="179">
  <tableColumns count="4">
    <tableColumn id="1" xr3:uid="{04327F23-8BF7-4907-BCD4-50E4D6D20B36}" name=" " dataDxfId="178"/>
    <tableColumn id="2" xr3:uid="{979E2400-2C2D-4373-AECD-28D3C28FEFB7}" name="I" dataDxfId="177">
      <calculatedColumnFormula>'Descision Matrix'!BV9</calculatedColumnFormula>
    </tableColumn>
    <tableColumn id="3" xr3:uid="{D4D7ABFB-94E3-433F-A4F6-FE8B529AD978}" name="B" dataDxfId="176" dataCellStyle="Accent3">
      <calculatedColumnFormula>'Descision Matrix'!BW9</calculatedColumnFormula>
    </tableColumn>
    <tableColumn id="4" xr3:uid="{7A59E4F3-9093-4461-8510-E70B15FC1046}" name="E" dataDxfId="175" dataCellStyle="20% - Accent5">
      <calculatedColumnFormula>'Descision Matrix'!BX9</calculatedColumnFormula>
    </tableColumn>
  </tableColumns>
  <tableStyleInfo name="TableStyleMedium13" showFirstColumn="1" showLastColumn="0" showRowStripes="0"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CB9CEE9-FB60-4186-AC17-06238020E62F}" name="Table467843668311813916138" displayName="Table467843668311813916138" ref="V9:Y12" totalsRowShown="0" headerRowDxfId="174" dataDxfId="173" tableBorderDxfId="172">
  <tableColumns count="4">
    <tableColumn id="1" xr3:uid="{17EA554E-50E2-497B-8092-7984E3804CC0}" name=" " dataDxfId="171"/>
    <tableColumn id="2" xr3:uid="{20FD755F-7DD5-4006-9094-A8DB471BC607}" name="I" dataDxfId="170"/>
    <tableColumn id="3" xr3:uid="{691CD87A-0FC9-4665-8329-EE799FD79C16}" name="B" dataDxfId="169"/>
    <tableColumn id="4" xr3:uid="{448F4973-1CF8-4F29-B409-235303E39FB7}" name="E" dataDxfId="168"/>
  </tableColumns>
  <tableStyleInfo name="TableStyleMedium13" showFirstColumn="1" showLastColumn="0" showRowStripes="0"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4A2EBC83-9E7E-4A8A-A88F-99098BEDCD58}" name="Table46213252759212014116239" displayName="Table46213252759212014116239" ref="AB9:AE12" totalsRowShown="0" headerRowDxfId="167" dataDxfId="166" tableBorderDxfId="165">
  <tableColumns count="4">
    <tableColumn id="1" xr3:uid="{BC9BEF49-39A1-4899-89E7-B5C407F0EEF7}" name=" " dataDxfId="164"/>
    <tableColumn id="2" xr3:uid="{36791ED5-0014-473C-99A0-0AA08394CD69}" name="I" dataDxfId="163"/>
    <tableColumn id="3" xr3:uid="{AA3ECB83-0E42-4AA2-B540-8891D299AB92}" name="B" dataDxfId="162" dataCellStyle="Accent3"/>
    <tableColumn id="4" xr3:uid="{AF9647FD-6C94-4B01-85C0-219A54312528}" name="E" dataDxfId="161" dataCellStyle="60% - Accent5"/>
  </tableColumns>
  <tableStyleInfo name="TableStyleMedium13" showFirstColumn="1" showLastColumn="0" showRowStripes="0"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617EE94-3887-4F89-B332-DEAE6BE44B99}" name="Table46263757809712214316340" displayName="Table46263757809712214316340" ref="AH9:AK12" totalsRowShown="0" headerRowDxfId="160" dataDxfId="159" tableBorderDxfId="158">
  <tableColumns count="4">
    <tableColumn id="1" xr3:uid="{172374DD-0F91-423B-B50D-2064C7FA442E}" name=" " dataDxfId="157"/>
    <tableColumn id="2" xr3:uid="{A98B9D24-8575-4019-AAE9-520EC4007B9F}" name="I" dataDxfId="156"/>
    <tableColumn id="3" xr3:uid="{2F7EE432-A7D4-460B-B88E-81EA6EBEA009}" name="B" dataDxfId="155" dataCellStyle="Accent3"/>
    <tableColumn id="4" xr3:uid="{4A5719D3-0189-44AB-913C-3A6AB7547A1C}" name="E" dataDxfId="154" dataCellStyle="60% - Accent5"/>
  </tableColumns>
  <tableStyleInfo name="TableStyleMedium13" showFirstColumn="1" showLastColumn="0" showRowStripes="0"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4C1C8A7-328D-4494-BECE-D5183284EC5D}" name="Table467843668311813916441" displayName="Table467843668311813916441" ref="V14:Y17" totalsRowShown="0" headerRowDxfId="153" dataDxfId="152" tableBorderDxfId="151">
  <tableColumns count="4">
    <tableColumn id="1" xr3:uid="{B3839268-63F6-4253-BB2A-4A3298BD73AF}" name=" " dataDxfId="150"/>
    <tableColumn id="2" xr3:uid="{58A91185-A1E3-431E-89EA-B1B33E5566BE}" name="I" dataDxfId="149"/>
    <tableColumn id="3" xr3:uid="{B95663DB-ABD3-4A9A-9B06-DB0916464471}" name="B" dataDxfId="148" dataCellStyle="Accent3"/>
    <tableColumn id="4" xr3:uid="{78F7AA48-EBC6-4A11-95A4-D81F15CF6695}" name="E" dataDxfId="147" dataCellStyle="60% - Accent5"/>
  </tableColumns>
  <tableStyleInfo name="TableStyleMedium13" showFirstColumn="1" showLastColumn="0" showRowStripes="0"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41755E8-1AB1-4F55-B174-F456132711C0}" name="Table46213252759212014116544" displayName="Table46213252759212014116544" ref="AB14:AE17" totalsRowShown="0" headerRowDxfId="146" dataDxfId="145" tableBorderDxfId="144">
  <tableColumns count="4">
    <tableColumn id="1" xr3:uid="{4AD2C040-C623-4EE8-A474-630E6FC50A65}" name=" " dataDxfId="143"/>
    <tableColumn id="2" xr3:uid="{96C23084-1DB5-4098-B32D-32633D34691B}" name="I" dataDxfId="142"/>
    <tableColumn id="3" xr3:uid="{F9C3CB22-D212-41F5-916C-884D76A9A15E}" name="B" dataDxfId="141" dataCellStyle="Accent3"/>
    <tableColumn id="4" xr3:uid="{62AC4F53-8C43-4E2D-90FD-6B1869E8EC11}" name="E" dataDxfId="140" dataCellStyle="60% - Accent5"/>
  </tableColumns>
  <tableStyleInfo name="TableStyleMedium13" showFirstColumn="1" showLastColumn="0" showRowStripes="0"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4CA4E7D8-0C86-4DCD-AC38-362BF67A323D}" name="Table46263757809712214316645" displayName="Table46263757809712214316645" ref="AH14:AK17" totalsRowShown="0" headerRowDxfId="139" dataDxfId="138" tableBorderDxfId="137">
  <tableColumns count="4">
    <tableColumn id="1" xr3:uid="{D4350AEC-B22D-4ACC-87D0-BD85E6110278}" name=" " dataDxfId="136"/>
    <tableColumn id="2" xr3:uid="{34D313E1-2BA5-45BB-ABB3-4F91E1B1CEE7}" name="I" dataDxfId="135"/>
    <tableColumn id="3" xr3:uid="{EB3FDF94-3A6A-445E-A36C-E5906D842F3C}" name="B" dataDxfId="134" dataCellStyle="Accent3"/>
    <tableColumn id="4" xr3:uid="{833C2F75-9BB6-4112-81A6-08C64708B9AB}" name="E" dataDxfId="133" dataCellStyle="60% - Accent5"/>
  </tableColumns>
  <tableStyleInfo name="TableStyleMedium13" showFirstColumn="1" showLastColumn="0" showRowStripes="0"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B54CF9E-3DC9-4DE5-AD94-67733A9D1908}" name="Table467843668311813916746" displayName="Table467843668311813916746" ref="V24:Y27" totalsRowShown="0" headerRowDxfId="132" dataDxfId="131" tableBorderDxfId="130">
  <tableColumns count="4">
    <tableColumn id="1" xr3:uid="{E3065AB3-4395-4E6D-9313-7C460B0B0671}" name=" " dataDxfId="129"/>
    <tableColumn id="2" xr3:uid="{89FF84D6-6857-44DB-9772-68AF4424823F}" name="I" dataDxfId="128"/>
    <tableColumn id="3" xr3:uid="{D7D68314-FB5A-484C-B93E-6B68BEFB5C11}" name="B" dataDxfId="127" dataCellStyle="Accent3"/>
    <tableColumn id="4" xr3:uid="{83864BF1-F207-42F2-B114-452291DCE23B}" name="E" dataDxfId="126" dataCellStyle="60% - Accent5"/>
  </tableColumns>
  <tableStyleInfo name="TableStyleMedium13" showFirstColumn="1" showLastColumn="0" showRowStripes="0"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1F931046-E0F0-42C8-83B2-F2CA101EA473}" name="Table46213252759212014116847" displayName="Table46213252759212014116847" ref="AB24:AE27" totalsRowShown="0" headerRowDxfId="125" dataDxfId="124" tableBorderDxfId="123">
  <tableColumns count="4">
    <tableColumn id="1" xr3:uid="{97F75495-38F0-4CA6-AE1F-0F6F54FB892B}" name=" " dataDxfId="122"/>
    <tableColumn id="2" xr3:uid="{70F24109-0C0B-4337-8EEF-7FE95AF57E90}" name="I" dataDxfId="121"/>
    <tableColumn id="3" xr3:uid="{D25B7008-A3BF-4F32-90A0-D91124363BAB}" name="B" dataDxfId="120"/>
    <tableColumn id="4" xr3:uid="{DB11EE95-C6EB-4526-A13D-5A150527B983}" name="E" dataDxfId="119"/>
  </tableColumns>
  <tableStyleInfo name="TableStyleMedium13" showFirstColumn="1" showLastColumn="0" showRowStripes="0"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AE8A95A-63D2-434C-85A7-B3D0A2FA4381}" name="Table46263757809712214316948" displayName="Table46263757809712214316948" ref="AH24:AK27" totalsRowShown="0" headerRowDxfId="118" dataDxfId="117" tableBorderDxfId="116">
  <tableColumns count="4">
    <tableColumn id="1" xr3:uid="{9F2A72A4-4CF2-402C-BBD4-8C7232E3B9AD}" name=" " dataDxfId="115"/>
    <tableColumn id="2" xr3:uid="{F8937053-E5FC-4390-B1AC-841D88E2BADC}" name="I" dataDxfId="114"/>
    <tableColumn id="3" xr3:uid="{09DA7878-107A-4559-9851-FDCFC5D96D05}" name="B" dataDxfId="113" dataCellStyle="Accent3"/>
    <tableColumn id="4" xr3:uid="{41DFDE0A-1479-41CE-A7A2-8AFCF21C7A5A}" name="E" dataDxfId="112" dataCellStyle="60% - Accent5"/>
  </tableColumns>
  <tableStyleInfo name="TableStyleMedium13" showFirstColumn="1" showLastColumn="0" showRowStripes="0"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B86B8C4-C88F-4EB0-9DB5-6432FF5DCAEB}" name="Table467843668311813917049" displayName="Table467843668311813917049" ref="V29:Y32" totalsRowShown="0" headerRowDxfId="111" dataDxfId="110" tableBorderDxfId="109">
  <tableColumns count="4">
    <tableColumn id="1" xr3:uid="{B1DA8A74-2483-4A56-A3DF-32EC4C773A5B}" name=" " dataDxfId="108"/>
    <tableColumn id="2" xr3:uid="{91EFA009-40C4-4E30-81CC-0FED75BDA422}" name="I" dataDxfId="107"/>
    <tableColumn id="3" xr3:uid="{D53D7BF2-CA19-419E-BB70-1F2F369C4C25}" name="B" dataDxfId="106" dataCellStyle="Accent3"/>
    <tableColumn id="4" xr3:uid="{A07441C9-BA7E-4259-9068-67BA17855DA8}" name="E" dataDxfId="105" dataCellStyle="60% - Accent5"/>
  </tableColumns>
  <tableStyleInfo name="TableStyleMedium13" showFirstColumn="1" showLastColumn="0" showRowStripes="0"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9410862-0A10-4955-AACA-DFF468D745A7}" name="Table46213252759212014117150" displayName="Table46213252759212014117150" ref="AB29:AE32" totalsRowShown="0" headerRowDxfId="104" dataDxfId="103" tableBorderDxfId="102">
  <tableColumns count="4">
    <tableColumn id="1" xr3:uid="{2A53106A-C7AD-4AEC-BCCF-F84FCF50BD38}" name=" " dataDxfId="101"/>
    <tableColumn id="2" xr3:uid="{2F122E3F-A66A-44F6-9FF2-B863D79DB66B}" name="I" dataDxfId="100"/>
    <tableColumn id="3" xr3:uid="{EB22B481-BC40-494B-A064-65CCD4252A78}" name="B" dataDxfId="99" dataCellStyle="Accent3"/>
    <tableColumn id="4" xr3:uid="{D3291564-D1F3-410F-A72E-6A627CCB373F}" name="E" dataDxfId="98" dataCellStyle="60% - Accent5"/>
  </tableColumns>
  <tableStyleInfo name="TableStyleMedium13" showFirstColumn="1" showLastColumn="0" showRowStripes="0"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B62AFC7-3943-49E0-8E9B-9655E271D402}" name="Table46263757809712214317253" displayName="Table46263757809712214317253" ref="AH29:AK32" totalsRowShown="0" headerRowDxfId="97" dataDxfId="96" tableBorderDxfId="95">
  <tableColumns count="4">
    <tableColumn id="1" xr3:uid="{9E63C57D-9241-4345-8232-A84D03A8028D}" name=" " dataDxfId="94"/>
    <tableColumn id="2" xr3:uid="{3023D2DC-05D7-4CAA-B996-7B477E84027B}" name="I" dataDxfId="93"/>
    <tableColumn id="3" xr3:uid="{5153756E-9677-4936-99BA-22502D809C90}" name="B" dataDxfId="92" dataCellStyle="Accent3"/>
    <tableColumn id="4" xr3:uid="{1058E7EC-1D62-43B6-8D3C-448402343239}" name="E" dataDxfId="91" dataCellStyle="60% - Accent5"/>
  </tableColumns>
  <tableStyleInfo name="TableStyleMedium13" showFirstColumn="1" showLastColumn="0" showRowStripes="0"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FF1B299-A4DD-4953-9EA8-4B982EEB86A9}" name="Table467843668311813917654" displayName="Table467843668311813917654" ref="V44:Y47" totalsRowShown="0" headerRowDxfId="90" dataDxfId="89" tableBorderDxfId="88">
  <tableColumns count="4">
    <tableColumn id="1" xr3:uid="{FA0F0BC2-DA53-48F0-85B5-F7B291E56E32}" name=" " dataDxfId="87"/>
    <tableColumn id="2" xr3:uid="{3AE204FF-5B73-4B0F-8062-CA20B2382B1F}" name="I" dataDxfId="86"/>
    <tableColumn id="3" xr3:uid="{9C2BD9EA-E5C2-4F8D-BC31-63E3EB715CBD}" name="B" dataDxfId="85" dataCellStyle="Accent3"/>
    <tableColumn id="4" xr3:uid="{4E0808E8-95A3-4273-AB32-02C3EEC365C8}" name="E" dataDxfId="84" dataCellStyle="60% - Accent5"/>
  </tableColumns>
  <tableStyleInfo name="TableStyleMedium13" showFirstColumn="1" showLastColumn="0" showRowStripes="0"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3E67F96-4280-4CDC-A564-93A17E9819B5}" name="Table46213252759212014117755" displayName="Table46213252759212014117755" ref="AB44:AE47" totalsRowShown="0" headerRowDxfId="83" dataDxfId="82" tableBorderDxfId="81">
  <tableColumns count="4">
    <tableColumn id="1" xr3:uid="{F19C8BFC-2A95-45AF-A8E3-4033CDA2EC4C}" name=" " dataDxfId="80"/>
    <tableColumn id="2" xr3:uid="{338BA456-817F-469E-A070-990112F1841E}" name="I" dataDxfId="79"/>
    <tableColumn id="3" xr3:uid="{C754C9CF-BD13-436A-A16B-5DF88D8D72DE}" name="B" dataDxfId="78" dataCellStyle="Accent3"/>
    <tableColumn id="4" xr3:uid="{9919EB5C-AD62-45BD-A902-906D22498194}" name="E" dataDxfId="77" dataCellStyle="60% - Accent5"/>
  </tableColumns>
  <tableStyleInfo name="TableStyleMedium13" showFirstColumn="1" showLastColumn="0" showRowStripes="0"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D3628C70-7E14-4DDE-822A-99A09F64FA00}" name="Table46263757809712214317858" displayName="Table46263757809712214317858" ref="AH44:AK47" totalsRowShown="0" headerRowDxfId="76" dataDxfId="75" tableBorderDxfId="74">
  <tableColumns count="4">
    <tableColumn id="1" xr3:uid="{279E7CC9-D72B-41D7-A876-8D6857B3EEBD}" name=" " dataDxfId="73"/>
    <tableColumn id="2" xr3:uid="{DA80D7E7-ED2A-4FFD-9A80-584DE5AD9FC7}" name="I" dataDxfId="72"/>
    <tableColumn id="3" xr3:uid="{B96C031F-50D2-4ABE-8D4B-25595896ED06}" name="B" dataDxfId="71" dataCellStyle="Accent3"/>
    <tableColumn id="4" xr3:uid="{39A5119D-2EFA-45EC-B1D0-495858BCF12C}" name="E" dataDxfId="70" dataCellStyle="60% - Accent5"/>
  </tableColumns>
  <tableStyleInfo name="TableStyleMedium13" showFirstColumn="1" showLastColumn="0" showRowStripes="0"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93C5E9E-8152-4EAE-9C01-FC39A7D5E4F1}" name="Table465426510513517960" displayName="Table465426510513517960" ref="V34:Y37" totalsRowShown="0" headerRowDxfId="69" dataDxfId="68" tableBorderDxfId="67">
  <tableColumns count="4">
    <tableColumn id="1" xr3:uid="{FC4FA935-7BAA-40A5-9916-25985972E4D5}" name=" " dataDxfId="66"/>
    <tableColumn id="2" xr3:uid="{E8A34401-5A7B-4A8F-8FA9-80C74AF1A6B2}" name="I" dataDxfId="65"/>
    <tableColumn id="3" xr3:uid="{BA06F497-E7A2-4936-BB29-74146A7BFF39}" name="B" dataDxfId="64" dataCellStyle="Accent3"/>
    <tableColumn id="4" xr3:uid="{B7BA3A12-0FD7-437E-B92D-632B392B34B2}" name="E" dataDxfId="63" dataCellStyle="60% - Accent5"/>
  </tableColumns>
  <tableStyleInfo name="TableStyleMedium13" showFirstColumn="1" showLastColumn="0" showRowStripes="0"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34F90AF-2C42-43BB-AF68-68EAA5F30610}" name="Table462031517410713618061" displayName="Table462031517410713618061" ref="AB34:AE37" totalsRowShown="0" headerRowDxfId="62" dataDxfId="61" tableBorderDxfId="60">
  <tableColumns count="4">
    <tableColumn id="1" xr3:uid="{D682812F-AFCF-4B03-9C15-058FA78A06A0}" name=" " dataDxfId="59"/>
    <tableColumn id="2" xr3:uid="{899B2721-D153-473A-B057-CD8E5B79F318}" name="I" dataDxfId="58"/>
    <tableColumn id="3" xr3:uid="{D65EBD87-5090-4A9A-A253-D25D9086BF1B}" name="B" dataDxfId="57" dataCellStyle="Accent3"/>
    <tableColumn id="4" xr3:uid="{80F51198-8B04-49A5-9BCD-835E6F1493A9}" name="E" dataDxfId="56" dataCellStyle="60% - Accent5"/>
  </tableColumns>
  <tableStyleInfo name="TableStyleMedium13" showFirstColumn="1" showLastColumn="0" showRowStripes="0"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BFEE0EC-664A-4ADB-A2A1-2C15B8A1B6B1}" name="Table462536567910913718162" displayName="Table462536567910913718162" ref="AH34:AK37" totalsRowShown="0" headerRowDxfId="55" dataDxfId="54" tableBorderDxfId="53">
  <tableColumns count="4">
    <tableColumn id="1" xr3:uid="{C9650E57-A54B-4B83-AD6B-DF3951445DE3}" name=" " dataDxfId="52"/>
    <tableColumn id="2" xr3:uid="{DF611F23-E87D-4EE6-9E5B-5D8251A136D4}" name="I" dataDxfId="51"/>
    <tableColumn id="3" xr3:uid="{BCF8F949-EEF3-47D4-BA25-72AFA64D94B3}" name="B" dataDxfId="50" dataCellStyle="Accent3"/>
    <tableColumn id="4" xr3:uid="{1155BB92-D15C-49AA-B3A6-A2A1D781391F}" name="E" dataDxfId="49" dataCellStyle="60% - Accent5"/>
  </tableColumns>
  <tableStyleInfo name="TableStyleMedium13" showFirstColumn="1" showLastColumn="0" showRowStripes="0"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54B350DD-97B2-468B-8F76-2CB1054E4008}" name="Table46542659912918263" displayName="Table46542659912918263" ref="V19:Y22" totalsRowShown="0" headerRowDxfId="48" dataDxfId="47" tableBorderDxfId="46">
  <tableColumns count="4">
    <tableColumn id="1" xr3:uid="{B3521A86-C0FB-4C77-9541-5BE894DB0E35}" name=" " dataDxfId="45"/>
    <tableColumn id="2" xr3:uid="{0340BF4F-6A83-4528-8FD2-58281F9ECA29}" name="I" dataDxfId="44"/>
    <tableColumn id="3" xr3:uid="{B721CDA4-86FD-4D22-97CC-EA19E55174FF}" name="B" dataDxfId="43" dataCellStyle="Accent3"/>
    <tableColumn id="4" xr3:uid="{DA1DAAED-0272-4638-9F92-8EEA81827FAA}" name="E" dataDxfId="42" dataCellStyle="60% - Accent5"/>
  </tableColumns>
  <tableStyleInfo name="TableStyleMedium13" showFirstColumn="1" showLastColumn="0" showRowStripes="0"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10D7FB2-21BD-442A-8A97-6BE1B55B4D52}" name="Table462031517410113118364" displayName="Table462031517410113118364" ref="AB19:AE22" totalsRowShown="0" headerRowDxfId="41" dataDxfId="40" tableBorderDxfId="39">
  <tableColumns count="4">
    <tableColumn id="1" xr3:uid="{FCF6410C-9690-4494-B009-89FABD2E5A8B}" name=" " dataDxfId="38"/>
    <tableColumn id="2" xr3:uid="{518B978C-ECB9-4FA0-AB05-C73BAC426DC2}" name="I" dataDxfId="37"/>
    <tableColumn id="3" xr3:uid="{CC45ADC9-62BE-407F-90C1-68D24290B781}" name="B" dataDxfId="36" dataCellStyle="Accent3"/>
    <tableColumn id="4" xr3:uid="{68E9532B-50E1-40CF-BF52-2284BC2AD19C}" name="E" dataDxfId="35" dataCellStyle="60% - Accent5"/>
  </tableColumns>
  <tableStyleInfo name="TableStyleMedium13" showFirstColumn="1" showLastColumn="0" showRowStripes="0"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6F2497EA-FC59-4139-94CB-8F822C35C952}" name="Table462536567910313318467" displayName="Table462536567910313318467" ref="AH19:AK22" totalsRowShown="0" headerRowDxfId="34" dataDxfId="33" tableBorderDxfId="32">
  <tableColumns count="4">
    <tableColumn id="1" xr3:uid="{66258AA4-C42B-4615-ADC4-99658A69BF16}" name=" " dataDxfId="31"/>
    <tableColumn id="2" xr3:uid="{85F37E11-686E-43AD-B889-194CDB9EAA10}" name="I" dataDxfId="30"/>
    <tableColumn id="3" xr3:uid="{3E5A503D-9498-41A5-A091-E55BBC7CB91F}" name="B" dataDxfId="29" dataCellStyle="Accent3"/>
    <tableColumn id="4" xr3:uid="{2E5B74DD-709C-42C2-84C9-BF626D6F22F0}" name="E" dataDxfId="28" dataCellStyle="60% - Accent5"/>
  </tableColumns>
  <tableStyleInfo name="TableStyleMedium13" showFirstColumn="1" showLastColumn="0" showRowStripes="0"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C946B33B-B3C3-4C9C-93F1-14F141BE1C23}" name="Table46542658214418568" displayName="Table46542658214418568" ref="V4:Y7" totalsRowShown="0" headerRowDxfId="27" dataDxfId="26">
  <tableColumns count="4">
    <tableColumn id="1" xr3:uid="{7CCBD106-7C23-4865-98E6-11F3501EB2C6}" name=" " dataDxfId="25"/>
    <tableColumn id="2" xr3:uid="{3ADB9578-62B0-4A22-91FE-6AA5273453C2}" name="I" dataDxfId="24"/>
    <tableColumn id="3" xr3:uid="{A95F9FB2-8B63-4514-AEA7-A994003FFCE8}" name="B" dataDxfId="23" dataCellStyle="Accent3"/>
    <tableColumn id="4" xr3:uid="{23233EDB-19C5-4C01-933D-5BE0DFBF438D}" name="E" dataDxfId="22" dataCellStyle="60% - Accent5"/>
  </tableColumns>
  <tableStyleInfo name="TableStyleMedium13" showFirstColumn="1" showLastColumn="0" showRowStripes="0"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BB185AB2-E664-4130-96E4-72582DF405D0}" name="Table46203151749114618669" displayName="Table46203151749114618669" ref="AB4:AE7" totalsRowShown="0" headerRowDxfId="21" dataDxfId="20">
  <tableColumns count="4">
    <tableColumn id="1" xr3:uid="{933E8093-2EDB-4F80-B700-6800F7324E29}" name=" " dataDxfId="19"/>
    <tableColumn id="2" xr3:uid="{6D7913A9-9394-4907-92DF-EAB70B471BEB}" name="I" dataDxfId="18"/>
    <tableColumn id="3" xr3:uid="{B8D7948D-EDD4-454E-A217-1A53D2DF40A2}" name="B" dataDxfId="17" dataCellStyle="Accent3"/>
    <tableColumn id="4" xr3:uid="{3B9E8749-2E43-44E3-A84E-1925756F5BC4}" name="E" dataDxfId="16" dataCellStyle="60% - Accent5"/>
  </tableColumns>
  <tableStyleInfo name="TableStyleMedium13" showFirstColumn="1" showLastColumn="0" showRowStripes="0"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19C8F5C9-22E1-4678-B3E8-E7DF1A931DFA}" name="Table46253656799614818778" displayName="Table46253656799614818778" ref="AH4:AK7" totalsRowShown="0" headerRowDxfId="15" dataDxfId="14">
  <tableColumns count="4">
    <tableColumn id="1" xr3:uid="{22419DCF-4797-4955-96A9-810833A8AC87}" name=" " dataDxfId="13"/>
    <tableColumn id="2" xr3:uid="{2FC55EC9-B142-40FB-9DCA-6952C6D89B5D}" name="I" dataDxfId="12"/>
    <tableColumn id="3" xr3:uid="{7FBD16E0-2C91-4621-80B5-FF2E2C1348C1}" name="B" dataDxfId="11" dataCellStyle="Accent3"/>
    <tableColumn id="4" xr3:uid="{843018E8-D6D3-4A8A-8822-2CBFC51E0DD5}" name="E" dataDxfId="10" dataCellStyle="60% - Accent5"/>
  </tableColumns>
  <tableStyleInfo name="TableStyleMedium13" showFirstColumn="1" showLastColumn="0" showRowStripes="0"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7D000000}" name="Table3" displayName="Table3" ref="E1:I19" totalsRowShown="0" tableBorderDxfId="9">
  <tableColumns count="5">
    <tableColumn id="1" xr3:uid="{00000000-0010-0000-7D00-000001000000}" name="Relationship">
      <calculatedColumnFormula>A2</calculatedColumnFormula>
    </tableColumn>
    <tableColumn id="2" xr3:uid="{00000000-0010-0000-7D00-000002000000}" name="Type">
      <calculatedColumnFormula>B2</calculatedColumnFormula>
    </tableColumn>
    <tableColumn id="3" xr3:uid="{00000000-0010-0000-7D00-000003000000}" name="Region">
      <calculatedColumnFormula>IF(EXACT($F2,"Mask"),VLOOKUP($E2,Masks[],MATCH(G$1,Masks[#Headers],0),FALSE),IF(EXACT($F2,"Value"),VLOOKUP($E2,Values[],MATCH(G$1,Values[#Headers],0),FALSE),""))</calculatedColumnFormula>
    </tableColumn>
    <tableColumn id="4" xr3:uid="{00000000-0010-0000-7D00-000004000000}" name="External">
      <calculatedColumnFormula>IF(EXACT($F2,"Mask"),VLOOKUP($E2,Masks[],MATCH(H$1,Masks[#Headers],0),FALSE),IF(EXACT($F2,"Value"),VLOOKUP($E2,Values[],MATCH(H$1,Values[#Headers],0),FALSE),""))</calculatedColumnFormula>
    </tableColumn>
    <tableColumn id="5" xr3:uid="{00000000-0010-0000-7D00-000005000000}" name="Hull">
      <calculatedColumnFormula>IF(EXACT($F2,"Mask"),VLOOKUP($E2,Masks[],MATCH(I$1,Masks[#Headers],0),FALSE),IF(EXACT($F2,"Value"),VLOOKUP($E2,Values[],MATCH(I$1,Values[#Headers],0),FALSE),""))</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table" Target="../tables/table11.xml"/><Relationship Id="rId18" Type="http://schemas.openxmlformats.org/officeDocument/2006/relationships/table" Target="../tables/table16.xml"/><Relationship Id="rId26" Type="http://schemas.openxmlformats.org/officeDocument/2006/relationships/table" Target="../tables/table24.xml"/><Relationship Id="rId39" Type="http://schemas.openxmlformats.org/officeDocument/2006/relationships/table" Target="../tables/table37.xml"/><Relationship Id="rId21" Type="http://schemas.openxmlformats.org/officeDocument/2006/relationships/table" Target="../tables/table19.xml"/><Relationship Id="rId34" Type="http://schemas.openxmlformats.org/officeDocument/2006/relationships/table" Target="../tables/table32.xml"/><Relationship Id="rId42" Type="http://schemas.openxmlformats.org/officeDocument/2006/relationships/table" Target="../tables/table40.xml"/><Relationship Id="rId47" Type="http://schemas.openxmlformats.org/officeDocument/2006/relationships/table" Target="../tables/table45.xml"/><Relationship Id="rId50" Type="http://schemas.openxmlformats.org/officeDocument/2006/relationships/table" Target="../tables/table48.xml"/><Relationship Id="rId7" Type="http://schemas.openxmlformats.org/officeDocument/2006/relationships/table" Target="../tables/table5.xml"/><Relationship Id="rId2" Type="http://schemas.openxmlformats.org/officeDocument/2006/relationships/vmlDrawing" Target="../drawings/vmlDrawing1.vml"/><Relationship Id="rId16" Type="http://schemas.openxmlformats.org/officeDocument/2006/relationships/table" Target="../tables/table14.xml"/><Relationship Id="rId29" Type="http://schemas.openxmlformats.org/officeDocument/2006/relationships/table" Target="../tables/table27.xml"/><Relationship Id="rId11" Type="http://schemas.openxmlformats.org/officeDocument/2006/relationships/table" Target="../tables/table9.xml"/><Relationship Id="rId24" Type="http://schemas.openxmlformats.org/officeDocument/2006/relationships/table" Target="../tables/table22.xml"/><Relationship Id="rId32" Type="http://schemas.openxmlformats.org/officeDocument/2006/relationships/table" Target="../tables/table30.xml"/><Relationship Id="rId37" Type="http://schemas.openxmlformats.org/officeDocument/2006/relationships/table" Target="../tables/table35.xml"/><Relationship Id="rId40" Type="http://schemas.openxmlformats.org/officeDocument/2006/relationships/table" Target="../tables/table38.xml"/><Relationship Id="rId45" Type="http://schemas.openxmlformats.org/officeDocument/2006/relationships/table" Target="../tables/table43.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28" Type="http://schemas.openxmlformats.org/officeDocument/2006/relationships/table" Target="../tables/table26.xml"/><Relationship Id="rId36" Type="http://schemas.openxmlformats.org/officeDocument/2006/relationships/table" Target="../tables/table34.xml"/><Relationship Id="rId49" Type="http://schemas.openxmlformats.org/officeDocument/2006/relationships/table" Target="../tables/table47.xml"/><Relationship Id="rId10" Type="http://schemas.openxmlformats.org/officeDocument/2006/relationships/table" Target="../tables/table8.xml"/><Relationship Id="rId19" Type="http://schemas.openxmlformats.org/officeDocument/2006/relationships/table" Target="../tables/table17.xml"/><Relationship Id="rId31" Type="http://schemas.openxmlformats.org/officeDocument/2006/relationships/table" Target="../tables/table29.xml"/><Relationship Id="rId44" Type="http://schemas.openxmlformats.org/officeDocument/2006/relationships/table" Target="../tables/table42.xml"/><Relationship Id="rId4" Type="http://schemas.openxmlformats.org/officeDocument/2006/relationships/table" Target="../tables/table2.xm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 Id="rId27" Type="http://schemas.openxmlformats.org/officeDocument/2006/relationships/table" Target="../tables/table25.xml"/><Relationship Id="rId30" Type="http://schemas.openxmlformats.org/officeDocument/2006/relationships/table" Target="../tables/table28.xml"/><Relationship Id="rId35" Type="http://schemas.openxmlformats.org/officeDocument/2006/relationships/table" Target="../tables/table33.xml"/><Relationship Id="rId43" Type="http://schemas.openxmlformats.org/officeDocument/2006/relationships/table" Target="../tables/table41.xml"/><Relationship Id="rId48" Type="http://schemas.openxmlformats.org/officeDocument/2006/relationships/table" Target="../tables/table46.xml"/><Relationship Id="rId8" Type="http://schemas.openxmlformats.org/officeDocument/2006/relationships/table" Target="../tables/table6.xml"/><Relationship Id="rId51" Type="http://schemas.openxmlformats.org/officeDocument/2006/relationships/comments" Target="../comments1.xml"/><Relationship Id="rId3" Type="http://schemas.openxmlformats.org/officeDocument/2006/relationships/table" Target="../tables/table1.xml"/><Relationship Id="rId12" Type="http://schemas.openxmlformats.org/officeDocument/2006/relationships/table" Target="../tables/table10.xml"/><Relationship Id="rId17" Type="http://schemas.openxmlformats.org/officeDocument/2006/relationships/table" Target="../tables/table15.xml"/><Relationship Id="rId25" Type="http://schemas.openxmlformats.org/officeDocument/2006/relationships/table" Target="../tables/table23.xml"/><Relationship Id="rId33" Type="http://schemas.openxmlformats.org/officeDocument/2006/relationships/table" Target="../tables/table31.xml"/><Relationship Id="rId38" Type="http://schemas.openxmlformats.org/officeDocument/2006/relationships/table" Target="../tables/table36.xml"/><Relationship Id="rId46" Type="http://schemas.openxmlformats.org/officeDocument/2006/relationships/table" Target="../tables/table44.xml"/><Relationship Id="rId20" Type="http://schemas.openxmlformats.org/officeDocument/2006/relationships/table" Target="../tables/table18.xml"/><Relationship Id="rId41" Type="http://schemas.openxmlformats.org/officeDocument/2006/relationships/table" Target="../tables/table39.xml"/><Relationship Id="rId1" Type="http://schemas.openxmlformats.org/officeDocument/2006/relationships/printerSettings" Target="../printerSettings/printerSettings1.bin"/><Relationship Id="rId6"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3" Type="http://schemas.openxmlformats.org/officeDocument/2006/relationships/table" Target="../tables/table61.xml"/><Relationship Id="rId18" Type="http://schemas.openxmlformats.org/officeDocument/2006/relationships/table" Target="../tables/table66.xml"/><Relationship Id="rId26" Type="http://schemas.openxmlformats.org/officeDocument/2006/relationships/table" Target="../tables/table74.xml"/><Relationship Id="rId39" Type="http://schemas.openxmlformats.org/officeDocument/2006/relationships/table" Target="../tables/table87.xml"/><Relationship Id="rId21" Type="http://schemas.openxmlformats.org/officeDocument/2006/relationships/table" Target="../tables/table69.xml"/><Relationship Id="rId34" Type="http://schemas.openxmlformats.org/officeDocument/2006/relationships/table" Target="../tables/table82.xml"/><Relationship Id="rId42" Type="http://schemas.openxmlformats.org/officeDocument/2006/relationships/table" Target="../tables/table90.xml"/><Relationship Id="rId47" Type="http://schemas.openxmlformats.org/officeDocument/2006/relationships/table" Target="../tables/table95.xml"/><Relationship Id="rId50" Type="http://schemas.openxmlformats.org/officeDocument/2006/relationships/table" Target="../tables/table98.xml"/><Relationship Id="rId7" Type="http://schemas.openxmlformats.org/officeDocument/2006/relationships/table" Target="../tables/table55.xml"/><Relationship Id="rId2" Type="http://schemas.openxmlformats.org/officeDocument/2006/relationships/table" Target="../tables/table50.xml"/><Relationship Id="rId16" Type="http://schemas.openxmlformats.org/officeDocument/2006/relationships/table" Target="../tables/table64.xml"/><Relationship Id="rId29" Type="http://schemas.openxmlformats.org/officeDocument/2006/relationships/table" Target="../tables/table77.xml"/><Relationship Id="rId11" Type="http://schemas.openxmlformats.org/officeDocument/2006/relationships/table" Target="../tables/table59.xml"/><Relationship Id="rId24" Type="http://schemas.openxmlformats.org/officeDocument/2006/relationships/table" Target="../tables/table72.xml"/><Relationship Id="rId32" Type="http://schemas.openxmlformats.org/officeDocument/2006/relationships/table" Target="../tables/table80.xml"/><Relationship Id="rId37" Type="http://schemas.openxmlformats.org/officeDocument/2006/relationships/table" Target="../tables/table85.xml"/><Relationship Id="rId40" Type="http://schemas.openxmlformats.org/officeDocument/2006/relationships/table" Target="../tables/table88.xml"/><Relationship Id="rId45" Type="http://schemas.openxmlformats.org/officeDocument/2006/relationships/table" Target="../tables/table93.xml"/><Relationship Id="rId5" Type="http://schemas.openxmlformats.org/officeDocument/2006/relationships/table" Target="../tables/table53.xml"/><Relationship Id="rId15" Type="http://schemas.openxmlformats.org/officeDocument/2006/relationships/table" Target="../tables/table63.xml"/><Relationship Id="rId23" Type="http://schemas.openxmlformats.org/officeDocument/2006/relationships/table" Target="../tables/table71.xml"/><Relationship Id="rId28" Type="http://schemas.openxmlformats.org/officeDocument/2006/relationships/table" Target="../tables/table76.xml"/><Relationship Id="rId36" Type="http://schemas.openxmlformats.org/officeDocument/2006/relationships/table" Target="../tables/table84.xml"/><Relationship Id="rId49" Type="http://schemas.openxmlformats.org/officeDocument/2006/relationships/table" Target="../tables/table97.xml"/><Relationship Id="rId10" Type="http://schemas.openxmlformats.org/officeDocument/2006/relationships/table" Target="../tables/table58.xml"/><Relationship Id="rId19" Type="http://schemas.openxmlformats.org/officeDocument/2006/relationships/table" Target="../tables/table67.xml"/><Relationship Id="rId31" Type="http://schemas.openxmlformats.org/officeDocument/2006/relationships/table" Target="../tables/table79.xml"/><Relationship Id="rId44" Type="http://schemas.openxmlformats.org/officeDocument/2006/relationships/table" Target="../tables/table92.xml"/><Relationship Id="rId4" Type="http://schemas.openxmlformats.org/officeDocument/2006/relationships/table" Target="../tables/table52.xml"/><Relationship Id="rId9" Type="http://schemas.openxmlformats.org/officeDocument/2006/relationships/table" Target="../tables/table57.xml"/><Relationship Id="rId14" Type="http://schemas.openxmlformats.org/officeDocument/2006/relationships/table" Target="../tables/table62.xml"/><Relationship Id="rId22" Type="http://schemas.openxmlformats.org/officeDocument/2006/relationships/table" Target="../tables/table70.xml"/><Relationship Id="rId27" Type="http://schemas.openxmlformats.org/officeDocument/2006/relationships/table" Target="../tables/table75.xml"/><Relationship Id="rId30" Type="http://schemas.openxmlformats.org/officeDocument/2006/relationships/table" Target="../tables/table78.xml"/><Relationship Id="rId35" Type="http://schemas.openxmlformats.org/officeDocument/2006/relationships/table" Target="../tables/table83.xml"/><Relationship Id="rId43" Type="http://schemas.openxmlformats.org/officeDocument/2006/relationships/table" Target="../tables/table91.xml"/><Relationship Id="rId48" Type="http://schemas.openxmlformats.org/officeDocument/2006/relationships/table" Target="../tables/table96.xml"/><Relationship Id="rId8" Type="http://schemas.openxmlformats.org/officeDocument/2006/relationships/table" Target="../tables/table56.xml"/><Relationship Id="rId51" Type="http://schemas.openxmlformats.org/officeDocument/2006/relationships/table" Target="../tables/table99.xml"/><Relationship Id="rId3" Type="http://schemas.openxmlformats.org/officeDocument/2006/relationships/table" Target="../tables/table51.xml"/><Relationship Id="rId12" Type="http://schemas.openxmlformats.org/officeDocument/2006/relationships/table" Target="../tables/table60.xml"/><Relationship Id="rId17" Type="http://schemas.openxmlformats.org/officeDocument/2006/relationships/table" Target="../tables/table65.xml"/><Relationship Id="rId25" Type="http://schemas.openxmlformats.org/officeDocument/2006/relationships/table" Target="../tables/table73.xml"/><Relationship Id="rId33" Type="http://schemas.openxmlformats.org/officeDocument/2006/relationships/table" Target="../tables/table81.xml"/><Relationship Id="rId38" Type="http://schemas.openxmlformats.org/officeDocument/2006/relationships/table" Target="../tables/table86.xml"/><Relationship Id="rId46" Type="http://schemas.openxmlformats.org/officeDocument/2006/relationships/table" Target="../tables/table94.xml"/><Relationship Id="rId20" Type="http://schemas.openxmlformats.org/officeDocument/2006/relationships/table" Target="../tables/table68.xml"/><Relationship Id="rId41" Type="http://schemas.openxmlformats.org/officeDocument/2006/relationships/table" Target="../tables/table89.xml"/><Relationship Id="rId1" Type="http://schemas.openxmlformats.org/officeDocument/2006/relationships/table" Target="../tables/table49.xml"/><Relationship Id="rId6" Type="http://schemas.openxmlformats.org/officeDocument/2006/relationships/table" Target="../tables/table5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01.xml"/><Relationship Id="rId2" Type="http://schemas.openxmlformats.org/officeDocument/2006/relationships/table" Target="../tables/table100.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3" Type="http://schemas.openxmlformats.org/officeDocument/2006/relationships/table" Target="../tables/table114.xml"/><Relationship Id="rId18" Type="http://schemas.openxmlformats.org/officeDocument/2006/relationships/table" Target="../tables/table119.xml"/><Relationship Id="rId26" Type="http://schemas.openxmlformats.org/officeDocument/2006/relationships/table" Target="../tables/table127.xml"/><Relationship Id="rId39" Type="http://schemas.openxmlformats.org/officeDocument/2006/relationships/table" Target="../tables/table140.xml"/><Relationship Id="rId21" Type="http://schemas.openxmlformats.org/officeDocument/2006/relationships/table" Target="../tables/table122.xml"/><Relationship Id="rId34" Type="http://schemas.openxmlformats.org/officeDocument/2006/relationships/table" Target="../tables/table135.xml"/><Relationship Id="rId42" Type="http://schemas.openxmlformats.org/officeDocument/2006/relationships/table" Target="../tables/table143.xml"/><Relationship Id="rId47" Type="http://schemas.openxmlformats.org/officeDocument/2006/relationships/table" Target="../tables/table148.xml"/><Relationship Id="rId50" Type="http://schemas.openxmlformats.org/officeDocument/2006/relationships/table" Target="../tables/table151.xml"/><Relationship Id="rId7" Type="http://schemas.openxmlformats.org/officeDocument/2006/relationships/table" Target="../tables/table108.xml"/><Relationship Id="rId2" Type="http://schemas.openxmlformats.org/officeDocument/2006/relationships/table" Target="../tables/table103.xml"/><Relationship Id="rId16" Type="http://schemas.openxmlformats.org/officeDocument/2006/relationships/table" Target="../tables/table117.xml"/><Relationship Id="rId29" Type="http://schemas.openxmlformats.org/officeDocument/2006/relationships/table" Target="../tables/table130.xml"/><Relationship Id="rId11" Type="http://schemas.openxmlformats.org/officeDocument/2006/relationships/table" Target="../tables/table112.xml"/><Relationship Id="rId24" Type="http://schemas.openxmlformats.org/officeDocument/2006/relationships/table" Target="../tables/table125.xml"/><Relationship Id="rId32" Type="http://schemas.openxmlformats.org/officeDocument/2006/relationships/table" Target="../tables/table133.xml"/><Relationship Id="rId37" Type="http://schemas.openxmlformats.org/officeDocument/2006/relationships/table" Target="../tables/table138.xml"/><Relationship Id="rId40" Type="http://schemas.openxmlformats.org/officeDocument/2006/relationships/table" Target="../tables/table141.xml"/><Relationship Id="rId45" Type="http://schemas.openxmlformats.org/officeDocument/2006/relationships/table" Target="../tables/table146.xml"/><Relationship Id="rId5" Type="http://schemas.openxmlformats.org/officeDocument/2006/relationships/table" Target="../tables/table106.xml"/><Relationship Id="rId15" Type="http://schemas.openxmlformats.org/officeDocument/2006/relationships/table" Target="../tables/table116.xml"/><Relationship Id="rId23" Type="http://schemas.openxmlformats.org/officeDocument/2006/relationships/table" Target="../tables/table124.xml"/><Relationship Id="rId28" Type="http://schemas.openxmlformats.org/officeDocument/2006/relationships/table" Target="../tables/table129.xml"/><Relationship Id="rId36" Type="http://schemas.openxmlformats.org/officeDocument/2006/relationships/table" Target="../tables/table137.xml"/><Relationship Id="rId49" Type="http://schemas.openxmlformats.org/officeDocument/2006/relationships/table" Target="../tables/table150.xml"/><Relationship Id="rId10" Type="http://schemas.openxmlformats.org/officeDocument/2006/relationships/table" Target="../tables/table111.xml"/><Relationship Id="rId19" Type="http://schemas.openxmlformats.org/officeDocument/2006/relationships/table" Target="../tables/table120.xml"/><Relationship Id="rId31" Type="http://schemas.openxmlformats.org/officeDocument/2006/relationships/table" Target="../tables/table132.xml"/><Relationship Id="rId44" Type="http://schemas.openxmlformats.org/officeDocument/2006/relationships/table" Target="../tables/table145.xml"/><Relationship Id="rId4" Type="http://schemas.openxmlformats.org/officeDocument/2006/relationships/table" Target="../tables/table105.xml"/><Relationship Id="rId9" Type="http://schemas.openxmlformats.org/officeDocument/2006/relationships/table" Target="../tables/table110.xml"/><Relationship Id="rId14" Type="http://schemas.openxmlformats.org/officeDocument/2006/relationships/table" Target="../tables/table115.xml"/><Relationship Id="rId22" Type="http://schemas.openxmlformats.org/officeDocument/2006/relationships/table" Target="../tables/table123.xml"/><Relationship Id="rId27" Type="http://schemas.openxmlformats.org/officeDocument/2006/relationships/table" Target="../tables/table128.xml"/><Relationship Id="rId30" Type="http://schemas.openxmlformats.org/officeDocument/2006/relationships/table" Target="../tables/table131.xml"/><Relationship Id="rId35" Type="http://schemas.openxmlformats.org/officeDocument/2006/relationships/table" Target="../tables/table136.xml"/><Relationship Id="rId43" Type="http://schemas.openxmlformats.org/officeDocument/2006/relationships/table" Target="../tables/table144.xml"/><Relationship Id="rId48" Type="http://schemas.openxmlformats.org/officeDocument/2006/relationships/table" Target="../tables/table149.xml"/><Relationship Id="rId8" Type="http://schemas.openxmlformats.org/officeDocument/2006/relationships/table" Target="../tables/table109.xml"/><Relationship Id="rId51" Type="http://schemas.openxmlformats.org/officeDocument/2006/relationships/table" Target="../tables/table152.xml"/><Relationship Id="rId3" Type="http://schemas.openxmlformats.org/officeDocument/2006/relationships/table" Target="../tables/table104.xml"/><Relationship Id="rId12" Type="http://schemas.openxmlformats.org/officeDocument/2006/relationships/table" Target="../tables/table113.xml"/><Relationship Id="rId17" Type="http://schemas.openxmlformats.org/officeDocument/2006/relationships/table" Target="../tables/table118.xml"/><Relationship Id="rId25" Type="http://schemas.openxmlformats.org/officeDocument/2006/relationships/table" Target="../tables/table126.xml"/><Relationship Id="rId33" Type="http://schemas.openxmlformats.org/officeDocument/2006/relationships/table" Target="../tables/table134.xml"/><Relationship Id="rId38" Type="http://schemas.openxmlformats.org/officeDocument/2006/relationships/table" Target="../tables/table139.xml"/><Relationship Id="rId46" Type="http://schemas.openxmlformats.org/officeDocument/2006/relationships/table" Target="../tables/table147.xml"/><Relationship Id="rId20" Type="http://schemas.openxmlformats.org/officeDocument/2006/relationships/table" Target="../tables/table121.xml"/><Relationship Id="rId41" Type="http://schemas.openxmlformats.org/officeDocument/2006/relationships/table" Target="../tables/table142.xml"/><Relationship Id="rId1" Type="http://schemas.openxmlformats.org/officeDocument/2006/relationships/table" Target="../tables/table102.xml"/><Relationship Id="rId6" Type="http://schemas.openxmlformats.org/officeDocument/2006/relationships/table" Target="../tables/table10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1"/>
  <sheetViews>
    <sheetView workbookViewId="0">
      <selection activeCell="F5" sqref="F5"/>
    </sheetView>
  </sheetViews>
  <sheetFormatPr defaultRowHeight="50.1" customHeight="1" x14ac:dyDescent="0.25"/>
  <cols>
    <col min="1" max="1" width="12.85546875" bestFit="1" customWidth="1"/>
    <col min="2" max="2" width="11.5703125" bestFit="1" customWidth="1"/>
    <col min="3" max="3" width="21.5703125" bestFit="1" customWidth="1"/>
    <col min="4" max="4" width="58.140625" customWidth="1"/>
    <col min="5" max="5" width="54.5703125" customWidth="1"/>
    <col min="6" max="6" width="80.7109375" customWidth="1"/>
    <col min="7" max="7" width="11" bestFit="1" customWidth="1"/>
  </cols>
  <sheetData>
    <row r="1" spans="1:6" ht="50.1" customHeight="1" thickBot="1" x14ac:dyDescent="0.3">
      <c r="A1" s="56" t="s">
        <v>0</v>
      </c>
      <c r="B1" s="56" t="s">
        <v>1</v>
      </c>
      <c r="C1" s="57" t="s">
        <v>2</v>
      </c>
      <c r="D1" s="58" t="s">
        <v>3</v>
      </c>
      <c r="E1" s="59"/>
      <c r="F1" s="70" t="s">
        <v>4</v>
      </c>
    </row>
    <row r="2" spans="1:6" ht="50.1" customHeight="1" thickBot="1" x14ac:dyDescent="0.35">
      <c r="A2" s="56" t="s">
        <v>5</v>
      </c>
      <c r="B2" s="56" t="s">
        <v>6</v>
      </c>
      <c r="C2" s="57" t="s">
        <v>2</v>
      </c>
      <c r="D2" s="58" t="s">
        <v>7</v>
      </c>
      <c r="E2" s="61"/>
      <c r="F2" s="68" t="s">
        <v>8</v>
      </c>
    </row>
    <row r="3" spans="1:6" ht="50.1" customHeight="1" thickBot="1" x14ac:dyDescent="0.3">
      <c r="A3" s="56" t="s">
        <v>9</v>
      </c>
      <c r="B3" s="56" t="s">
        <v>9</v>
      </c>
      <c r="C3" s="57" t="s">
        <v>10</v>
      </c>
      <c r="D3" s="58" t="s">
        <v>11</v>
      </c>
      <c r="E3" s="61"/>
      <c r="F3" s="67" t="s">
        <v>12</v>
      </c>
    </row>
    <row r="4" spans="1:6" ht="50.1" customHeight="1" thickBot="1" x14ac:dyDescent="0.35">
      <c r="A4" s="56" t="s">
        <v>13</v>
      </c>
      <c r="B4" s="56" t="s">
        <v>13</v>
      </c>
      <c r="C4" s="57" t="s">
        <v>10</v>
      </c>
      <c r="D4" s="60" t="s">
        <v>14</v>
      </c>
      <c r="E4" s="61"/>
      <c r="F4" s="69"/>
    </row>
    <row r="5" spans="1:6" ht="54.75" customHeight="1" thickBot="1" x14ac:dyDescent="0.3">
      <c r="A5" s="56" t="s">
        <v>15</v>
      </c>
      <c r="B5" s="56" t="s">
        <v>16</v>
      </c>
      <c r="C5" s="57"/>
      <c r="D5" s="60" t="s">
        <v>17</v>
      </c>
      <c r="E5" s="62"/>
      <c r="F5" s="66"/>
    </row>
    <row r="6" spans="1:6" ht="50.1" customHeight="1" thickBot="1" x14ac:dyDescent="0.3">
      <c r="A6" s="56" t="s">
        <v>18</v>
      </c>
      <c r="B6" s="56" t="s">
        <v>18</v>
      </c>
      <c r="C6" s="57" t="s">
        <v>10</v>
      </c>
      <c r="D6" s="58" t="s">
        <v>19</v>
      </c>
      <c r="E6" s="61"/>
    </row>
    <row r="7" spans="1:6" ht="58.5" customHeight="1" thickBot="1" x14ac:dyDescent="0.3">
      <c r="A7" s="56" t="s">
        <v>20</v>
      </c>
      <c r="B7" s="56" t="s">
        <v>21</v>
      </c>
      <c r="C7" s="57"/>
      <c r="D7" s="63" t="s">
        <v>22</v>
      </c>
      <c r="E7" s="61"/>
      <c r="F7" s="66" t="s">
        <v>23</v>
      </c>
    </row>
    <row r="8" spans="1:6" ht="50.1" customHeight="1" thickBot="1" x14ac:dyDescent="0.3">
      <c r="A8" s="56" t="s">
        <v>18</v>
      </c>
      <c r="B8" s="56" t="s">
        <v>18</v>
      </c>
      <c r="C8" s="57" t="s">
        <v>10</v>
      </c>
      <c r="D8" s="58" t="s">
        <v>19</v>
      </c>
      <c r="E8" s="64"/>
    </row>
    <row r="9" spans="1:6" ht="58.5" customHeight="1" thickBot="1" x14ac:dyDescent="0.3">
      <c r="A9" s="56" t="s">
        <v>24</v>
      </c>
      <c r="B9" s="56" t="s">
        <v>25</v>
      </c>
      <c r="C9" s="57" t="s">
        <v>2</v>
      </c>
      <c r="D9" s="63" t="s">
        <v>26</v>
      </c>
      <c r="E9" s="61"/>
    </row>
    <row r="10" spans="1:6" ht="50.1" customHeight="1" thickBot="1" x14ac:dyDescent="0.3">
      <c r="A10" s="56" t="s">
        <v>27</v>
      </c>
      <c r="B10" s="56" t="s">
        <v>27</v>
      </c>
      <c r="C10" s="65" t="s">
        <v>28</v>
      </c>
      <c r="D10" s="63" t="s">
        <v>29</v>
      </c>
      <c r="E10" s="61"/>
    </row>
    <row r="11" spans="1:6" ht="50.1" customHeight="1" x14ac:dyDescent="0.25">
      <c r="A11" s="5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workbookViewId="0">
      <selection activeCell="AA6" sqref="AA6"/>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Y115"/>
  <sheetViews>
    <sheetView showGridLines="0" zoomScaleNormal="100" workbookViewId="0">
      <selection activeCell="BX9" sqref="BX9"/>
    </sheetView>
  </sheetViews>
  <sheetFormatPr defaultColWidth="9.140625" defaultRowHeight="15" customHeight="1" x14ac:dyDescent="0.25"/>
  <cols>
    <col min="1" max="1" width="14.7109375" style="71" customWidth="1"/>
    <col min="2" max="2" width="4.7109375" style="71" bestFit="1" customWidth="1"/>
    <col min="3" max="3" width="2.28515625" style="14" bestFit="1" customWidth="1"/>
    <col min="4" max="4" width="2.28515625" style="13" bestFit="1" customWidth="1"/>
    <col min="5" max="5" width="2.140625" style="13" bestFit="1" customWidth="1"/>
    <col min="6" max="6" width="2.28515625" style="13" bestFit="1" customWidth="1"/>
    <col min="7" max="7" width="2.140625" style="13" bestFit="1" customWidth="1"/>
    <col min="8" max="8" width="0.85546875" style="13" customWidth="1"/>
    <col min="9" max="10" width="2.28515625" style="13" bestFit="1" customWidth="1"/>
    <col min="11" max="11" width="2.140625" style="13" bestFit="1" customWidth="1"/>
    <col min="12" max="12" width="2.28515625" style="13" bestFit="1" customWidth="1"/>
    <col min="13" max="13" width="2.140625" style="13" bestFit="1" customWidth="1"/>
    <col min="14" max="14" width="0.85546875" style="13" customWidth="1"/>
    <col min="15" max="16" width="2.28515625" style="13" bestFit="1" customWidth="1"/>
    <col min="17" max="17" width="2.140625" style="13" bestFit="1" customWidth="1"/>
    <col min="18" max="18" width="2.28515625" style="13" bestFit="1" customWidth="1"/>
    <col min="19" max="19" width="2.140625" style="13" bestFit="1" customWidth="1"/>
    <col min="20" max="20" width="14.7109375" style="14" customWidth="1"/>
    <col min="21" max="21" width="4.7109375" style="71" bestFit="1" customWidth="1"/>
    <col min="22" max="22" width="2.28515625" style="14" bestFit="1" customWidth="1"/>
    <col min="23" max="23" width="2.28515625" style="13" bestFit="1" customWidth="1"/>
    <col min="24" max="24" width="2.140625" style="13" bestFit="1" customWidth="1"/>
    <col min="25" max="25" width="2.28515625" style="13" bestFit="1" customWidth="1"/>
    <col min="26" max="26" width="2.140625" style="13" bestFit="1" customWidth="1"/>
    <col min="27" max="27" width="0.85546875" style="13" customWidth="1"/>
    <col min="28" max="29" width="2.28515625" style="13" bestFit="1" customWidth="1"/>
    <col min="30" max="30" width="2.140625" style="13" bestFit="1" customWidth="1"/>
    <col min="31" max="31" width="2.28515625" style="13" bestFit="1" customWidth="1"/>
    <col min="32" max="32" width="2.140625" style="13" bestFit="1" customWidth="1"/>
    <col min="33" max="33" width="0.85546875" style="13" customWidth="1"/>
    <col min="34" max="35" width="2.28515625" style="13" bestFit="1" customWidth="1"/>
    <col min="36" max="36" width="2.140625" style="13" bestFit="1" customWidth="1"/>
    <col min="37" max="37" width="2.28515625" style="13" bestFit="1" customWidth="1"/>
    <col min="38" max="38" width="2.140625" style="13" bestFit="1" customWidth="1"/>
    <col min="39" max="39" width="14.7109375" style="14" customWidth="1"/>
    <col min="40" max="40" width="4.7109375" style="71" bestFit="1" customWidth="1"/>
    <col min="41" max="41" width="2.28515625" style="14" bestFit="1" customWidth="1"/>
    <col min="42" max="42" width="2.28515625" style="13" bestFit="1" customWidth="1"/>
    <col min="43" max="43" width="2.140625" style="13" bestFit="1" customWidth="1"/>
    <col min="44" max="44" width="2.28515625" style="13" bestFit="1" customWidth="1"/>
    <col min="45" max="45" width="2.140625" style="13" bestFit="1" customWidth="1"/>
    <col min="46" max="46" width="0.85546875" style="13" customWidth="1"/>
    <col min="47" max="48" width="2.28515625" style="13" bestFit="1" customWidth="1"/>
    <col min="49" max="49" width="2.140625" style="13" bestFit="1" customWidth="1"/>
    <col min="50" max="50" width="2.28515625" style="13" bestFit="1" customWidth="1"/>
    <col min="51" max="51" width="2.140625" style="13" bestFit="1" customWidth="1"/>
    <col min="52" max="52" width="0.85546875" style="13" customWidth="1"/>
    <col min="53" max="54" width="2.28515625" style="13" bestFit="1" customWidth="1"/>
    <col min="55" max="55" width="2.140625" style="13" bestFit="1" customWidth="1"/>
    <col min="56" max="56" width="2.28515625" style="13" bestFit="1" customWidth="1"/>
    <col min="57" max="57" width="2.140625" style="13" bestFit="1" customWidth="1"/>
    <col min="58" max="58" width="14.7109375" style="14" customWidth="1"/>
    <col min="59" max="59" width="4.7109375" style="71" bestFit="1" customWidth="1"/>
    <col min="60" max="60" width="2.28515625" style="14" bestFit="1" customWidth="1"/>
    <col min="61" max="61" width="2.28515625" style="13" bestFit="1" customWidth="1"/>
    <col min="62" max="62" width="2.140625" style="13" bestFit="1" customWidth="1"/>
    <col min="63" max="63" width="2.28515625" style="13" bestFit="1" customWidth="1"/>
    <col min="64" max="64" width="2.140625" style="13" bestFit="1" customWidth="1"/>
    <col min="65" max="65" width="0.85546875" style="13" customWidth="1"/>
    <col min="66" max="67" width="2.28515625" style="13" bestFit="1" customWidth="1"/>
    <col min="68" max="68" width="2.140625" style="13" bestFit="1" customWidth="1"/>
    <col min="69" max="69" width="2.28515625" style="13" bestFit="1" customWidth="1"/>
    <col min="70" max="70" width="2.140625" style="13" bestFit="1" customWidth="1"/>
    <col min="71" max="71" width="0.85546875" style="13" customWidth="1"/>
    <col min="72" max="73" width="2.28515625" style="13" bestFit="1" customWidth="1"/>
    <col min="74" max="74" width="2.140625" style="13" bestFit="1" customWidth="1"/>
    <col min="75" max="75" width="2.28515625" style="13" bestFit="1" customWidth="1"/>
    <col min="76" max="76" width="2.140625" style="13" bestFit="1" customWidth="1"/>
    <col min="77" max="77" width="13.7109375" style="14" customWidth="1"/>
    <col min="78" max="16384" width="9.140625" style="14"/>
  </cols>
  <sheetData>
    <row r="1" spans="1:77" ht="15" customHeight="1" thickTop="1" thickBot="1" x14ac:dyDescent="0.3">
      <c r="A1" s="175" t="s">
        <v>30</v>
      </c>
      <c r="B1" s="196" t="s">
        <v>31</v>
      </c>
      <c r="C1" s="20"/>
      <c r="D1" s="11"/>
      <c r="E1" s="187" t="s">
        <v>32</v>
      </c>
      <c r="F1" s="187"/>
      <c r="G1" s="187"/>
      <c r="H1" s="52"/>
      <c r="I1" s="11"/>
      <c r="J1" s="11"/>
      <c r="K1" s="187" t="s">
        <v>32</v>
      </c>
      <c r="L1" s="187"/>
      <c r="M1" s="187"/>
      <c r="N1" s="52"/>
      <c r="O1" s="11"/>
      <c r="P1" s="11"/>
      <c r="Q1" s="187" t="s">
        <v>32</v>
      </c>
      <c r="R1" s="187"/>
      <c r="S1" s="187"/>
      <c r="T1" s="184" t="s">
        <v>33</v>
      </c>
      <c r="U1" s="196" t="s">
        <v>31</v>
      </c>
      <c r="V1" s="20"/>
      <c r="W1" s="11"/>
      <c r="X1" s="187" t="s">
        <v>32</v>
      </c>
      <c r="Y1" s="187"/>
      <c r="Z1" s="187"/>
      <c r="AA1" s="52"/>
      <c r="AB1" s="11"/>
      <c r="AC1" s="11"/>
      <c r="AD1" s="187" t="s">
        <v>32</v>
      </c>
      <c r="AE1" s="187"/>
      <c r="AF1" s="187"/>
      <c r="AG1" s="52"/>
      <c r="AH1" s="11"/>
      <c r="AI1" s="11"/>
      <c r="AJ1" s="187" t="s">
        <v>32</v>
      </c>
      <c r="AK1" s="187"/>
      <c r="AL1" s="187"/>
      <c r="AM1" s="184" t="s">
        <v>83</v>
      </c>
      <c r="AN1" s="196" t="s">
        <v>31</v>
      </c>
      <c r="AO1" s="10"/>
      <c r="AP1" s="11"/>
      <c r="AQ1" s="220" t="s">
        <v>32</v>
      </c>
      <c r="AR1" s="220"/>
      <c r="AS1" s="220"/>
      <c r="AT1" s="52"/>
      <c r="AU1" s="11"/>
      <c r="AV1" s="11"/>
      <c r="AW1" s="220" t="s">
        <v>32</v>
      </c>
      <c r="AX1" s="220"/>
      <c r="AY1" s="220"/>
      <c r="AZ1" s="52"/>
      <c r="BA1" s="11"/>
      <c r="BB1" s="11"/>
      <c r="BC1" s="220" t="s">
        <v>32</v>
      </c>
      <c r="BD1" s="220"/>
      <c r="BE1" s="220"/>
      <c r="BF1" s="184" t="s">
        <v>34</v>
      </c>
      <c r="BG1" s="196" t="s">
        <v>31</v>
      </c>
      <c r="BH1" s="20"/>
      <c r="BI1" s="11"/>
      <c r="BJ1" s="187" t="s">
        <v>32</v>
      </c>
      <c r="BK1" s="187"/>
      <c r="BL1" s="187"/>
      <c r="BM1" s="52"/>
      <c r="BN1" s="11"/>
      <c r="BO1" s="11"/>
      <c r="BP1" s="187" t="s">
        <v>32</v>
      </c>
      <c r="BQ1" s="187"/>
      <c r="BR1" s="187"/>
      <c r="BS1" s="52"/>
      <c r="BT1" s="11"/>
      <c r="BU1" s="11"/>
      <c r="BV1" s="187" t="s">
        <v>32</v>
      </c>
      <c r="BW1" s="187"/>
      <c r="BX1" s="219"/>
      <c r="BY1" s="199" t="s">
        <v>35</v>
      </c>
    </row>
    <row r="2" spans="1:77" ht="15" customHeight="1" thickTop="1" x14ac:dyDescent="0.25">
      <c r="A2" s="176"/>
      <c r="B2" s="197"/>
      <c r="C2" s="21"/>
      <c r="D2" s="16" t="s">
        <v>36</v>
      </c>
      <c r="E2" s="13" t="s">
        <v>37</v>
      </c>
      <c r="F2" s="13" t="s">
        <v>32</v>
      </c>
      <c r="G2" s="13" t="s">
        <v>38</v>
      </c>
      <c r="H2" s="53"/>
      <c r="J2" s="16" t="s">
        <v>36</v>
      </c>
      <c r="K2" s="13" t="s">
        <v>37</v>
      </c>
      <c r="L2" s="13" t="s">
        <v>32</v>
      </c>
      <c r="M2" s="13" t="s">
        <v>38</v>
      </c>
      <c r="N2" s="53"/>
      <c r="P2" s="16" t="s">
        <v>36</v>
      </c>
      <c r="Q2" s="13" t="s">
        <v>37</v>
      </c>
      <c r="R2" s="13" t="s">
        <v>32</v>
      </c>
      <c r="S2" s="13" t="s">
        <v>38</v>
      </c>
      <c r="T2" s="185"/>
      <c r="U2" s="197"/>
      <c r="V2" s="21"/>
      <c r="W2" s="16" t="s">
        <v>36</v>
      </c>
      <c r="X2" s="13" t="s">
        <v>37</v>
      </c>
      <c r="Y2" s="13" t="s">
        <v>32</v>
      </c>
      <c r="Z2" s="13" t="s">
        <v>38</v>
      </c>
      <c r="AA2" s="53"/>
      <c r="AC2" s="16" t="s">
        <v>36</v>
      </c>
      <c r="AD2" s="13" t="s">
        <v>37</v>
      </c>
      <c r="AE2" s="13" t="s">
        <v>32</v>
      </c>
      <c r="AF2" s="13" t="s">
        <v>38</v>
      </c>
      <c r="AG2" s="53"/>
      <c r="AI2" s="16" t="s">
        <v>36</v>
      </c>
      <c r="AJ2" s="13" t="s">
        <v>37</v>
      </c>
      <c r="AK2" s="13" t="s">
        <v>32</v>
      </c>
      <c r="AL2" s="13" t="s">
        <v>38</v>
      </c>
      <c r="AM2" s="185"/>
      <c r="AN2" s="197"/>
      <c r="AO2" s="15"/>
      <c r="AP2" s="16" t="s">
        <v>36</v>
      </c>
      <c r="AQ2" s="13" t="s">
        <v>37</v>
      </c>
      <c r="AR2" s="13" t="s">
        <v>32</v>
      </c>
      <c r="AS2" s="13" t="s">
        <v>38</v>
      </c>
      <c r="AT2" s="53"/>
      <c r="AV2" s="16" t="s">
        <v>36</v>
      </c>
      <c r="AW2" s="13" t="s">
        <v>37</v>
      </c>
      <c r="AX2" s="13" t="s">
        <v>32</v>
      </c>
      <c r="AY2" s="13" t="s">
        <v>38</v>
      </c>
      <c r="AZ2" s="53"/>
      <c r="BB2" s="16" t="s">
        <v>36</v>
      </c>
      <c r="BC2" s="13" t="s">
        <v>37</v>
      </c>
      <c r="BD2" s="13" t="s">
        <v>32</v>
      </c>
      <c r="BE2" s="13" t="s">
        <v>38</v>
      </c>
      <c r="BF2" s="185"/>
      <c r="BG2" s="197"/>
      <c r="BH2" s="21"/>
      <c r="BI2" s="16" t="s">
        <v>36</v>
      </c>
      <c r="BJ2" s="13" t="s">
        <v>37</v>
      </c>
      <c r="BK2" s="13" t="s">
        <v>32</v>
      </c>
      <c r="BL2" s="13" t="s">
        <v>38</v>
      </c>
      <c r="BM2" s="53"/>
      <c r="BO2" s="16" t="s">
        <v>36</v>
      </c>
      <c r="BP2" s="13" t="s">
        <v>37</v>
      </c>
      <c r="BQ2" s="13" t="s">
        <v>32</v>
      </c>
      <c r="BR2" s="13" t="s">
        <v>38</v>
      </c>
      <c r="BS2" s="53"/>
      <c r="BU2" s="16" t="s">
        <v>36</v>
      </c>
      <c r="BV2" s="13" t="s">
        <v>37</v>
      </c>
      <c r="BW2" s="13" t="s">
        <v>32</v>
      </c>
      <c r="BX2" s="82" t="s">
        <v>38</v>
      </c>
      <c r="BY2" s="200"/>
    </row>
    <row r="3" spans="1:77" ht="15" customHeight="1" thickBot="1" x14ac:dyDescent="0.3">
      <c r="A3" s="176"/>
      <c r="B3" s="197"/>
      <c r="C3" s="188" t="s">
        <v>39</v>
      </c>
      <c r="D3" s="13" t="s">
        <v>37</v>
      </c>
      <c r="E3" s="77" t="s">
        <v>40</v>
      </c>
      <c r="F3" s="13" t="s">
        <v>41</v>
      </c>
      <c r="G3" s="13" t="s">
        <v>41</v>
      </c>
      <c r="H3" s="53"/>
      <c r="I3" s="188" t="s">
        <v>39</v>
      </c>
      <c r="J3" s="13" t="s">
        <v>37</v>
      </c>
      <c r="K3" s="13" t="s">
        <v>41</v>
      </c>
      <c r="L3" s="13" t="s">
        <v>41</v>
      </c>
      <c r="M3" s="13" t="s">
        <v>41</v>
      </c>
      <c r="N3" s="53"/>
      <c r="O3" s="188" t="s">
        <v>39</v>
      </c>
      <c r="P3" s="13" t="s">
        <v>37</v>
      </c>
      <c r="Q3" s="13" t="s">
        <v>41</v>
      </c>
      <c r="R3" s="13" t="s">
        <v>41</v>
      </c>
      <c r="S3" s="13" t="s">
        <v>41</v>
      </c>
      <c r="T3" s="185"/>
      <c r="U3" s="197"/>
      <c r="V3" s="188" t="s">
        <v>39</v>
      </c>
      <c r="W3" s="13" t="s">
        <v>37</v>
      </c>
      <c r="X3" s="13" t="s">
        <v>40</v>
      </c>
      <c r="Y3" s="78" t="s">
        <v>40</v>
      </c>
      <c r="Z3" s="13" t="s">
        <v>41</v>
      </c>
      <c r="AA3" s="53"/>
      <c r="AB3" s="188" t="s">
        <v>39</v>
      </c>
      <c r="AC3" s="13" t="s">
        <v>37</v>
      </c>
      <c r="AD3" s="13" t="s">
        <v>41</v>
      </c>
      <c r="AE3" s="13" t="s">
        <v>41</v>
      </c>
      <c r="AF3" s="13" t="s">
        <v>41</v>
      </c>
      <c r="AG3" s="53"/>
      <c r="AH3" s="188" t="s">
        <v>39</v>
      </c>
      <c r="AI3" s="13" t="s">
        <v>37</v>
      </c>
      <c r="AJ3" s="13" t="s">
        <v>41</v>
      </c>
      <c r="AK3" s="13" t="s">
        <v>41</v>
      </c>
      <c r="AL3" s="13" t="s">
        <v>41</v>
      </c>
      <c r="AM3" s="185"/>
      <c r="AN3" s="197"/>
      <c r="AO3" s="205" t="s">
        <v>39</v>
      </c>
      <c r="AP3" s="13" t="s">
        <v>37</v>
      </c>
      <c r="AQ3" s="13" t="s">
        <v>40</v>
      </c>
      <c r="AR3" s="13" t="s">
        <v>40</v>
      </c>
      <c r="AS3" s="13" t="s">
        <v>41</v>
      </c>
      <c r="AT3" s="53"/>
      <c r="AU3" s="205" t="s">
        <v>39</v>
      </c>
      <c r="AV3" s="13" t="s">
        <v>37</v>
      </c>
      <c r="AW3" s="77" t="s">
        <v>40</v>
      </c>
      <c r="AX3" s="13" t="s">
        <v>41</v>
      </c>
      <c r="AY3" s="81" t="s">
        <v>42</v>
      </c>
      <c r="AZ3" s="53"/>
      <c r="BA3" s="207" t="s">
        <v>39</v>
      </c>
      <c r="BB3" s="13" t="s">
        <v>37</v>
      </c>
      <c r="BC3" s="13" t="s">
        <v>41</v>
      </c>
      <c r="BD3" s="13" t="s">
        <v>41</v>
      </c>
      <c r="BE3" s="13" t="s">
        <v>41</v>
      </c>
      <c r="BF3" s="185"/>
      <c r="BG3" s="197"/>
      <c r="BH3" s="188" t="s">
        <v>39</v>
      </c>
      <c r="BI3" s="13" t="s">
        <v>37</v>
      </c>
      <c r="BJ3" s="13" t="s">
        <v>40</v>
      </c>
      <c r="BK3" s="13" t="s">
        <v>40</v>
      </c>
      <c r="BL3" s="13" t="s">
        <v>41</v>
      </c>
      <c r="BM3" s="53"/>
      <c r="BN3" s="188" t="s">
        <v>39</v>
      </c>
      <c r="BO3" s="13" t="s">
        <v>37</v>
      </c>
      <c r="BP3" s="13" t="s">
        <v>40</v>
      </c>
      <c r="BQ3" s="13" t="s">
        <v>41</v>
      </c>
      <c r="BR3" s="13" t="s">
        <v>42</v>
      </c>
      <c r="BS3" s="53"/>
      <c r="BT3" s="188" t="s">
        <v>39</v>
      </c>
      <c r="BU3" s="13" t="s">
        <v>37</v>
      </c>
      <c r="BV3" s="13" t="s">
        <v>41</v>
      </c>
      <c r="BW3" s="13" t="s">
        <v>41</v>
      </c>
      <c r="BX3" s="81" t="s">
        <v>42</v>
      </c>
      <c r="BY3" s="200"/>
    </row>
    <row r="4" spans="1:77" ht="15" customHeight="1" thickTop="1" thickBot="1" x14ac:dyDescent="0.3">
      <c r="A4" s="176"/>
      <c r="B4" s="197"/>
      <c r="C4" s="188"/>
      <c r="D4" s="13" t="s">
        <v>32</v>
      </c>
      <c r="E4" s="13" t="s">
        <v>41</v>
      </c>
      <c r="F4" s="13" t="s">
        <v>41</v>
      </c>
      <c r="G4" s="13" t="s">
        <v>41</v>
      </c>
      <c r="H4" s="53"/>
      <c r="I4" s="188"/>
      <c r="J4" s="13" t="s">
        <v>32</v>
      </c>
      <c r="K4" s="13" t="s">
        <v>41</v>
      </c>
      <c r="L4" s="13" t="s">
        <v>41</v>
      </c>
      <c r="M4" s="13" t="s">
        <v>41</v>
      </c>
      <c r="N4" s="53"/>
      <c r="O4" s="188"/>
      <c r="P4" s="13" t="s">
        <v>32</v>
      </c>
      <c r="Q4" s="13" t="s">
        <v>41</v>
      </c>
      <c r="R4" s="13" t="s">
        <v>41</v>
      </c>
      <c r="S4" s="13" t="s">
        <v>41</v>
      </c>
      <c r="T4" s="185"/>
      <c r="U4" s="197"/>
      <c r="V4" s="188"/>
      <c r="W4" s="13" t="s">
        <v>32</v>
      </c>
      <c r="X4" s="78" t="s">
        <v>40</v>
      </c>
      <c r="Y4" s="77" t="s">
        <v>40</v>
      </c>
      <c r="Z4" s="13" t="s">
        <v>41</v>
      </c>
      <c r="AA4" s="53"/>
      <c r="AB4" s="188"/>
      <c r="AC4" s="13" t="s">
        <v>32</v>
      </c>
      <c r="AD4" s="13" t="s">
        <v>41</v>
      </c>
      <c r="AE4" s="78" t="s">
        <v>40</v>
      </c>
      <c r="AF4" s="13" t="s">
        <v>41</v>
      </c>
      <c r="AG4" s="53"/>
      <c r="AH4" s="188"/>
      <c r="AI4" s="13" t="s">
        <v>32</v>
      </c>
      <c r="AJ4" s="13" t="s">
        <v>41</v>
      </c>
      <c r="AK4" s="13" t="s">
        <v>41</v>
      </c>
      <c r="AL4" s="13" t="s">
        <v>41</v>
      </c>
      <c r="AM4" s="185"/>
      <c r="AN4" s="197"/>
      <c r="AO4" s="205"/>
      <c r="AP4" s="13" t="s">
        <v>32</v>
      </c>
      <c r="AQ4" s="13" t="s">
        <v>40</v>
      </c>
      <c r="AR4" s="13" t="s">
        <v>40</v>
      </c>
      <c r="AS4" s="13" t="s">
        <v>41</v>
      </c>
      <c r="AT4" s="53"/>
      <c r="AU4" s="205"/>
      <c r="AV4" s="13" t="s">
        <v>32</v>
      </c>
      <c r="AW4" s="13" t="s">
        <v>41</v>
      </c>
      <c r="AX4" s="13" t="s">
        <v>40</v>
      </c>
      <c r="AY4" s="13" t="s">
        <v>41</v>
      </c>
      <c r="AZ4" s="53"/>
      <c r="BA4" s="207"/>
      <c r="BB4" s="13" t="s">
        <v>32</v>
      </c>
      <c r="BC4" s="13" t="s">
        <v>41</v>
      </c>
      <c r="BD4" s="13" t="s">
        <v>41</v>
      </c>
      <c r="BE4" s="13" t="s">
        <v>41</v>
      </c>
      <c r="BF4" s="185"/>
      <c r="BG4" s="197"/>
      <c r="BH4" s="188"/>
      <c r="BI4" s="13" t="s">
        <v>32</v>
      </c>
      <c r="BJ4" s="13" t="s">
        <v>40</v>
      </c>
      <c r="BK4" s="13" t="s">
        <v>40</v>
      </c>
      <c r="BL4" s="13" t="s">
        <v>41</v>
      </c>
      <c r="BM4" s="53"/>
      <c r="BN4" s="188"/>
      <c r="BO4" s="13" t="s">
        <v>32</v>
      </c>
      <c r="BP4" s="13" t="s">
        <v>41</v>
      </c>
      <c r="BQ4" s="13" t="s">
        <v>40</v>
      </c>
      <c r="BR4" s="13" t="s">
        <v>41</v>
      </c>
      <c r="BS4" s="53"/>
      <c r="BT4" s="188"/>
      <c r="BU4" s="13" t="s">
        <v>32</v>
      </c>
      <c r="BV4" s="13" t="s">
        <v>41</v>
      </c>
      <c r="BW4" s="13" t="s">
        <v>40</v>
      </c>
      <c r="BX4" s="13" t="s">
        <v>41</v>
      </c>
      <c r="BY4" s="200"/>
    </row>
    <row r="5" spans="1:77" ht="15" customHeight="1" thickTop="1" thickBot="1" x14ac:dyDescent="0.3">
      <c r="A5" s="176"/>
      <c r="B5" s="198"/>
      <c r="C5" s="189"/>
      <c r="D5" s="13" t="s">
        <v>38</v>
      </c>
      <c r="E5" s="13" t="s">
        <v>41</v>
      </c>
      <c r="F5" s="13" t="s">
        <v>41</v>
      </c>
      <c r="G5" s="13" t="s">
        <v>41</v>
      </c>
      <c r="H5" s="54"/>
      <c r="I5" s="189"/>
      <c r="J5" s="13" t="s">
        <v>38</v>
      </c>
      <c r="K5" s="13" t="s">
        <v>41</v>
      </c>
      <c r="L5" s="13" t="s">
        <v>41</v>
      </c>
      <c r="M5" s="13" t="s">
        <v>41</v>
      </c>
      <c r="N5" s="54"/>
      <c r="O5" s="189"/>
      <c r="P5" s="13" t="s">
        <v>38</v>
      </c>
      <c r="Q5" s="13" t="s">
        <v>41</v>
      </c>
      <c r="R5" s="13" t="s">
        <v>41</v>
      </c>
      <c r="S5" s="13" t="s">
        <v>41</v>
      </c>
      <c r="T5" s="185"/>
      <c r="U5" s="198"/>
      <c r="V5" s="189"/>
      <c r="W5" s="13" t="s">
        <v>38</v>
      </c>
      <c r="X5" s="13" t="s">
        <v>41</v>
      </c>
      <c r="Y5" s="13" t="s">
        <v>41</v>
      </c>
      <c r="Z5" s="13" t="s">
        <v>41</v>
      </c>
      <c r="AA5" s="54"/>
      <c r="AB5" s="189"/>
      <c r="AC5" s="13" t="s">
        <v>38</v>
      </c>
      <c r="AD5" s="13" t="s">
        <v>41</v>
      </c>
      <c r="AE5" s="13" t="s">
        <v>41</v>
      </c>
      <c r="AF5" s="13" t="s">
        <v>41</v>
      </c>
      <c r="AG5" s="54"/>
      <c r="AH5" s="189"/>
      <c r="AI5" s="13" t="s">
        <v>38</v>
      </c>
      <c r="AJ5" s="13" t="s">
        <v>41</v>
      </c>
      <c r="AK5" s="13" t="s">
        <v>41</v>
      </c>
      <c r="AL5" s="13" t="s">
        <v>41</v>
      </c>
      <c r="AM5" s="185"/>
      <c r="AN5" s="198"/>
      <c r="AO5" s="206"/>
      <c r="AP5" s="13" t="s">
        <v>38</v>
      </c>
      <c r="AQ5" s="13" t="s">
        <v>41</v>
      </c>
      <c r="AR5" s="13" t="s">
        <v>41</v>
      </c>
      <c r="AS5" s="13" t="s">
        <v>41</v>
      </c>
      <c r="AT5" s="54"/>
      <c r="AU5" s="206"/>
      <c r="AV5" s="13" t="s">
        <v>38</v>
      </c>
      <c r="AW5" s="81" t="s">
        <v>42</v>
      </c>
      <c r="AX5" s="13" t="s">
        <v>41</v>
      </c>
      <c r="AY5" s="13" t="s">
        <v>41</v>
      </c>
      <c r="AZ5" s="54"/>
      <c r="BA5" s="208"/>
      <c r="BB5" s="13" t="s">
        <v>38</v>
      </c>
      <c r="BC5" s="13" t="s">
        <v>41</v>
      </c>
      <c r="BD5" s="13" t="s">
        <v>41</v>
      </c>
      <c r="BE5" s="13" t="s">
        <v>41</v>
      </c>
      <c r="BF5" s="185"/>
      <c r="BG5" s="198"/>
      <c r="BH5" s="189"/>
      <c r="BI5" s="18" t="s">
        <v>38</v>
      </c>
      <c r="BJ5" s="18" t="s">
        <v>41</v>
      </c>
      <c r="BK5" s="18" t="s">
        <v>41</v>
      </c>
      <c r="BL5" s="18" t="s">
        <v>41</v>
      </c>
      <c r="BM5" s="54"/>
      <c r="BN5" s="189"/>
      <c r="BO5" s="18" t="s">
        <v>38</v>
      </c>
      <c r="BP5" s="18" t="s">
        <v>42</v>
      </c>
      <c r="BQ5" s="18" t="s">
        <v>41</v>
      </c>
      <c r="BR5" s="18" t="s">
        <v>41</v>
      </c>
      <c r="BS5" s="54"/>
      <c r="BT5" s="189"/>
      <c r="BU5" s="18" t="s">
        <v>38</v>
      </c>
      <c r="BV5" s="81" t="s">
        <v>42</v>
      </c>
      <c r="BW5" s="13" t="s">
        <v>41</v>
      </c>
      <c r="BX5" s="13" t="s">
        <v>41</v>
      </c>
      <c r="BY5" s="212"/>
    </row>
    <row r="6" spans="1:77" ht="15" customHeight="1" thickBot="1" x14ac:dyDescent="0.3">
      <c r="A6" s="176"/>
      <c r="B6" s="178"/>
      <c r="C6" s="178"/>
      <c r="D6" s="178"/>
      <c r="E6" s="178"/>
      <c r="F6" s="178"/>
      <c r="G6" s="178"/>
      <c r="H6" s="178"/>
      <c r="I6" s="178"/>
      <c r="J6" s="178"/>
      <c r="K6" s="178"/>
      <c r="L6" s="178"/>
      <c r="M6" s="178"/>
      <c r="N6" s="178"/>
      <c r="O6" s="178"/>
      <c r="P6" s="178"/>
      <c r="Q6" s="178"/>
      <c r="R6" s="178"/>
      <c r="S6" s="178"/>
      <c r="T6" s="176"/>
      <c r="U6" s="178"/>
      <c r="V6" s="178"/>
      <c r="W6" s="178"/>
      <c r="X6" s="178"/>
      <c r="Y6" s="178"/>
      <c r="Z6" s="178"/>
      <c r="AA6" s="178"/>
      <c r="AB6" s="178"/>
      <c r="AC6" s="178"/>
      <c r="AD6" s="178"/>
      <c r="AE6" s="178"/>
      <c r="AF6" s="178"/>
      <c r="AG6" s="178"/>
      <c r="AH6" s="178"/>
      <c r="AI6" s="178"/>
      <c r="AJ6" s="178"/>
      <c r="AK6" s="178"/>
      <c r="AL6" s="178"/>
      <c r="AM6" s="176"/>
      <c r="AN6" s="180"/>
      <c r="AO6" s="180"/>
      <c r="AP6" s="180"/>
      <c r="AQ6" s="180"/>
      <c r="AR6" s="180"/>
      <c r="AS6" s="180"/>
      <c r="AT6" s="180"/>
      <c r="AU6" s="180"/>
      <c r="AV6" s="180"/>
      <c r="AW6" s="180"/>
      <c r="AX6" s="180"/>
      <c r="AY6" s="180"/>
      <c r="AZ6" s="180"/>
      <c r="BA6" s="180"/>
      <c r="BB6" s="180"/>
      <c r="BC6" s="180"/>
      <c r="BD6" s="180"/>
      <c r="BE6" s="180"/>
      <c r="BF6" s="176"/>
      <c r="BG6" s="180"/>
      <c r="BH6" s="180"/>
      <c r="BI6" s="180"/>
      <c r="BJ6" s="180"/>
      <c r="BK6" s="180"/>
      <c r="BL6" s="180"/>
      <c r="BM6" s="180"/>
      <c r="BN6" s="180"/>
      <c r="BO6" s="180"/>
      <c r="BP6" s="180"/>
      <c r="BQ6" s="180"/>
      <c r="BR6" s="180"/>
      <c r="BS6" s="180"/>
      <c r="BT6" s="180"/>
      <c r="BU6" s="180"/>
      <c r="BV6" s="180"/>
      <c r="BW6" s="180"/>
      <c r="BX6" s="180"/>
      <c r="BY6" s="180"/>
    </row>
    <row r="7" spans="1:77" ht="15" customHeight="1" thickTop="1" thickBot="1" x14ac:dyDescent="0.3">
      <c r="A7" s="176"/>
      <c r="B7" s="178"/>
      <c r="C7" s="178"/>
      <c r="D7" s="178"/>
      <c r="E7" s="178"/>
      <c r="F7" s="178"/>
      <c r="G7" s="178"/>
      <c r="H7" s="178"/>
      <c r="I7" s="178"/>
      <c r="J7" s="178"/>
      <c r="K7" s="178"/>
      <c r="L7" s="178"/>
      <c r="M7" s="178"/>
      <c r="N7" s="178"/>
      <c r="O7" s="178"/>
      <c r="P7" s="178"/>
      <c r="Q7" s="178"/>
      <c r="R7" s="178"/>
      <c r="S7" s="178"/>
      <c r="T7" s="176"/>
      <c r="U7" s="178"/>
      <c r="V7" s="178"/>
      <c r="W7" s="178"/>
      <c r="X7" s="178"/>
      <c r="Y7" s="178"/>
      <c r="Z7" s="178"/>
      <c r="AA7" s="178"/>
      <c r="AB7" s="178"/>
      <c r="AC7" s="178"/>
      <c r="AD7" s="178"/>
      <c r="AE7" s="178"/>
      <c r="AF7" s="178"/>
      <c r="AG7" s="178"/>
      <c r="AH7" s="178"/>
      <c r="AI7" s="178"/>
      <c r="AJ7" s="178"/>
      <c r="AK7" s="178"/>
      <c r="AL7" s="178"/>
      <c r="AM7" s="176"/>
      <c r="AN7" s="180"/>
      <c r="AO7" s="180"/>
      <c r="AP7" s="180"/>
      <c r="AQ7" s="180"/>
      <c r="AR7" s="180"/>
      <c r="AS7" s="180"/>
      <c r="AT7" s="180"/>
      <c r="AU7" s="180"/>
      <c r="AV7" s="180"/>
      <c r="AW7" s="180"/>
      <c r="AX7" s="180"/>
      <c r="AY7" s="180"/>
      <c r="AZ7" s="180"/>
      <c r="BA7" s="180"/>
      <c r="BB7" s="180"/>
      <c r="BC7" s="180"/>
      <c r="BD7" s="180"/>
      <c r="BE7" s="180"/>
      <c r="BF7" s="185"/>
      <c r="BG7" s="216" t="s">
        <v>43</v>
      </c>
      <c r="BH7" s="20"/>
      <c r="BI7" s="11"/>
      <c r="BJ7" s="187" t="s">
        <v>32</v>
      </c>
      <c r="BK7" s="187"/>
      <c r="BL7" s="187"/>
      <c r="BM7" s="52"/>
      <c r="BN7" s="11"/>
      <c r="BO7" s="11"/>
      <c r="BP7" s="187" t="s">
        <v>32</v>
      </c>
      <c r="BQ7" s="187"/>
      <c r="BR7" s="187"/>
      <c r="BS7" s="52"/>
      <c r="BT7" s="11"/>
      <c r="BU7" s="11"/>
      <c r="BV7" s="187" t="s">
        <v>32</v>
      </c>
      <c r="BW7" s="187"/>
      <c r="BX7" s="219"/>
      <c r="BY7" s="199" t="s">
        <v>44</v>
      </c>
    </row>
    <row r="8" spans="1:77" ht="15" customHeight="1" thickTop="1" x14ac:dyDescent="0.25">
      <c r="A8" s="176"/>
      <c r="B8" s="178"/>
      <c r="C8" s="178"/>
      <c r="D8" s="178"/>
      <c r="E8" s="178"/>
      <c r="F8" s="178"/>
      <c r="G8" s="178"/>
      <c r="H8" s="178"/>
      <c r="I8" s="178"/>
      <c r="J8" s="178"/>
      <c r="K8" s="178"/>
      <c r="L8" s="178"/>
      <c r="M8" s="178"/>
      <c r="N8" s="178"/>
      <c r="O8" s="178"/>
      <c r="P8" s="178"/>
      <c r="Q8" s="178"/>
      <c r="R8" s="178"/>
      <c r="S8" s="178"/>
      <c r="T8" s="176"/>
      <c r="U8" s="178"/>
      <c r="V8" s="178"/>
      <c r="W8" s="178"/>
      <c r="X8" s="178"/>
      <c r="Y8" s="178"/>
      <c r="Z8" s="178"/>
      <c r="AA8" s="178"/>
      <c r="AB8" s="178"/>
      <c r="AC8" s="178"/>
      <c r="AD8" s="178"/>
      <c r="AE8" s="178"/>
      <c r="AF8" s="178"/>
      <c r="AG8" s="178"/>
      <c r="AH8" s="178"/>
      <c r="AI8" s="178"/>
      <c r="AJ8" s="178"/>
      <c r="AK8" s="178"/>
      <c r="AL8" s="178"/>
      <c r="AM8" s="176"/>
      <c r="AN8" s="180"/>
      <c r="AO8" s="180"/>
      <c r="AP8" s="180"/>
      <c r="AQ8" s="180"/>
      <c r="AR8" s="180"/>
      <c r="AS8" s="180"/>
      <c r="AT8" s="180"/>
      <c r="AU8" s="180"/>
      <c r="AV8" s="180"/>
      <c r="AW8" s="180"/>
      <c r="AX8" s="180"/>
      <c r="AY8" s="180"/>
      <c r="AZ8" s="180"/>
      <c r="BA8" s="180"/>
      <c r="BB8" s="180"/>
      <c r="BC8" s="180"/>
      <c r="BD8" s="180"/>
      <c r="BE8" s="180"/>
      <c r="BF8" s="185"/>
      <c r="BG8" s="217"/>
      <c r="BH8" s="21"/>
      <c r="BI8" s="16" t="s">
        <v>36</v>
      </c>
      <c r="BJ8" s="13" t="s">
        <v>37</v>
      </c>
      <c r="BK8" s="13" t="s">
        <v>32</v>
      </c>
      <c r="BL8" s="13" t="s">
        <v>38</v>
      </c>
      <c r="BM8" s="53"/>
      <c r="BO8" s="16" t="s">
        <v>36</v>
      </c>
      <c r="BP8" s="13" t="s">
        <v>37</v>
      </c>
      <c r="BQ8" s="13" t="s">
        <v>32</v>
      </c>
      <c r="BR8" s="13" t="s">
        <v>38</v>
      </c>
      <c r="BS8" s="53"/>
      <c r="BU8" s="16" t="s">
        <v>36</v>
      </c>
      <c r="BV8" s="13" t="s">
        <v>37</v>
      </c>
      <c r="BW8" s="13" t="s">
        <v>32</v>
      </c>
      <c r="BX8" s="82" t="s">
        <v>38</v>
      </c>
      <c r="BY8" s="200"/>
    </row>
    <row r="9" spans="1:77" ht="15" customHeight="1" thickBot="1" x14ac:dyDescent="0.3">
      <c r="A9" s="176"/>
      <c r="B9" s="178"/>
      <c r="C9" s="178"/>
      <c r="D9" s="178"/>
      <c r="E9" s="178"/>
      <c r="F9" s="178"/>
      <c r="G9" s="178"/>
      <c r="H9" s="178"/>
      <c r="I9" s="178"/>
      <c r="J9" s="178"/>
      <c r="K9" s="178"/>
      <c r="L9" s="178"/>
      <c r="M9" s="178"/>
      <c r="N9" s="178"/>
      <c r="O9" s="178"/>
      <c r="P9" s="178"/>
      <c r="Q9" s="178"/>
      <c r="R9" s="178"/>
      <c r="S9" s="178"/>
      <c r="T9" s="176"/>
      <c r="U9" s="178"/>
      <c r="V9" s="178"/>
      <c r="W9" s="178"/>
      <c r="X9" s="178"/>
      <c r="Y9" s="178"/>
      <c r="Z9" s="178"/>
      <c r="AA9" s="178"/>
      <c r="AB9" s="178"/>
      <c r="AC9" s="178"/>
      <c r="AD9" s="178"/>
      <c r="AE9" s="178"/>
      <c r="AF9" s="178"/>
      <c r="AG9" s="178"/>
      <c r="AH9" s="178"/>
      <c r="AI9" s="178"/>
      <c r="AJ9" s="178"/>
      <c r="AK9" s="178"/>
      <c r="AL9" s="178"/>
      <c r="AM9" s="176"/>
      <c r="AN9" s="180"/>
      <c r="AO9" s="180"/>
      <c r="AP9" s="180"/>
      <c r="AQ9" s="180"/>
      <c r="AR9" s="180"/>
      <c r="AS9" s="180"/>
      <c r="AT9" s="180"/>
      <c r="AU9" s="180"/>
      <c r="AV9" s="180"/>
      <c r="AW9" s="180"/>
      <c r="AX9" s="180"/>
      <c r="AY9" s="180"/>
      <c r="AZ9" s="180"/>
      <c r="BA9" s="180"/>
      <c r="BB9" s="180"/>
      <c r="BC9" s="180"/>
      <c r="BD9" s="180"/>
      <c r="BE9" s="180"/>
      <c r="BF9" s="185"/>
      <c r="BG9" s="217"/>
      <c r="BH9" s="188" t="s">
        <v>39</v>
      </c>
      <c r="BI9" s="13" t="s">
        <v>37</v>
      </c>
      <c r="BJ9" s="13" t="s">
        <v>40</v>
      </c>
      <c r="BK9" s="13" t="s">
        <v>40</v>
      </c>
      <c r="BL9" s="13" t="s">
        <v>41</v>
      </c>
      <c r="BM9" s="53"/>
      <c r="BN9" s="188" t="s">
        <v>39</v>
      </c>
      <c r="BO9" s="13" t="s">
        <v>37</v>
      </c>
      <c r="BP9" s="13" t="s">
        <v>40</v>
      </c>
      <c r="BQ9" s="13" t="s">
        <v>41</v>
      </c>
      <c r="BR9" s="13" t="s">
        <v>42</v>
      </c>
      <c r="BS9" s="53"/>
      <c r="BT9" s="188" t="s">
        <v>39</v>
      </c>
      <c r="BU9" s="13" t="s">
        <v>37</v>
      </c>
      <c r="BV9" s="77" t="s">
        <v>42</v>
      </c>
      <c r="BW9" s="13" t="s">
        <v>41</v>
      </c>
      <c r="BX9" s="81" t="s">
        <v>42</v>
      </c>
      <c r="BY9" s="200"/>
    </row>
    <row r="10" spans="1:77" ht="15" customHeight="1" thickTop="1" thickBot="1" x14ac:dyDescent="0.3">
      <c r="A10" s="176"/>
      <c r="B10" s="178"/>
      <c r="C10" s="178"/>
      <c r="D10" s="178"/>
      <c r="E10" s="178"/>
      <c r="F10" s="178"/>
      <c r="G10" s="178"/>
      <c r="H10" s="178"/>
      <c r="I10" s="178"/>
      <c r="J10" s="178"/>
      <c r="K10" s="178"/>
      <c r="L10" s="178"/>
      <c r="M10" s="178"/>
      <c r="N10" s="178"/>
      <c r="O10" s="178"/>
      <c r="P10" s="178"/>
      <c r="Q10" s="178"/>
      <c r="R10" s="178"/>
      <c r="S10" s="178"/>
      <c r="T10" s="176"/>
      <c r="U10" s="178"/>
      <c r="V10" s="178"/>
      <c r="W10" s="178"/>
      <c r="X10" s="178"/>
      <c r="Y10" s="178"/>
      <c r="Z10" s="178"/>
      <c r="AA10" s="178"/>
      <c r="AB10" s="178"/>
      <c r="AC10" s="178"/>
      <c r="AD10" s="178"/>
      <c r="AE10" s="178"/>
      <c r="AF10" s="178"/>
      <c r="AG10" s="178"/>
      <c r="AH10" s="178"/>
      <c r="AI10" s="178"/>
      <c r="AJ10" s="178"/>
      <c r="AK10" s="178"/>
      <c r="AL10" s="178"/>
      <c r="AM10" s="176"/>
      <c r="AN10" s="180"/>
      <c r="AO10" s="180"/>
      <c r="AP10" s="180"/>
      <c r="AQ10" s="180"/>
      <c r="AR10" s="180"/>
      <c r="AS10" s="180"/>
      <c r="AT10" s="180"/>
      <c r="AU10" s="180"/>
      <c r="AV10" s="180"/>
      <c r="AW10" s="180"/>
      <c r="AX10" s="180"/>
      <c r="AY10" s="180"/>
      <c r="AZ10" s="180"/>
      <c r="BA10" s="180"/>
      <c r="BB10" s="180"/>
      <c r="BC10" s="180"/>
      <c r="BD10" s="180"/>
      <c r="BE10" s="180"/>
      <c r="BF10" s="185"/>
      <c r="BG10" s="217"/>
      <c r="BH10" s="188"/>
      <c r="BI10" s="13" t="s">
        <v>32</v>
      </c>
      <c r="BJ10" s="13" t="s">
        <v>40</v>
      </c>
      <c r="BK10" s="13" t="s">
        <v>40</v>
      </c>
      <c r="BL10" s="13" t="s">
        <v>41</v>
      </c>
      <c r="BM10" s="53"/>
      <c r="BN10" s="188"/>
      <c r="BO10" s="13" t="s">
        <v>32</v>
      </c>
      <c r="BP10" s="13" t="s">
        <v>41</v>
      </c>
      <c r="BQ10" s="13" t="s">
        <v>40</v>
      </c>
      <c r="BR10" s="13" t="s">
        <v>41</v>
      </c>
      <c r="BS10" s="53"/>
      <c r="BT10" s="188"/>
      <c r="BU10" s="13" t="s">
        <v>32</v>
      </c>
      <c r="BV10" s="13" t="s">
        <v>41</v>
      </c>
      <c r="BW10" s="13" t="s">
        <v>40</v>
      </c>
      <c r="BX10" s="13" t="s">
        <v>41</v>
      </c>
      <c r="BY10" s="200"/>
    </row>
    <row r="11" spans="1:77" ht="15" customHeight="1" thickTop="1" thickBot="1" x14ac:dyDescent="0.3">
      <c r="A11" s="176"/>
      <c r="B11" s="178"/>
      <c r="C11" s="178"/>
      <c r="D11" s="178"/>
      <c r="E11" s="178"/>
      <c r="F11" s="178"/>
      <c r="G11" s="178"/>
      <c r="H11" s="178"/>
      <c r="I11" s="178"/>
      <c r="J11" s="178"/>
      <c r="K11" s="178"/>
      <c r="L11" s="178"/>
      <c r="M11" s="178"/>
      <c r="N11" s="178"/>
      <c r="O11" s="178"/>
      <c r="P11" s="178"/>
      <c r="Q11" s="178"/>
      <c r="R11" s="178"/>
      <c r="S11" s="178"/>
      <c r="T11" s="176"/>
      <c r="U11" s="178"/>
      <c r="V11" s="178"/>
      <c r="W11" s="178"/>
      <c r="X11" s="178"/>
      <c r="Y11" s="178"/>
      <c r="Z11" s="178"/>
      <c r="AA11" s="178"/>
      <c r="AB11" s="178"/>
      <c r="AC11" s="178"/>
      <c r="AD11" s="178"/>
      <c r="AE11" s="178"/>
      <c r="AF11" s="178"/>
      <c r="AG11" s="178"/>
      <c r="AH11" s="178"/>
      <c r="AI11" s="178"/>
      <c r="AJ11" s="178"/>
      <c r="AK11" s="178"/>
      <c r="AL11" s="178"/>
      <c r="AM11" s="176"/>
      <c r="AN11" s="180"/>
      <c r="AO11" s="180"/>
      <c r="AP11" s="180"/>
      <c r="AQ11" s="180"/>
      <c r="AR11" s="180"/>
      <c r="AS11" s="180"/>
      <c r="AT11" s="180"/>
      <c r="AU11" s="180"/>
      <c r="AV11" s="180"/>
      <c r="AW11" s="180"/>
      <c r="AX11" s="180"/>
      <c r="AY11" s="180"/>
      <c r="AZ11" s="180"/>
      <c r="BA11" s="180"/>
      <c r="BB11" s="180"/>
      <c r="BC11" s="180"/>
      <c r="BD11" s="180"/>
      <c r="BE11" s="180"/>
      <c r="BF11" s="186"/>
      <c r="BG11" s="218"/>
      <c r="BH11" s="189"/>
      <c r="BI11" s="18" t="s">
        <v>38</v>
      </c>
      <c r="BJ11" s="18" t="s">
        <v>41</v>
      </c>
      <c r="BK11" s="18" t="s">
        <v>41</v>
      </c>
      <c r="BL11" s="18" t="s">
        <v>41</v>
      </c>
      <c r="BM11" s="54"/>
      <c r="BN11" s="189"/>
      <c r="BO11" s="18" t="s">
        <v>38</v>
      </c>
      <c r="BP11" s="18" t="s">
        <v>42</v>
      </c>
      <c r="BQ11" s="18" t="s">
        <v>41</v>
      </c>
      <c r="BR11" s="18" t="s">
        <v>41</v>
      </c>
      <c r="BS11" s="54"/>
      <c r="BT11" s="189"/>
      <c r="BU11" s="18" t="s">
        <v>38</v>
      </c>
      <c r="BV11" s="81" t="s">
        <v>40</v>
      </c>
      <c r="BW11" s="13" t="s">
        <v>41</v>
      </c>
      <c r="BX11" s="13" t="s">
        <v>41</v>
      </c>
      <c r="BY11" s="212"/>
    </row>
    <row r="12" spans="1:77" ht="15" customHeight="1" thickBot="1" x14ac:dyDescent="0.3">
      <c r="A12" s="176"/>
      <c r="B12" s="178"/>
      <c r="C12" s="178"/>
      <c r="D12" s="178"/>
      <c r="E12" s="178"/>
      <c r="F12" s="178"/>
      <c r="G12" s="178"/>
      <c r="H12" s="178"/>
      <c r="I12" s="178"/>
      <c r="J12" s="178"/>
      <c r="K12" s="178"/>
      <c r="L12" s="178"/>
      <c r="M12" s="178"/>
      <c r="N12" s="178"/>
      <c r="O12" s="178"/>
      <c r="P12" s="178"/>
      <c r="Q12" s="178"/>
      <c r="R12" s="178"/>
      <c r="S12" s="178"/>
      <c r="T12" s="176"/>
      <c r="U12" s="178"/>
      <c r="V12" s="178"/>
      <c r="W12" s="178"/>
      <c r="X12" s="178"/>
      <c r="Y12" s="178"/>
      <c r="Z12" s="178"/>
      <c r="AA12" s="178"/>
      <c r="AB12" s="178"/>
      <c r="AC12" s="178"/>
      <c r="AD12" s="178"/>
      <c r="AE12" s="178"/>
      <c r="AF12" s="178"/>
      <c r="AG12" s="178"/>
      <c r="AH12" s="178"/>
      <c r="AI12" s="178"/>
      <c r="AJ12" s="178"/>
      <c r="AK12" s="178"/>
      <c r="AL12" s="178"/>
      <c r="AM12" s="176"/>
      <c r="AN12" s="181"/>
      <c r="AO12" s="181"/>
      <c r="AP12" s="181"/>
      <c r="AQ12" s="181"/>
      <c r="AR12" s="181"/>
      <c r="AS12" s="181"/>
      <c r="AT12" s="181"/>
      <c r="AU12" s="181"/>
      <c r="AV12" s="181"/>
      <c r="AW12" s="181"/>
      <c r="AX12" s="181"/>
      <c r="AY12" s="181"/>
      <c r="AZ12" s="181"/>
      <c r="BA12" s="181"/>
      <c r="BB12" s="181"/>
      <c r="BC12" s="181"/>
      <c r="BD12" s="181"/>
      <c r="BE12" s="181"/>
      <c r="BG12" s="180"/>
      <c r="BH12" s="180"/>
      <c r="BI12" s="180"/>
      <c r="BJ12" s="180"/>
      <c r="BK12" s="180"/>
      <c r="BL12" s="180"/>
      <c r="BM12" s="180"/>
      <c r="BN12" s="180"/>
      <c r="BO12" s="180"/>
      <c r="BP12" s="180"/>
      <c r="BQ12" s="180"/>
      <c r="BR12" s="180"/>
      <c r="BS12" s="180"/>
      <c r="BT12" s="180"/>
      <c r="BU12" s="180"/>
      <c r="BV12" s="180"/>
      <c r="BW12" s="180"/>
      <c r="BX12" s="180"/>
      <c r="BY12" s="180"/>
    </row>
    <row r="13" spans="1:77" ht="15" customHeight="1" thickTop="1" thickBot="1" x14ac:dyDescent="0.3">
      <c r="A13" s="176"/>
      <c r="B13" s="178"/>
      <c r="C13" s="178"/>
      <c r="D13" s="178"/>
      <c r="E13" s="178"/>
      <c r="F13" s="178"/>
      <c r="G13" s="178"/>
      <c r="H13" s="178"/>
      <c r="I13" s="178"/>
      <c r="J13" s="178"/>
      <c r="K13" s="178"/>
      <c r="L13" s="178"/>
      <c r="M13" s="178"/>
      <c r="N13" s="178"/>
      <c r="O13" s="178"/>
      <c r="P13" s="178"/>
      <c r="Q13" s="178"/>
      <c r="R13" s="178"/>
      <c r="S13" s="178"/>
      <c r="T13" s="176"/>
      <c r="U13" s="178"/>
      <c r="V13" s="178"/>
      <c r="W13" s="178"/>
      <c r="X13" s="178"/>
      <c r="Y13" s="178"/>
      <c r="Z13" s="178"/>
      <c r="AA13" s="178"/>
      <c r="AB13" s="178"/>
      <c r="AC13" s="178"/>
      <c r="AD13" s="178"/>
      <c r="AE13" s="178"/>
      <c r="AF13" s="178"/>
      <c r="AG13" s="178"/>
      <c r="AH13" s="178"/>
      <c r="AI13" s="178"/>
      <c r="AJ13" s="178"/>
      <c r="AK13" s="178"/>
      <c r="AL13" s="178"/>
      <c r="AM13" s="185"/>
      <c r="AN13" s="193" t="s">
        <v>43</v>
      </c>
      <c r="AO13" s="20"/>
      <c r="AP13" s="11"/>
      <c r="AQ13" s="187" t="s">
        <v>32</v>
      </c>
      <c r="AR13" s="187"/>
      <c r="AS13" s="187"/>
      <c r="AT13" s="52"/>
      <c r="AU13" s="11"/>
      <c r="AV13" s="11"/>
      <c r="AW13" s="187" t="s">
        <v>32</v>
      </c>
      <c r="AX13" s="187"/>
      <c r="AY13" s="187"/>
      <c r="AZ13" s="52"/>
      <c r="BA13" s="11"/>
      <c r="BB13" s="11"/>
      <c r="BC13" s="187" t="s">
        <v>32</v>
      </c>
      <c r="BD13" s="187"/>
      <c r="BE13" s="187"/>
      <c r="BF13" s="203" t="s">
        <v>45</v>
      </c>
      <c r="BG13" s="180"/>
      <c r="BH13" s="180"/>
      <c r="BI13" s="180"/>
      <c r="BJ13" s="180"/>
      <c r="BK13" s="180"/>
      <c r="BL13" s="180"/>
      <c r="BM13" s="180"/>
      <c r="BN13" s="180"/>
      <c r="BO13" s="180"/>
      <c r="BP13" s="180"/>
      <c r="BQ13" s="180"/>
      <c r="BR13" s="180"/>
      <c r="BS13" s="180"/>
      <c r="BT13" s="180"/>
      <c r="BU13" s="180"/>
      <c r="BV13" s="180"/>
      <c r="BW13" s="180"/>
      <c r="BX13" s="180"/>
      <c r="BY13" s="180"/>
    </row>
    <row r="14" spans="1:77" ht="15" customHeight="1" thickTop="1" x14ac:dyDescent="0.25">
      <c r="A14" s="176"/>
      <c r="B14" s="178"/>
      <c r="C14" s="178"/>
      <c r="D14" s="178"/>
      <c r="E14" s="178"/>
      <c r="F14" s="178"/>
      <c r="G14" s="178"/>
      <c r="H14" s="178"/>
      <c r="I14" s="178"/>
      <c r="J14" s="178"/>
      <c r="K14" s="178"/>
      <c r="L14" s="178"/>
      <c r="M14" s="178"/>
      <c r="N14" s="178"/>
      <c r="O14" s="178"/>
      <c r="P14" s="178"/>
      <c r="Q14" s="178"/>
      <c r="R14" s="178"/>
      <c r="S14" s="178"/>
      <c r="T14" s="176"/>
      <c r="U14" s="178"/>
      <c r="V14" s="178"/>
      <c r="W14" s="178"/>
      <c r="X14" s="178"/>
      <c r="Y14" s="178"/>
      <c r="Z14" s="178"/>
      <c r="AA14" s="178"/>
      <c r="AB14" s="178"/>
      <c r="AC14" s="178"/>
      <c r="AD14" s="178"/>
      <c r="AE14" s="178"/>
      <c r="AF14" s="178"/>
      <c r="AG14" s="178"/>
      <c r="AH14" s="178"/>
      <c r="AI14" s="178"/>
      <c r="AJ14" s="178"/>
      <c r="AK14" s="178"/>
      <c r="AL14" s="178"/>
      <c r="AM14" s="185"/>
      <c r="AN14" s="194"/>
      <c r="AO14" s="21"/>
      <c r="AP14" s="16" t="s">
        <v>36</v>
      </c>
      <c r="AQ14" s="13" t="s">
        <v>37</v>
      </c>
      <c r="AR14" s="13" t="s">
        <v>32</v>
      </c>
      <c r="AS14" s="13" t="s">
        <v>38</v>
      </c>
      <c r="AT14" s="53"/>
      <c r="AV14" s="16" t="s">
        <v>36</v>
      </c>
      <c r="AW14" s="13" t="s">
        <v>37</v>
      </c>
      <c r="AX14" s="13" t="s">
        <v>32</v>
      </c>
      <c r="AY14" s="13" t="s">
        <v>38</v>
      </c>
      <c r="AZ14" s="53"/>
      <c r="BB14" s="16" t="s">
        <v>36</v>
      </c>
      <c r="BC14" s="13" t="s">
        <v>37</v>
      </c>
      <c r="BD14" s="13" t="s">
        <v>32</v>
      </c>
      <c r="BE14" s="13" t="s">
        <v>38</v>
      </c>
      <c r="BF14" s="191"/>
      <c r="BG14" s="180"/>
      <c r="BH14" s="180"/>
      <c r="BI14" s="180"/>
      <c r="BJ14" s="180"/>
      <c r="BK14" s="180"/>
      <c r="BL14" s="180"/>
      <c r="BM14" s="180"/>
      <c r="BN14" s="180"/>
      <c r="BO14" s="180"/>
      <c r="BP14" s="180"/>
      <c r="BQ14" s="180"/>
      <c r="BR14" s="180"/>
      <c r="BS14" s="180"/>
      <c r="BT14" s="180"/>
      <c r="BU14" s="180"/>
      <c r="BV14" s="180"/>
      <c r="BW14" s="180"/>
      <c r="BX14" s="180"/>
      <c r="BY14" s="180"/>
    </row>
    <row r="15" spans="1:77" ht="15" customHeight="1" thickBot="1" x14ac:dyDescent="0.3">
      <c r="A15" s="176"/>
      <c r="B15" s="178"/>
      <c r="C15" s="178"/>
      <c r="D15" s="178"/>
      <c r="E15" s="178"/>
      <c r="F15" s="178"/>
      <c r="G15" s="178"/>
      <c r="H15" s="178"/>
      <c r="I15" s="178"/>
      <c r="J15" s="178"/>
      <c r="K15" s="178"/>
      <c r="L15" s="178"/>
      <c r="M15" s="178"/>
      <c r="N15" s="178"/>
      <c r="O15" s="178"/>
      <c r="P15" s="178"/>
      <c r="Q15" s="178"/>
      <c r="R15" s="178"/>
      <c r="S15" s="178"/>
      <c r="T15" s="176"/>
      <c r="U15" s="178"/>
      <c r="V15" s="178"/>
      <c r="W15" s="178"/>
      <c r="X15" s="178"/>
      <c r="Y15" s="178"/>
      <c r="Z15" s="178"/>
      <c r="AA15" s="178"/>
      <c r="AB15" s="178"/>
      <c r="AC15" s="178"/>
      <c r="AD15" s="178"/>
      <c r="AE15" s="178"/>
      <c r="AF15" s="178"/>
      <c r="AG15" s="178"/>
      <c r="AH15" s="178"/>
      <c r="AI15" s="178"/>
      <c r="AJ15" s="178"/>
      <c r="AK15" s="178"/>
      <c r="AL15" s="178"/>
      <c r="AM15" s="185"/>
      <c r="AN15" s="194"/>
      <c r="AO15" s="188" t="s">
        <v>39</v>
      </c>
      <c r="AP15" s="13" t="s">
        <v>37</v>
      </c>
      <c r="AQ15" s="13" t="s">
        <v>40</v>
      </c>
      <c r="AR15" s="13" t="s">
        <v>40</v>
      </c>
      <c r="AS15" s="13" t="s">
        <v>41</v>
      </c>
      <c r="AT15" s="53"/>
      <c r="AU15" s="188" t="s">
        <v>39</v>
      </c>
      <c r="AV15" s="13" t="s">
        <v>37</v>
      </c>
      <c r="AW15" s="77" t="s">
        <v>42</v>
      </c>
      <c r="AX15" s="13" t="s">
        <v>41</v>
      </c>
      <c r="AY15" s="77" t="s">
        <v>42</v>
      </c>
      <c r="AZ15" s="53"/>
      <c r="BA15" s="188" t="s">
        <v>39</v>
      </c>
      <c r="BB15" s="13" t="s">
        <v>37</v>
      </c>
      <c r="BC15" s="13" t="s">
        <v>41</v>
      </c>
      <c r="BD15" s="13" t="s">
        <v>41</v>
      </c>
      <c r="BE15" s="13" t="s">
        <v>41</v>
      </c>
      <c r="BF15" s="191"/>
      <c r="BG15" s="180"/>
      <c r="BH15" s="180"/>
      <c r="BI15" s="180"/>
      <c r="BJ15" s="180"/>
      <c r="BK15" s="180"/>
      <c r="BL15" s="180"/>
      <c r="BM15" s="180"/>
      <c r="BN15" s="180"/>
      <c r="BO15" s="180"/>
      <c r="BP15" s="180"/>
      <c r="BQ15" s="180"/>
      <c r="BR15" s="180"/>
      <c r="BS15" s="180"/>
      <c r="BT15" s="180"/>
      <c r="BU15" s="180"/>
      <c r="BV15" s="180"/>
      <c r="BW15" s="180"/>
      <c r="BX15" s="180"/>
      <c r="BY15" s="180"/>
    </row>
    <row r="16" spans="1:77" ht="15" customHeight="1" thickTop="1" thickBot="1" x14ac:dyDescent="0.3">
      <c r="A16" s="176"/>
      <c r="B16" s="178"/>
      <c r="C16" s="178"/>
      <c r="D16" s="178"/>
      <c r="E16" s="178"/>
      <c r="F16" s="178"/>
      <c r="G16" s="178"/>
      <c r="H16" s="178"/>
      <c r="I16" s="178"/>
      <c r="J16" s="178"/>
      <c r="K16" s="178"/>
      <c r="L16" s="178"/>
      <c r="M16" s="178"/>
      <c r="N16" s="178"/>
      <c r="O16" s="178"/>
      <c r="P16" s="178"/>
      <c r="Q16" s="178"/>
      <c r="R16" s="178"/>
      <c r="S16" s="178"/>
      <c r="T16" s="176"/>
      <c r="U16" s="178"/>
      <c r="V16" s="178"/>
      <c r="W16" s="178"/>
      <c r="X16" s="178"/>
      <c r="Y16" s="178"/>
      <c r="Z16" s="178"/>
      <c r="AA16" s="178"/>
      <c r="AB16" s="178"/>
      <c r="AC16" s="178"/>
      <c r="AD16" s="178"/>
      <c r="AE16" s="178"/>
      <c r="AF16" s="178"/>
      <c r="AG16" s="178"/>
      <c r="AH16" s="178"/>
      <c r="AI16" s="178"/>
      <c r="AJ16" s="178"/>
      <c r="AK16" s="178"/>
      <c r="AL16" s="178"/>
      <c r="AM16" s="185"/>
      <c r="AN16" s="194"/>
      <c r="AO16" s="188"/>
      <c r="AP16" s="13" t="s">
        <v>32</v>
      </c>
      <c r="AQ16" s="13" t="s">
        <v>40</v>
      </c>
      <c r="AR16" s="13" t="s">
        <v>40</v>
      </c>
      <c r="AS16" s="13" t="s">
        <v>41</v>
      </c>
      <c r="AT16" s="53"/>
      <c r="AU16" s="188"/>
      <c r="AV16" s="13" t="s">
        <v>32</v>
      </c>
      <c r="AW16" s="13" t="s">
        <v>41</v>
      </c>
      <c r="AX16" s="13" t="s">
        <v>40</v>
      </c>
      <c r="AY16" s="13" t="s">
        <v>41</v>
      </c>
      <c r="AZ16" s="53"/>
      <c r="BA16" s="188"/>
      <c r="BB16" s="13" t="s">
        <v>32</v>
      </c>
      <c r="BC16" s="13" t="s">
        <v>41</v>
      </c>
      <c r="BD16" s="13" t="s">
        <v>41</v>
      </c>
      <c r="BE16" s="13" t="s">
        <v>41</v>
      </c>
      <c r="BF16" s="191"/>
      <c r="BG16" s="180"/>
      <c r="BH16" s="180"/>
      <c r="BI16" s="180"/>
      <c r="BJ16" s="180"/>
      <c r="BK16" s="180"/>
      <c r="BL16" s="180"/>
      <c r="BM16" s="180"/>
      <c r="BN16" s="180"/>
      <c r="BO16" s="180"/>
      <c r="BP16" s="180"/>
      <c r="BQ16" s="180"/>
      <c r="BR16" s="180"/>
      <c r="BS16" s="180"/>
      <c r="BT16" s="180"/>
      <c r="BU16" s="180"/>
      <c r="BV16" s="180"/>
      <c r="BW16" s="180"/>
      <c r="BX16" s="180"/>
      <c r="BY16" s="180"/>
    </row>
    <row r="17" spans="1:77" ht="15" customHeight="1" thickTop="1" thickBot="1" x14ac:dyDescent="0.3">
      <c r="A17" s="176"/>
      <c r="B17" s="178"/>
      <c r="C17" s="178"/>
      <c r="D17" s="178"/>
      <c r="E17" s="178"/>
      <c r="F17" s="178"/>
      <c r="G17" s="178"/>
      <c r="H17" s="178"/>
      <c r="I17" s="178"/>
      <c r="J17" s="178"/>
      <c r="K17" s="178"/>
      <c r="L17" s="178"/>
      <c r="M17" s="178"/>
      <c r="N17" s="178"/>
      <c r="O17" s="178"/>
      <c r="P17" s="178"/>
      <c r="Q17" s="178"/>
      <c r="R17" s="178"/>
      <c r="S17" s="178"/>
      <c r="T17" s="176"/>
      <c r="U17" s="178"/>
      <c r="V17" s="178"/>
      <c r="W17" s="178"/>
      <c r="X17" s="178"/>
      <c r="Y17" s="178"/>
      <c r="Z17" s="178"/>
      <c r="AA17" s="178"/>
      <c r="AB17" s="178"/>
      <c r="AC17" s="178"/>
      <c r="AD17" s="178"/>
      <c r="AE17" s="178"/>
      <c r="AF17" s="178"/>
      <c r="AG17" s="178"/>
      <c r="AH17" s="178"/>
      <c r="AI17" s="178"/>
      <c r="AJ17" s="178"/>
      <c r="AK17" s="178"/>
      <c r="AL17" s="178"/>
      <c r="AM17" s="186"/>
      <c r="AN17" s="195"/>
      <c r="AO17" s="189"/>
      <c r="AP17" s="13" t="s">
        <v>38</v>
      </c>
      <c r="AQ17" s="13" t="s">
        <v>41</v>
      </c>
      <c r="AR17" s="13" t="s">
        <v>41</v>
      </c>
      <c r="AS17" s="13" t="s">
        <v>41</v>
      </c>
      <c r="AT17" s="54"/>
      <c r="AU17" s="189"/>
      <c r="AV17" s="13" t="s">
        <v>38</v>
      </c>
      <c r="AW17" s="81" t="s">
        <v>40</v>
      </c>
      <c r="AX17" s="13" t="s">
        <v>41</v>
      </c>
      <c r="AY17" s="13" t="s">
        <v>41</v>
      </c>
      <c r="AZ17" s="54"/>
      <c r="BA17" s="189"/>
      <c r="BB17" s="13" t="s">
        <v>38</v>
      </c>
      <c r="BC17" s="13" t="s">
        <v>41</v>
      </c>
      <c r="BD17" s="13" t="s">
        <v>41</v>
      </c>
      <c r="BE17" s="13" t="s">
        <v>41</v>
      </c>
      <c r="BF17" s="192"/>
      <c r="BG17" s="180"/>
      <c r="BH17" s="180"/>
      <c r="BI17" s="180"/>
      <c r="BJ17" s="180"/>
      <c r="BK17" s="180"/>
      <c r="BL17" s="180"/>
      <c r="BM17" s="180"/>
      <c r="BN17" s="180"/>
      <c r="BO17" s="180"/>
      <c r="BP17" s="180"/>
      <c r="BQ17" s="180"/>
      <c r="BR17" s="180"/>
      <c r="BS17" s="180"/>
      <c r="BT17" s="180"/>
      <c r="BU17" s="180"/>
      <c r="BV17" s="180"/>
      <c r="BW17" s="180"/>
      <c r="BX17" s="180"/>
      <c r="BY17" s="180"/>
    </row>
    <row r="18" spans="1:77" ht="15" customHeight="1" thickBot="1" x14ac:dyDescent="0.3">
      <c r="A18" s="176"/>
      <c r="B18" s="178"/>
      <c r="C18" s="178"/>
      <c r="D18" s="178"/>
      <c r="E18" s="178"/>
      <c r="F18" s="178"/>
      <c r="G18" s="178"/>
      <c r="H18" s="178"/>
      <c r="I18" s="178"/>
      <c r="J18" s="178"/>
      <c r="K18" s="178"/>
      <c r="L18" s="178"/>
      <c r="M18" s="178"/>
      <c r="N18" s="178"/>
      <c r="O18" s="178"/>
      <c r="P18" s="178"/>
      <c r="Q18" s="178"/>
      <c r="R18" s="178"/>
      <c r="S18" s="178"/>
      <c r="T18" s="176"/>
      <c r="U18" s="179"/>
      <c r="V18" s="179"/>
      <c r="W18" s="179"/>
      <c r="X18" s="179"/>
      <c r="Y18" s="179"/>
      <c r="Z18" s="179"/>
      <c r="AA18" s="179"/>
      <c r="AB18" s="179"/>
      <c r="AC18" s="179"/>
      <c r="AD18" s="179"/>
      <c r="AE18" s="179"/>
      <c r="AF18" s="179"/>
      <c r="AG18" s="179"/>
      <c r="AH18" s="179"/>
      <c r="AI18" s="179"/>
      <c r="AJ18" s="179"/>
      <c r="AK18" s="179"/>
      <c r="AL18" s="179"/>
      <c r="AM18" s="84"/>
      <c r="AN18" s="173"/>
      <c r="AO18" s="173"/>
      <c r="AP18" s="173"/>
      <c r="AQ18" s="173"/>
      <c r="AR18" s="173"/>
      <c r="AS18" s="173"/>
      <c r="AT18" s="173"/>
      <c r="AU18" s="173"/>
      <c r="AV18" s="173"/>
      <c r="AW18" s="173"/>
      <c r="AX18" s="173"/>
      <c r="AY18" s="173"/>
      <c r="AZ18" s="173"/>
      <c r="BA18" s="173"/>
      <c r="BB18" s="173"/>
      <c r="BC18" s="173"/>
      <c r="BD18" s="173"/>
      <c r="BE18" s="173"/>
      <c r="BF18" s="173"/>
      <c r="BG18" s="180"/>
      <c r="BH18" s="180"/>
      <c r="BI18" s="180"/>
      <c r="BJ18" s="180"/>
      <c r="BK18" s="180"/>
      <c r="BL18" s="180"/>
      <c r="BM18" s="180"/>
      <c r="BN18" s="180"/>
      <c r="BO18" s="180"/>
      <c r="BP18" s="180"/>
      <c r="BQ18" s="180"/>
      <c r="BR18" s="180"/>
      <c r="BS18" s="180"/>
      <c r="BT18" s="180"/>
      <c r="BU18" s="180"/>
      <c r="BV18" s="180"/>
      <c r="BW18" s="180"/>
      <c r="BX18" s="180"/>
      <c r="BY18" s="180"/>
    </row>
    <row r="19" spans="1:77" ht="15" customHeight="1" thickTop="1" thickBot="1" x14ac:dyDescent="0.3">
      <c r="A19" s="176"/>
      <c r="B19" s="178"/>
      <c r="C19" s="178"/>
      <c r="D19" s="178"/>
      <c r="E19" s="178"/>
      <c r="F19" s="178"/>
      <c r="G19" s="178"/>
      <c r="H19" s="178"/>
      <c r="I19" s="178"/>
      <c r="J19" s="178"/>
      <c r="K19" s="178"/>
      <c r="L19" s="178"/>
      <c r="M19" s="178"/>
      <c r="N19" s="178"/>
      <c r="O19" s="178"/>
      <c r="P19" s="178"/>
      <c r="Q19" s="178"/>
      <c r="R19" s="178"/>
      <c r="S19" s="178"/>
      <c r="T19" s="185"/>
      <c r="U19" s="193" t="s">
        <v>43</v>
      </c>
      <c r="V19" s="20"/>
      <c r="W19" s="11"/>
      <c r="X19" s="187" t="s">
        <v>32</v>
      </c>
      <c r="Y19" s="187"/>
      <c r="Z19" s="187"/>
      <c r="AA19" s="52"/>
      <c r="AB19" s="11"/>
      <c r="AC19" s="11"/>
      <c r="AD19" s="187" t="s">
        <v>32</v>
      </c>
      <c r="AE19" s="187"/>
      <c r="AF19" s="187"/>
      <c r="AG19" s="52"/>
      <c r="AH19" s="11"/>
      <c r="AI19" s="11"/>
      <c r="AJ19" s="187" t="s">
        <v>32</v>
      </c>
      <c r="AK19" s="187"/>
      <c r="AL19" s="187"/>
      <c r="AM19" s="209" t="s">
        <v>86</v>
      </c>
      <c r="AN19" s="213" t="s">
        <v>31</v>
      </c>
      <c r="AO19" s="20"/>
      <c r="AP19" s="11"/>
      <c r="AQ19" s="187" t="s">
        <v>32</v>
      </c>
      <c r="AR19" s="187"/>
      <c r="AS19" s="187"/>
      <c r="AT19" s="52"/>
      <c r="AU19" s="11"/>
      <c r="AV19" s="11"/>
      <c r="AW19" s="187" t="s">
        <v>32</v>
      </c>
      <c r="AX19" s="187"/>
      <c r="AY19" s="187"/>
      <c r="AZ19" s="52"/>
      <c r="BA19" s="11"/>
      <c r="BB19" s="11"/>
      <c r="BC19" s="187" t="s">
        <v>32</v>
      </c>
      <c r="BD19" s="187"/>
      <c r="BE19" s="187"/>
      <c r="BF19" s="190" t="s">
        <v>46</v>
      </c>
      <c r="BG19" s="180"/>
      <c r="BH19" s="180"/>
      <c r="BI19" s="180"/>
      <c r="BJ19" s="180"/>
      <c r="BK19" s="180"/>
      <c r="BL19" s="180"/>
      <c r="BM19" s="180"/>
      <c r="BN19" s="180"/>
      <c r="BO19" s="180"/>
      <c r="BP19" s="180"/>
      <c r="BQ19" s="180"/>
      <c r="BR19" s="180"/>
      <c r="BS19" s="180"/>
      <c r="BT19" s="180"/>
      <c r="BU19" s="180"/>
      <c r="BV19" s="180"/>
      <c r="BW19" s="180"/>
      <c r="BX19" s="180"/>
      <c r="BY19" s="180"/>
    </row>
    <row r="20" spans="1:77" ht="15" customHeight="1" thickTop="1" x14ac:dyDescent="0.25">
      <c r="A20" s="176"/>
      <c r="B20" s="178"/>
      <c r="C20" s="178"/>
      <c r="D20" s="178"/>
      <c r="E20" s="178"/>
      <c r="F20" s="178"/>
      <c r="G20" s="178"/>
      <c r="H20" s="178"/>
      <c r="I20" s="178"/>
      <c r="J20" s="178"/>
      <c r="K20" s="178"/>
      <c r="L20" s="178"/>
      <c r="M20" s="178"/>
      <c r="N20" s="178"/>
      <c r="O20" s="178"/>
      <c r="P20" s="178"/>
      <c r="Q20" s="178"/>
      <c r="R20" s="178"/>
      <c r="S20" s="178"/>
      <c r="T20" s="185"/>
      <c r="U20" s="194"/>
      <c r="V20" s="21"/>
      <c r="W20" s="16" t="s">
        <v>36</v>
      </c>
      <c r="X20" s="13" t="s">
        <v>37</v>
      </c>
      <c r="Y20" s="13" t="s">
        <v>32</v>
      </c>
      <c r="Z20" s="13" t="s">
        <v>38</v>
      </c>
      <c r="AA20" s="53"/>
      <c r="AC20" s="16" t="s">
        <v>36</v>
      </c>
      <c r="AD20" s="13" t="s">
        <v>37</v>
      </c>
      <c r="AE20" s="13" t="s">
        <v>32</v>
      </c>
      <c r="AF20" s="13" t="s">
        <v>38</v>
      </c>
      <c r="AG20" s="53"/>
      <c r="AI20" s="16" t="s">
        <v>36</v>
      </c>
      <c r="AJ20" s="13" t="s">
        <v>37</v>
      </c>
      <c r="AK20" s="13" t="s">
        <v>32</v>
      </c>
      <c r="AL20" s="13" t="s">
        <v>38</v>
      </c>
      <c r="AM20" s="210"/>
      <c r="AN20" s="214"/>
      <c r="AO20" s="21"/>
      <c r="AP20" s="16" t="s">
        <v>36</v>
      </c>
      <c r="AQ20" s="13" t="s">
        <v>37</v>
      </c>
      <c r="AR20" s="13" t="s">
        <v>32</v>
      </c>
      <c r="AS20" s="13" t="s">
        <v>38</v>
      </c>
      <c r="AT20" s="53"/>
      <c r="AV20" s="16" t="s">
        <v>36</v>
      </c>
      <c r="AW20" s="13" t="s">
        <v>37</v>
      </c>
      <c r="AX20" s="13" t="s">
        <v>32</v>
      </c>
      <c r="AY20" s="13" t="s">
        <v>38</v>
      </c>
      <c r="AZ20" s="53"/>
      <c r="BB20" s="16" t="s">
        <v>36</v>
      </c>
      <c r="BC20" s="13" t="s">
        <v>37</v>
      </c>
      <c r="BD20" s="13" t="s">
        <v>32</v>
      </c>
      <c r="BE20" s="13" t="s">
        <v>38</v>
      </c>
      <c r="BF20" s="191"/>
      <c r="BG20" s="180"/>
      <c r="BH20" s="180"/>
      <c r="BI20" s="180"/>
      <c r="BJ20" s="180"/>
      <c r="BK20" s="180"/>
      <c r="BL20" s="180"/>
      <c r="BM20" s="180"/>
      <c r="BN20" s="180"/>
      <c r="BO20" s="180"/>
      <c r="BP20" s="180"/>
      <c r="BQ20" s="180"/>
      <c r="BR20" s="180"/>
      <c r="BS20" s="180"/>
      <c r="BT20" s="180"/>
      <c r="BU20" s="180"/>
      <c r="BV20" s="180"/>
      <c r="BW20" s="180"/>
      <c r="BX20" s="180"/>
      <c r="BY20" s="180"/>
    </row>
    <row r="21" spans="1:77" ht="15" customHeight="1" thickBot="1" x14ac:dyDescent="0.3">
      <c r="A21" s="176"/>
      <c r="B21" s="178"/>
      <c r="C21" s="178"/>
      <c r="D21" s="178"/>
      <c r="E21" s="178"/>
      <c r="F21" s="178"/>
      <c r="G21" s="178"/>
      <c r="H21" s="178"/>
      <c r="I21" s="178"/>
      <c r="J21" s="178"/>
      <c r="K21" s="178"/>
      <c r="L21" s="178"/>
      <c r="M21" s="178"/>
      <c r="N21" s="178"/>
      <c r="O21" s="178"/>
      <c r="P21" s="178"/>
      <c r="Q21" s="178"/>
      <c r="R21" s="178"/>
      <c r="S21" s="178"/>
      <c r="T21" s="185"/>
      <c r="U21" s="194"/>
      <c r="V21" s="188" t="s">
        <v>39</v>
      </c>
      <c r="W21" s="13" t="s">
        <v>37</v>
      </c>
      <c r="X21" s="13" t="s">
        <v>40</v>
      </c>
      <c r="Y21" s="13" t="s">
        <v>41</v>
      </c>
      <c r="Z21" s="13" t="s">
        <v>41</v>
      </c>
      <c r="AA21" s="53"/>
      <c r="AB21" s="188" t="s">
        <v>39</v>
      </c>
      <c r="AC21" s="13" t="s">
        <v>37</v>
      </c>
      <c r="AD21" s="13" t="s">
        <v>41</v>
      </c>
      <c r="AE21" s="13" t="s">
        <v>41</v>
      </c>
      <c r="AF21" s="13" t="s">
        <v>41</v>
      </c>
      <c r="AG21" s="53"/>
      <c r="AH21" s="188" t="s">
        <v>39</v>
      </c>
      <c r="AI21" s="13" t="s">
        <v>37</v>
      </c>
      <c r="AJ21" s="13" t="s">
        <v>41</v>
      </c>
      <c r="AK21" s="13" t="s">
        <v>41</v>
      </c>
      <c r="AL21" s="13" t="s">
        <v>41</v>
      </c>
      <c r="AM21" s="210"/>
      <c r="AN21" s="214"/>
      <c r="AO21" s="188" t="s">
        <v>39</v>
      </c>
      <c r="AP21" s="13" t="s">
        <v>37</v>
      </c>
      <c r="AQ21" s="13" t="s">
        <v>40</v>
      </c>
      <c r="AR21" s="13" t="s">
        <v>41</v>
      </c>
      <c r="AS21" s="13" t="s">
        <v>41</v>
      </c>
      <c r="AT21" s="53"/>
      <c r="AU21" s="188" t="s">
        <v>39</v>
      </c>
      <c r="AV21" s="13" t="s">
        <v>37</v>
      </c>
      <c r="AW21" s="77" t="s">
        <v>40</v>
      </c>
      <c r="AX21" s="13" t="s">
        <v>41</v>
      </c>
      <c r="AY21" s="81" t="s">
        <v>42</v>
      </c>
      <c r="AZ21" s="53"/>
      <c r="BA21" s="188" t="s">
        <v>39</v>
      </c>
      <c r="BB21" s="13" t="s">
        <v>37</v>
      </c>
      <c r="BC21" s="13" t="s">
        <v>41</v>
      </c>
      <c r="BD21" s="13" t="s">
        <v>41</v>
      </c>
      <c r="BE21" s="13" t="s">
        <v>41</v>
      </c>
      <c r="BF21" s="191"/>
      <c r="BG21" s="180"/>
      <c r="BH21" s="180"/>
      <c r="BI21" s="180"/>
      <c r="BJ21" s="180"/>
      <c r="BK21" s="180"/>
      <c r="BL21" s="180"/>
      <c r="BM21" s="180"/>
      <c r="BN21" s="180"/>
      <c r="BO21" s="180"/>
      <c r="BP21" s="180"/>
      <c r="BQ21" s="180"/>
      <c r="BR21" s="180"/>
      <c r="BS21" s="180"/>
      <c r="BT21" s="180"/>
      <c r="BU21" s="180"/>
      <c r="BV21" s="180"/>
      <c r="BW21" s="180"/>
      <c r="BX21" s="180"/>
      <c r="BY21" s="180"/>
    </row>
    <row r="22" spans="1:77" ht="15" customHeight="1" thickTop="1" thickBot="1" x14ac:dyDescent="0.3">
      <c r="A22" s="176"/>
      <c r="B22" s="178"/>
      <c r="C22" s="178"/>
      <c r="D22" s="178"/>
      <c r="E22" s="178"/>
      <c r="F22" s="178"/>
      <c r="G22" s="178"/>
      <c r="H22" s="178"/>
      <c r="I22" s="178"/>
      <c r="J22" s="178"/>
      <c r="K22" s="178"/>
      <c r="L22" s="178"/>
      <c r="M22" s="178"/>
      <c r="N22" s="178"/>
      <c r="O22" s="178"/>
      <c r="P22" s="178"/>
      <c r="Q22" s="178"/>
      <c r="R22" s="178"/>
      <c r="S22" s="178"/>
      <c r="T22" s="185"/>
      <c r="U22" s="194"/>
      <c r="V22" s="188"/>
      <c r="W22" s="13" t="s">
        <v>32</v>
      </c>
      <c r="X22" s="13" t="s">
        <v>41</v>
      </c>
      <c r="Y22" s="77" t="s">
        <v>42</v>
      </c>
      <c r="Z22" s="13" t="s">
        <v>41</v>
      </c>
      <c r="AA22" s="53"/>
      <c r="AB22" s="188"/>
      <c r="AC22" s="13" t="s">
        <v>32</v>
      </c>
      <c r="AD22" s="13" t="s">
        <v>41</v>
      </c>
      <c r="AE22" s="78" t="s">
        <v>41</v>
      </c>
      <c r="AF22" s="13" t="s">
        <v>41</v>
      </c>
      <c r="AG22" s="53"/>
      <c r="AH22" s="188"/>
      <c r="AI22" s="13" t="s">
        <v>32</v>
      </c>
      <c r="AJ22" s="13" t="s">
        <v>41</v>
      </c>
      <c r="AK22" s="13" t="s">
        <v>41</v>
      </c>
      <c r="AL22" s="13" t="s">
        <v>41</v>
      </c>
      <c r="AM22" s="210"/>
      <c r="AN22" s="214"/>
      <c r="AO22" s="188"/>
      <c r="AP22" s="13" t="s">
        <v>32</v>
      </c>
      <c r="AQ22" s="13" t="s">
        <v>41</v>
      </c>
      <c r="AR22" s="13" t="s">
        <v>42</v>
      </c>
      <c r="AS22" s="13" t="s">
        <v>41</v>
      </c>
      <c r="AT22" s="53"/>
      <c r="AU22" s="188"/>
      <c r="AV22" s="13" t="s">
        <v>32</v>
      </c>
      <c r="AW22" s="13" t="s">
        <v>41</v>
      </c>
      <c r="AX22" s="13" t="s">
        <v>41</v>
      </c>
      <c r="AY22" s="13" t="s">
        <v>41</v>
      </c>
      <c r="AZ22" s="53"/>
      <c r="BA22" s="188"/>
      <c r="BB22" s="13" t="s">
        <v>32</v>
      </c>
      <c r="BC22" s="13" t="s">
        <v>41</v>
      </c>
      <c r="BD22" s="13" t="s">
        <v>41</v>
      </c>
      <c r="BE22" s="13" t="s">
        <v>41</v>
      </c>
      <c r="BF22" s="191"/>
      <c r="BG22" s="180"/>
      <c r="BH22" s="180"/>
      <c r="BI22" s="180"/>
      <c r="BJ22" s="180"/>
      <c r="BK22" s="180"/>
      <c r="BL22" s="180"/>
      <c r="BM22" s="180"/>
      <c r="BN22" s="180"/>
      <c r="BO22" s="180"/>
      <c r="BP22" s="180"/>
      <c r="BQ22" s="180"/>
      <c r="BR22" s="180"/>
      <c r="BS22" s="180"/>
      <c r="BT22" s="180"/>
      <c r="BU22" s="180"/>
      <c r="BV22" s="180"/>
      <c r="BW22" s="180"/>
      <c r="BX22" s="180"/>
      <c r="BY22" s="180"/>
    </row>
    <row r="23" spans="1:77" ht="15" customHeight="1" thickTop="1" thickBot="1" x14ac:dyDescent="0.3">
      <c r="A23" s="176"/>
      <c r="B23" s="178"/>
      <c r="C23" s="178"/>
      <c r="D23" s="178"/>
      <c r="E23" s="178"/>
      <c r="F23" s="178"/>
      <c r="G23" s="178"/>
      <c r="H23" s="178"/>
      <c r="I23" s="178"/>
      <c r="J23" s="178"/>
      <c r="K23" s="178"/>
      <c r="L23" s="178"/>
      <c r="M23" s="178"/>
      <c r="N23" s="178"/>
      <c r="O23" s="178"/>
      <c r="P23" s="178"/>
      <c r="Q23" s="178"/>
      <c r="R23" s="178"/>
      <c r="S23" s="178"/>
      <c r="T23" s="186"/>
      <c r="U23" s="195"/>
      <c r="V23" s="189"/>
      <c r="W23" s="13" t="s">
        <v>38</v>
      </c>
      <c r="X23" s="13" t="s">
        <v>41</v>
      </c>
      <c r="Y23" s="13" t="s">
        <v>41</v>
      </c>
      <c r="Z23" s="13" t="s">
        <v>41</v>
      </c>
      <c r="AA23" s="54"/>
      <c r="AB23" s="189"/>
      <c r="AC23" s="13" t="s">
        <v>38</v>
      </c>
      <c r="AD23" s="13" t="s">
        <v>41</v>
      </c>
      <c r="AE23" s="13" t="s">
        <v>41</v>
      </c>
      <c r="AF23" s="13" t="s">
        <v>41</v>
      </c>
      <c r="AG23" s="54"/>
      <c r="AH23" s="189"/>
      <c r="AI23" s="13" t="s">
        <v>38</v>
      </c>
      <c r="AJ23" s="13" t="s">
        <v>41</v>
      </c>
      <c r="AK23" s="13" t="s">
        <v>41</v>
      </c>
      <c r="AL23" s="13" t="s">
        <v>41</v>
      </c>
      <c r="AM23" s="210"/>
      <c r="AN23" s="215"/>
      <c r="AO23" s="189"/>
      <c r="AP23" s="13" t="s">
        <v>38</v>
      </c>
      <c r="AQ23" s="13" t="s">
        <v>41</v>
      </c>
      <c r="AR23" s="13" t="s">
        <v>41</v>
      </c>
      <c r="AS23" s="13" t="s">
        <v>41</v>
      </c>
      <c r="AT23" s="54"/>
      <c r="AU23" s="189"/>
      <c r="AV23" s="13" t="s">
        <v>38</v>
      </c>
      <c r="AW23" s="81" t="s">
        <v>42</v>
      </c>
      <c r="AX23" s="13" t="s">
        <v>41</v>
      </c>
      <c r="AY23" s="13" t="s">
        <v>41</v>
      </c>
      <c r="AZ23" s="54"/>
      <c r="BA23" s="189"/>
      <c r="BB23" s="13" t="s">
        <v>38</v>
      </c>
      <c r="BC23" s="13" t="s">
        <v>41</v>
      </c>
      <c r="BD23" s="13" t="s">
        <v>41</v>
      </c>
      <c r="BE23" s="13" t="s">
        <v>41</v>
      </c>
      <c r="BF23" s="192"/>
      <c r="BG23" s="180"/>
      <c r="BH23" s="180"/>
      <c r="BI23" s="180"/>
      <c r="BJ23" s="180"/>
      <c r="BK23" s="180"/>
      <c r="BL23" s="180"/>
      <c r="BM23" s="180"/>
      <c r="BN23" s="180"/>
      <c r="BO23" s="180"/>
      <c r="BP23" s="180"/>
      <c r="BQ23" s="180"/>
      <c r="BR23" s="180"/>
      <c r="BS23" s="180"/>
      <c r="BT23" s="180"/>
      <c r="BU23" s="180"/>
      <c r="BV23" s="180"/>
      <c r="BW23" s="180"/>
      <c r="BX23" s="180"/>
      <c r="BY23" s="180"/>
    </row>
    <row r="24" spans="1:77" ht="15" customHeight="1" thickBot="1" x14ac:dyDescent="0.3">
      <c r="A24" s="176"/>
      <c r="B24" s="178"/>
      <c r="C24" s="178"/>
      <c r="D24" s="178"/>
      <c r="E24" s="178"/>
      <c r="F24" s="178"/>
      <c r="G24" s="178"/>
      <c r="H24" s="178"/>
      <c r="I24" s="178"/>
      <c r="J24" s="178"/>
      <c r="K24" s="178"/>
      <c r="L24" s="178"/>
      <c r="M24" s="178"/>
      <c r="N24" s="178"/>
      <c r="O24" s="178"/>
      <c r="P24" s="178"/>
      <c r="Q24" s="178"/>
      <c r="R24" s="178"/>
      <c r="S24" s="178"/>
      <c r="T24" s="178"/>
      <c r="U24" s="178"/>
      <c r="V24" s="178"/>
      <c r="W24" s="178"/>
      <c r="X24" s="178"/>
      <c r="Y24" s="178"/>
      <c r="Z24" s="178"/>
      <c r="AA24" s="178"/>
      <c r="AB24" s="178"/>
      <c r="AC24" s="178"/>
      <c r="AD24" s="178"/>
      <c r="AE24" s="178"/>
      <c r="AF24" s="178"/>
      <c r="AG24" s="178"/>
      <c r="AH24" s="178"/>
      <c r="AI24" s="178"/>
      <c r="AJ24" s="178"/>
      <c r="AK24" s="178"/>
      <c r="AL24" s="178"/>
      <c r="AM24" s="210"/>
      <c r="AN24" s="173"/>
      <c r="AO24" s="173"/>
      <c r="AP24" s="173"/>
      <c r="AQ24" s="173"/>
      <c r="AR24" s="173"/>
      <c r="AS24" s="173"/>
      <c r="AT24" s="173"/>
      <c r="AU24" s="173"/>
      <c r="AV24" s="173"/>
      <c r="AW24" s="173"/>
      <c r="AX24" s="173"/>
      <c r="AY24" s="173"/>
      <c r="AZ24" s="173"/>
      <c r="BA24" s="173"/>
      <c r="BB24" s="173"/>
      <c r="BC24" s="173"/>
      <c r="BD24" s="173"/>
      <c r="BE24" s="173"/>
      <c r="BF24" s="173"/>
      <c r="BG24" s="180"/>
      <c r="BH24" s="180"/>
      <c r="BI24" s="180"/>
      <c r="BJ24" s="180"/>
      <c r="BK24" s="180"/>
      <c r="BL24" s="180"/>
      <c r="BM24" s="180"/>
      <c r="BN24" s="180"/>
      <c r="BO24" s="180"/>
      <c r="BP24" s="180"/>
      <c r="BQ24" s="180"/>
      <c r="BR24" s="180"/>
      <c r="BS24" s="180"/>
      <c r="BT24" s="180"/>
      <c r="BU24" s="180"/>
      <c r="BV24" s="180"/>
      <c r="BW24" s="180"/>
      <c r="BX24" s="180"/>
      <c r="BY24" s="180"/>
    </row>
    <row r="25" spans="1:77" ht="15" customHeight="1" thickTop="1" thickBot="1" x14ac:dyDescent="0.3">
      <c r="A25" s="176"/>
      <c r="B25" s="178"/>
      <c r="C25" s="178"/>
      <c r="D25" s="178"/>
      <c r="E25" s="178"/>
      <c r="F25" s="178"/>
      <c r="G25" s="178"/>
      <c r="H25" s="178"/>
      <c r="I25" s="178"/>
      <c r="J25" s="178"/>
      <c r="K25" s="178"/>
      <c r="L25" s="178"/>
      <c r="M25" s="178"/>
      <c r="N25" s="178"/>
      <c r="O25" s="178"/>
      <c r="P25" s="178"/>
      <c r="Q25" s="178"/>
      <c r="R25" s="178"/>
      <c r="S25" s="178"/>
      <c r="T25" s="178"/>
      <c r="U25" s="178"/>
      <c r="V25" s="178"/>
      <c r="W25" s="178"/>
      <c r="X25" s="178"/>
      <c r="Y25" s="178"/>
      <c r="Z25" s="178"/>
      <c r="AA25" s="178"/>
      <c r="AB25" s="178"/>
      <c r="AC25" s="178"/>
      <c r="AD25" s="178"/>
      <c r="AE25" s="178"/>
      <c r="AF25" s="178"/>
      <c r="AG25" s="178"/>
      <c r="AH25" s="178"/>
      <c r="AI25" s="178"/>
      <c r="AJ25" s="178"/>
      <c r="AK25" s="178"/>
      <c r="AL25" s="178"/>
      <c r="AM25" s="210"/>
      <c r="AN25" s="221" t="s">
        <v>43</v>
      </c>
      <c r="AO25" s="20"/>
      <c r="AP25" s="11"/>
      <c r="AQ25" s="187" t="s">
        <v>32</v>
      </c>
      <c r="AR25" s="187"/>
      <c r="AS25" s="187"/>
      <c r="AT25" s="52"/>
      <c r="AU25" s="11"/>
      <c r="AV25" s="11"/>
      <c r="AW25" s="187" t="s">
        <v>32</v>
      </c>
      <c r="AX25" s="187"/>
      <c r="AY25" s="187"/>
      <c r="AZ25" s="52"/>
      <c r="BA25" s="11"/>
      <c r="BB25" s="11"/>
      <c r="BC25" s="187" t="s">
        <v>32</v>
      </c>
      <c r="BD25" s="187"/>
      <c r="BE25" s="187"/>
      <c r="BF25" s="190" t="s">
        <v>47</v>
      </c>
      <c r="BG25" s="180"/>
      <c r="BH25" s="180"/>
      <c r="BI25" s="180"/>
      <c r="BJ25" s="180"/>
      <c r="BK25" s="180"/>
      <c r="BL25" s="180"/>
      <c r="BM25" s="180"/>
      <c r="BN25" s="180"/>
      <c r="BO25" s="180"/>
      <c r="BP25" s="180"/>
      <c r="BQ25" s="180"/>
      <c r="BR25" s="180"/>
      <c r="BS25" s="180"/>
      <c r="BT25" s="180"/>
      <c r="BU25" s="180"/>
      <c r="BV25" s="180"/>
      <c r="BW25" s="180"/>
      <c r="BX25" s="180"/>
      <c r="BY25" s="180"/>
    </row>
    <row r="26" spans="1:77" ht="15" customHeight="1" thickTop="1" x14ac:dyDescent="0.25">
      <c r="A26" s="176"/>
      <c r="B26" s="178"/>
      <c r="C26" s="178"/>
      <c r="D26" s="178"/>
      <c r="E26" s="178"/>
      <c r="F26" s="178"/>
      <c r="G26" s="178"/>
      <c r="H26" s="178"/>
      <c r="I26" s="178"/>
      <c r="J26" s="178"/>
      <c r="K26" s="178"/>
      <c r="L26" s="178"/>
      <c r="M26" s="178"/>
      <c r="N26" s="178"/>
      <c r="O26" s="178"/>
      <c r="P26" s="178"/>
      <c r="Q26" s="178"/>
      <c r="R26" s="178"/>
      <c r="S26" s="178"/>
      <c r="T26" s="178"/>
      <c r="U26" s="178"/>
      <c r="V26" s="178"/>
      <c r="W26" s="178"/>
      <c r="X26" s="178"/>
      <c r="Y26" s="178"/>
      <c r="Z26" s="178"/>
      <c r="AA26" s="178"/>
      <c r="AB26" s="178"/>
      <c r="AC26" s="178"/>
      <c r="AD26" s="178"/>
      <c r="AE26" s="178"/>
      <c r="AF26" s="178"/>
      <c r="AG26" s="178"/>
      <c r="AH26" s="178"/>
      <c r="AI26" s="178"/>
      <c r="AJ26" s="178"/>
      <c r="AK26" s="178"/>
      <c r="AL26" s="178"/>
      <c r="AM26" s="210"/>
      <c r="AN26" s="222"/>
      <c r="AO26" s="21"/>
      <c r="AP26" s="16" t="s">
        <v>36</v>
      </c>
      <c r="AQ26" s="13" t="s">
        <v>37</v>
      </c>
      <c r="AR26" s="13" t="s">
        <v>32</v>
      </c>
      <c r="AS26" s="13" t="s">
        <v>38</v>
      </c>
      <c r="AT26" s="53"/>
      <c r="AV26" s="16" t="s">
        <v>36</v>
      </c>
      <c r="AW26" s="13" t="s">
        <v>37</v>
      </c>
      <c r="AX26" s="13" t="s">
        <v>32</v>
      </c>
      <c r="AY26" s="13" t="s">
        <v>38</v>
      </c>
      <c r="AZ26" s="53"/>
      <c r="BB26" s="16" t="s">
        <v>36</v>
      </c>
      <c r="BC26" s="13" t="s">
        <v>37</v>
      </c>
      <c r="BD26" s="13" t="s">
        <v>32</v>
      </c>
      <c r="BE26" s="13" t="s">
        <v>38</v>
      </c>
      <c r="BF26" s="191"/>
      <c r="BG26" s="180"/>
      <c r="BH26" s="180"/>
      <c r="BI26" s="180"/>
      <c r="BJ26" s="180"/>
      <c r="BK26" s="180"/>
      <c r="BL26" s="180"/>
      <c r="BM26" s="180"/>
      <c r="BN26" s="180"/>
      <c r="BO26" s="180"/>
      <c r="BP26" s="180"/>
      <c r="BQ26" s="180"/>
      <c r="BR26" s="180"/>
      <c r="BS26" s="180"/>
      <c r="BT26" s="180"/>
      <c r="BU26" s="180"/>
      <c r="BV26" s="180"/>
      <c r="BW26" s="180"/>
      <c r="BX26" s="180"/>
      <c r="BY26" s="180"/>
    </row>
    <row r="27" spans="1:77" ht="15" customHeight="1" thickBot="1" x14ac:dyDescent="0.3">
      <c r="A27" s="176"/>
      <c r="B27" s="178"/>
      <c r="C27" s="178"/>
      <c r="D27" s="178"/>
      <c r="E27" s="178"/>
      <c r="F27" s="178"/>
      <c r="G27" s="178"/>
      <c r="H27" s="178"/>
      <c r="I27" s="178"/>
      <c r="J27" s="178"/>
      <c r="K27" s="178"/>
      <c r="L27" s="178"/>
      <c r="M27" s="178"/>
      <c r="N27" s="178"/>
      <c r="O27" s="178"/>
      <c r="P27" s="178"/>
      <c r="Q27" s="178"/>
      <c r="R27" s="178"/>
      <c r="S27" s="178"/>
      <c r="T27" s="178"/>
      <c r="U27" s="178"/>
      <c r="V27" s="178"/>
      <c r="W27" s="178"/>
      <c r="X27" s="178"/>
      <c r="Y27" s="178"/>
      <c r="Z27" s="178"/>
      <c r="AA27" s="178"/>
      <c r="AB27" s="178"/>
      <c r="AC27" s="178"/>
      <c r="AD27" s="178"/>
      <c r="AE27" s="178"/>
      <c r="AF27" s="178"/>
      <c r="AG27" s="178"/>
      <c r="AH27" s="178"/>
      <c r="AI27" s="178"/>
      <c r="AJ27" s="178"/>
      <c r="AK27" s="178"/>
      <c r="AL27" s="178"/>
      <c r="AM27" s="210"/>
      <c r="AN27" s="222"/>
      <c r="AO27" s="188" t="s">
        <v>39</v>
      </c>
      <c r="AP27" s="13" t="s">
        <v>37</v>
      </c>
      <c r="AQ27" s="13" t="s">
        <v>40</v>
      </c>
      <c r="AR27" s="13" t="s">
        <v>41</v>
      </c>
      <c r="AS27" s="13" t="s">
        <v>41</v>
      </c>
      <c r="AT27" s="53"/>
      <c r="AU27" s="188" t="s">
        <v>39</v>
      </c>
      <c r="AV27" s="13" t="s">
        <v>37</v>
      </c>
      <c r="AW27" s="77" t="s">
        <v>42</v>
      </c>
      <c r="AX27" s="13" t="s">
        <v>41</v>
      </c>
      <c r="AY27" s="81" t="s">
        <v>42</v>
      </c>
      <c r="AZ27" s="53"/>
      <c r="BA27" s="188" t="s">
        <v>39</v>
      </c>
      <c r="BB27" s="13" t="s">
        <v>37</v>
      </c>
      <c r="BC27" s="13" t="s">
        <v>41</v>
      </c>
      <c r="BD27" s="13" t="s">
        <v>41</v>
      </c>
      <c r="BE27" s="13" t="s">
        <v>41</v>
      </c>
      <c r="BF27" s="191"/>
      <c r="BG27" s="180"/>
      <c r="BH27" s="180"/>
      <c r="BI27" s="180"/>
      <c r="BJ27" s="180"/>
      <c r="BK27" s="180"/>
      <c r="BL27" s="180"/>
      <c r="BM27" s="180"/>
      <c r="BN27" s="180"/>
      <c r="BO27" s="180"/>
      <c r="BP27" s="180"/>
      <c r="BQ27" s="180"/>
      <c r="BR27" s="180"/>
      <c r="BS27" s="180"/>
      <c r="BT27" s="180"/>
      <c r="BU27" s="180"/>
      <c r="BV27" s="180"/>
      <c r="BW27" s="180"/>
      <c r="BX27" s="180"/>
      <c r="BY27" s="180"/>
    </row>
    <row r="28" spans="1:77" ht="15" customHeight="1" thickTop="1" thickBot="1" x14ac:dyDescent="0.3">
      <c r="A28" s="176"/>
      <c r="B28" s="178"/>
      <c r="C28" s="178"/>
      <c r="D28" s="178"/>
      <c r="E28" s="178"/>
      <c r="F28" s="178"/>
      <c r="G28" s="178"/>
      <c r="H28" s="178"/>
      <c r="I28" s="178"/>
      <c r="J28" s="178"/>
      <c r="K28" s="178"/>
      <c r="L28" s="178"/>
      <c r="M28" s="178"/>
      <c r="N28" s="178"/>
      <c r="O28" s="178"/>
      <c r="P28" s="178"/>
      <c r="Q28" s="178"/>
      <c r="R28" s="178"/>
      <c r="S28" s="178"/>
      <c r="T28" s="178"/>
      <c r="U28" s="178"/>
      <c r="V28" s="178"/>
      <c r="W28" s="178"/>
      <c r="X28" s="178"/>
      <c r="Y28" s="178"/>
      <c r="Z28" s="178"/>
      <c r="AA28" s="178"/>
      <c r="AB28" s="178"/>
      <c r="AC28" s="178"/>
      <c r="AD28" s="178"/>
      <c r="AE28" s="178"/>
      <c r="AF28" s="178"/>
      <c r="AG28" s="178"/>
      <c r="AH28" s="178"/>
      <c r="AI28" s="178"/>
      <c r="AJ28" s="178"/>
      <c r="AK28" s="178"/>
      <c r="AL28" s="178"/>
      <c r="AM28" s="210"/>
      <c r="AN28" s="222"/>
      <c r="AO28" s="188"/>
      <c r="AP28" s="13" t="s">
        <v>32</v>
      </c>
      <c r="AQ28" s="13" t="s">
        <v>41</v>
      </c>
      <c r="AR28" s="13" t="s">
        <v>42</v>
      </c>
      <c r="AS28" s="13" t="s">
        <v>41</v>
      </c>
      <c r="AT28" s="53"/>
      <c r="AU28" s="188"/>
      <c r="AV28" s="13" t="s">
        <v>32</v>
      </c>
      <c r="AW28" s="13" t="s">
        <v>41</v>
      </c>
      <c r="AX28" s="13" t="s">
        <v>41</v>
      </c>
      <c r="AY28" s="13" t="s">
        <v>41</v>
      </c>
      <c r="AZ28" s="53"/>
      <c r="BA28" s="188"/>
      <c r="BB28" s="13" t="s">
        <v>32</v>
      </c>
      <c r="BC28" s="13" t="s">
        <v>41</v>
      </c>
      <c r="BD28" s="13" t="s">
        <v>41</v>
      </c>
      <c r="BE28" s="13" t="s">
        <v>41</v>
      </c>
      <c r="BF28" s="191"/>
      <c r="BG28" s="180"/>
      <c r="BH28" s="180"/>
      <c r="BI28" s="180"/>
      <c r="BJ28" s="180"/>
      <c r="BK28" s="180"/>
      <c r="BL28" s="180"/>
      <c r="BM28" s="180"/>
      <c r="BN28" s="180"/>
      <c r="BO28" s="180"/>
      <c r="BP28" s="180"/>
      <c r="BQ28" s="180"/>
      <c r="BR28" s="180"/>
      <c r="BS28" s="180"/>
      <c r="BT28" s="180"/>
      <c r="BU28" s="180"/>
      <c r="BV28" s="180"/>
      <c r="BW28" s="180"/>
      <c r="BX28" s="180"/>
      <c r="BY28" s="180"/>
    </row>
    <row r="29" spans="1:77" ht="15" customHeight="1" thickTop="1" thickBot="1" x14ac:dyDescent="0.3">
      <c r="A29" s="176"/>
      <c r="B29" s="178"/>
      <c r="C29" s="178"/>
      <c r="D29" s="178"/>
      <c r="E29" s="178"/>
      <c r="F29" s="178"/>
      <c r="G29" s="178"/>
      <c r="H29" s="178"/>
      <c r="I29" s="178"/>
      <c r="J29" s="178"/>
      <c r="K29" s="178"/>
      <c r="L29" s="178"/>
      <c r="M29" s="178"/>
      <c r="N29" s="178"/>
      <c r="O29" s="178"/>
      <c r="P29" s="178"/>
      <c r="Q29" s="178"/>
      <c r="R29" s="178"/>
      <c r="S29" s="178"/>
      <c r="T29" s="178"/>
      <c r="U29" s="178"/>
      <c r="V29" s="178"/>
      <c r="W29" s="178"/>
      <c r="X29" s="178"/>
      <c r="Y29" s="178"/>
      <c r="Z29" s="178"/>
      <c r="AA29" s="178"/>
      <c r="AB29" s="178"/>
      <c r="AC29" s="178"/>
      <c r="AD29" s="178"/>
      <c r="AE29" s="178"/>
      <c r="AF29" s="178"/>
      <c r="AG29" s="178"/>
      <c r="AH29" s="178"/>
      <c r="AI29" s="178"/>
      <c r="AJ29" s="178"/>
      <c r="AK29" s="178"/>
      <c r="AL29" s="178"/>
      <c r="AM29" s="211"/>
      <c r="AN29" s="223"/>
      <c r="AO29" s="189"/>
      <c r="AP29" s="18" t="s">
        <v>38</v>
      </c>
      <c r="AQ29" s="18" t="s">
        <v>41</v>
      </c>
      <c r="AR29" s="18" t="s">
        <v>41</v>
      </c>
      <c r="AS29" s="18" t="s">
        <v>41</v>
      </c>
      <c r="AT29" s="54"/>
      <c r="AU29" s="189"/>
      <c r="AV29" s="18" t="s">
        <v>38</v>
      </c>
      <c r="AW29" s="81" t="s">
        <v>40</v>
      </c>
      <c r="AX29" s="13" t="s">
        <v>41</v>
      </c>
      <c r="AY29" s="13" t="s">
        <v>41</v>
      </c>
      <c r="AZ29" s="54"/>
      <c r="BA29" s="189"/>
      <c r="BB29" s="18" t="s">
        <v>38</v>
      </c>
      <c r="BC29" s="18" t="s">
        <v>41</v>
      </c>
      <c r="BD29" s="18" t="s">
        <v>41</v>
      </c>
      <c r="BE29" s="18" t="s">
        <v>41</v>
      </c>
      <c r="BF29" s="192"/>
      <c r="BG29" s="180"/>
      <c r="BH29" s="180"/>
      <c r="BI29" s="180"/>
      <c r="BJ29" s="180"/>
      <c r="BK29" s="180"/>
      <c r="BL29" s="180"/>
      <c r="BM29" s="180"/>
      <c r="BN29" s="180"/>
      <c r="BO29" s="180"/>
      <c r="BP29" s="180"/>
      <c r="BQ29" s="180"/>
      <c r="BR29" s="180"/>
      <c r="BS29" s="180"/>
      <c r="BT29" s="180"/>
      <c r="BU29" s="180"/>
      <c r="BV29" s="180"/>
      <c r="BW29" s="180"/>
      <c r="BX29" s="180"/>
      <c r="BY29" s="180"/>
    </row>
    <row r="30" spans="1:77" ht="15" customHeight="1" thickBot="1" x14ac:dyDescent="0.3">
      <c r="A30" s="176"/>
      <c r="B30" s="179"/>
      <c r="C30" s="179"/>
      <c r="D30" s="179"/>
      <c r="E30" s="179"/>
      <c r="F30" s="179"/>
      <c r="G30" s="179"/>
      <c r="H30" s="179"/>
      <c r="I30" s="179"/>
      <c r="J30" s="179"/>
      <c r="K30" s="179"/>
      <c r="L30" s="179"/>
      <c r="M30" s="179"/>
      <c r="N30" s="179"/>
      <c r="O30" s="179"/>
      <c r="P30" s="179"/>
      <c r="Q30" s="179"/>
      <c r="R30" s="179"/>
      <c r="S30" s="179"/>
      <c r="T30" s="179"/>
      <c r="U30" s="179"/>
      <c r="V30" s="179"/>
      <c r="W30" s="179"/>
      <c r="X30" s="179"/>
      <c r="Y30" s="179"/>
      <c r="Z30" s="179"/>
      <c r="AA30" s="179"/>
      <c r="AB30" s="179"/>
      <c r="AC30" s="179"/>
      <c r="AD30" s="179"/>
      <c r="AE30" s="179"/>
      <c r="AF30" s="179"/>
      <c r="AG30" s="179"/>
      <c r="AH30" s="179"/>
      <c r="AI30" s="179"/>
      <c r="AJ30" s="179"/>
      <c r="AK30" s="179"/>
      <c r="AL30" s="179"/>
      <c r="AM30" s="173"/>
      <c r="AN30" s="173"/>
      <c r="AO30" s="173"/>
      <c r="AP30" s="173"/>
      <c r="AQ30" s="173"/>
      <c r="AR30" s="173"/>
      <c r="AS30" s="173"/>
      <c r="AT30" s="173"/>
      <c r="AU30" s="173"/>
      <c r="AV30" s="173"/>
      <c r="AW30" s="173"/>
      <c r="AX30" s="173"/>
      <c r="AY30" s="173"/>
      <c r="AZ30" s="173"/>
      <c r="BA30" s="173"/>
      <c r="BB30" s="173"/>
      <c r="BC30" s="173"/>
      <c r="BD30" s="173"/>
      <c r="BE30" s="173"/>
      <c r="BF30" s="173"/>
      <c r="BG30" s="180"/>
      <c r="BH30" s="180"/>
      <c r="BI30" s="180"/>
      <c r="BJ30" s="180"/>
      <c r="BK30" s="180"/>
      <c r="BL30" s="180"/>
      <c r="BM30" s="180"/>
      <c r="BN30" s="180"/>
      <c r="BO30" s="180"/>
      <c r="BP30" s="180"/>
      <c r="BQ30" s="180"/>
      <c r="BR30" s="180"/>
      <c r="BS30" s="180"/>
      <c r="BT30" s="180"/>
      <c r="BU30" s="180"/>
      <c r="BV30" s="180"/>
      <c r="BW30" s="180"/>
      <c r="BX30" s="180"/>
      <c r="BY30" s="180"/>
    </row>
    <row r="31" spans="1:77" ht="15" customHeight="1" thickTop="1" thickBot="1" x14ac:dyDescent="0.3">
      <c r="A31" s="176"/>
      <c r="B31" s="193" t="s">
        <v>43</v>
      </c>
      <c r="C31" s="20"/>
      <c r="D31" s="11"/>
      <c r="E31" s="187" t="s">
        <v>32</v>
      </c>
      <c r="F31" s="187"/>
      <c r="G31" s="187"/>
      <c r="H31" s="52"/>
      <c r="I31" s="11"/>
      <c r="J31" s="11"/>
      <c r="K31" s="187" t="s">
        <v>32</v>
      </c>
      <c r="L31" s="187"/>
      <c r="M31" s="187"/>
      <c r="N31" s="52"/>
      <c r="O31" s="11"/>
      <c r="P31" s="11"/>
      <c r="Q31" s="187" t="s">
        <v>32</v>
      </c>
      <c r="R31" s="187"/>
      <c r="S31" s="187"/>
      <c r="T31" s="175" t="s">
        <v>48</v>
      </c>
      <c r="U31" s="196" t="s">
        <v>31</v>
      </c>
      <c r="V31" s="20"/>
      <c r="W31" s="11"/>
      <c r="X31" s="187" t="s">
        <v>32</v>
      </c>
      <c r="Y31" s="187"/>
      <c r="Z31" s="187"/>
      <c r="AA31" s="52"/>
      <c r="AB31" s="11"/>
      <c r="AC31" s="11"/>
      <c r="AD31" s="187" t="s">
        <v>32</v>
      </c>
      <c r="AE31" s="187"/>
      <c r="AF31" s="187"/>
      <c r="AG31" s="52"/>
      <c r="AH31" s="11"/>
      <c r="AI31" s="11"/>
      <c r="AJ31" s="187" t="s">
        <v>32</v>
      </c>
      <c r="AK31" s="187"/>
      <c r="AL31" s="187"/>
      <c r="AM31" s="175" t="s">
        <v>33</v>
      </c>
      <c r="AN31" s="196" t="s">
        <v>31</v>
      </c>
      <c r="AO31" s="20"/>
      <c r="AP31" s="11"/>
      <c r="AQ31" s="187" t="s">
        <v>32</v>
      </c>
      <c r="AR31" s="187"/>
      <c r="AS31" s="187"/>
      <c r="AT31" s="52"/>
      <c r="AU31" s="11"/>
      <c r="AV31" s="11"/>
      <c r="AW31" s="187" t="s">
        <v>32</v>
      </c>
      <c r="AX31" s="187"/>
      <c r="AY31" s="187"/>
      <c r="AZ31" s="52"/>
      <c r="BA31" s="11"/>
      <c r="BB31" s="11"/>
      <c r="BC31" s="187" t="s">
        <v>32</v>
      </c>
      <c r="BD31" s="187"/>
      <c r="BE31" s="187"/>
      <c r="BF31" s="203" t="s">
        <v>49</v>
      </c>
      <c r="BG31" s="180"/>
      <c r="BH31" s="180"/>
      <c r="BI31" s="180"/>
      <c r="BJ31" s="180"/>
      <c r="BK31" s="180"/>
      <c r="BL31" s="180"/>
      <c r="BM31" s="180"/>
      <c r="BN31" s="180"/>
      <c r="BO31" s="180"/>
      <c r="BP31" s="180"/>
      <c r="BQ31" s="180"/>
      <c r="BR31" s="180"/>
      <c r="BS31" s="180"/>
      <c r="BT31" s="180"/>
      <c r="BU31" s="180"/>
      <c r="BV31" s="180"/>
      <c r="BW31" s="180"/>
      <c r="BX31" s="180"/>
      <c r="BY31" s="180"/>
    </row>
    <row r="32" spans="1:77" ht="15" customHeight="1" thickTop="1" x14ac:dyDescent="0.25">
      <c r="A32" s="176"/>
      <c r="B32" s="194"/>
      <c r="C32" s="21"/>
      <c r="D32" s="16" t="s">
        <v>36</v>
      </c>
      <c r="E32" s="13" t="s">
        <v>37</v>
      </c>
      <c r="F32" s="13" t="s">
        <v>32</v>
      </c>
      <c r="G32" s="13" t="s">
        <v>38</v>
      </c>
      <c r="H32" s="53"/>
      <c r="J32" s="16" t="s">
        <v>36</v>
      </c>
      <c r="K32" s="13" t="s">
        <v>37</v>
      </c>
      <c r="L32" s="13" t="s">
        <v>32</v>
      </c>
      <c r="M32" s="13" t="s">
        <v>38</v>
      </c>
      <c r="N32" s="53"/>
      <c r="P32" s="16" t="s">
        <v>36</v>
      </c>
      <c r="Q32" s="13" t="s">
        <v>37</v>
      </c>
      <c r="R32" s="13" t="s">
        <v>32</v>
      </c>
      <c r="S32" s="13" t="s">
        <v>38</v>
      </c>
      <c r="T32" s="176"/>
      <c r="U32" s="197"/>
      <c r="V32" s="21"/>
      <c r="W32" s="16" t="s">
        <v>36</v>
      </c>
      <c r="X32" s="13" t="s">
        <v>37</v>
      </c>
      <c r="Y32" s="13" t="s">
        <v>32</v>
      </c>
      <c r="Z32" s="13" t="s">
        <v>38</v>
      </c>
      <c r="AA32" s="53"/>
      <c r="AC32" s="16" t="s">
        <v>36</v>
      </c>
      <c r="AD32" s="13" t="s">
        <v>37</v>
      </c>
      <c r="AE32" s="13" t="s">
        <v>32</v>
      </c>
      <c r="AF32" s="13" t="s">
        <v>38</v>
      </c>
      <c r="AG32" s="53"/>
      <c r="AI32" s="16" t="s">
        <v>36</v>
      </c>
      <c r="AJ32" s="13" t="s">
        <v>37</v>
      </c>
      <c r="AK32" s="13" t="s">
        <v>32</v>
      </c>
      <c r="AL32" s="13" t="s">
        <v>38</v>
      </c>
      <c r="AM32" s="176"/>
      <c r="AN32" s="197"/>
      <c r="AO32" s="21"/>
      <c r="AP32" s="16" t="s">
        <v>36</v>
      </c>
      <c r="AQ32" s="13" t="s">
        <v>37</v>
      </c>
      <c r="AR32" s="13" t="s">
        <v>32</v>
      </c>
      <c r="AS32" s="13" t="s">
        <v>38</v>
      </c>
      <c r="AT32" s="53"/>
      <c r="AV32" s="16" t="s">
        <v>36</v>
      </c>
      <c r="AW32" s="13" t="s">
        <v>37</v>
      </c>
      <c r="AX32" s="13" t="s">
        <v>32</v>
      </c>
      <c r="AY32" s="13" t="s">
        <v>38</v>
      </c>
      <c r="AZ32" s="53"/>
      <c r="BB32" s="16" t="s">
        <v>36</v>
      </c>
      <c r="BC32" s="13" t="s">
        <v>37</v>
      </c>
      <c r="BD32" s="13" t="s">
        <v>32</v>
      </c>
      <c r="BE32" s="13" t="s">
        <v>38</v>
      </c>
      <c r="BF32" s="191"/>
      <c r="BG32" s="180"/>
      <c r="BH32" s="180"/>
      <c r="BI32" s="180"/>
      <c r="BJ32" s="180"/>
      <c r="BK32" s="180"/>
      <c r="BL32" s="180"/>
      <c r="BM32" s="180"/>
      <c r="BN32" s="180"/>
      <c r="BO32" s="180"/>
      <c r="BP32" s="180"/>
      <c r="BQ32" s="180"/>
      <c r="BR32" s="180"/>
      <c r="BS32" s="180"/>
      <c r="BT32" s="180"/>
      <c r="BU32" s="180"/>
      <c r="BV32" s="180"/>
      <c r="BW32" s="180"/>
      <c r="BX32" s="180"/>
      <c r="BY32" s="180"/>
    </row>
    <row r="33" spans="1:77" ht="15" customHeight="1" thickBot="1" x14ac:dyDescent="0.3">
      <c r="A33" s="176"/>
      <c r="B33" s="194"/>
      <c r="C33" s="188" t="s">
        <v>39</v>
      </c>
      <c r="D33" s="13" t="s">
        <v>37</v>
      </c>
      <c r="E33" s="77" t="s">
        <v>42</v>
      </c>
      <c r="F33" s="13" t="s">
        <v>41</v>
      </c>
      <c r="G33" s="13" t="s">
        <v>41</v>
      </c>
      <c r="H33" s="53"/>
      <c r="I33" s="188" t="s">
        <v>39</v>
      </c>
      <c r="J33" s="13" t="s">
        <v>37</v>
      </c>
      <c r="K33" s="13" t="s">
        <v>41</v>
      </c>
      <c r="L33" s="13" t="s">
        <v>41</v>
      </c>
      <c r="M33" s="13" t="s">
        <v>41</v>
      </c>
      <c r="N33" s="53"/>
      <c r="O33" s="188" t="s">
        <v>39</v>
      </c>
      <c r="P33" s="13" t="s">
        <v>37</v>
      </c>
      <c r="Q33" s="13" t="s">
        <v>41</v>
      </c>
      <c r="R33" s="13" t="s">
        <v>41</v>
      </c>
      <c r="S33" s="13" t="s">
        <v>41</v>
      </c>
      <c r="T33" s="176"/>
      <c r="U33" s="197"/>
      <c r="V33" s="188" t="s">
        <v>39</v>
      </c>
      <c r="W33" s="13" t="s">
        <v>37</v>
      </c>
      <c r="X33" s="13" t="s">
        <v>42</v>
      </c>
      <c r="Y33" s="13" t="s">
        <v>41</v>
      </c>
      <c r="Z33" s="13" t="s">
        <v>41</v>
      </c>
      <c r="AA33" s="53"/>
      <c r="AB33" s="188" t="s">
        <v>39</v>
      </c>
      <c r="AC33" s="13" t="s">
        <v>37</v>
      </c>
      <c r="AD33" s="13" t="s">
        <v>41</v>
      </c>
      <c r="AE33" s="13" t="s">
        <v>41</v>
      </c>
      <c r="AF33" s="13" t="s">
        <v>41</v>
      </c>
      <c r="AG33" s="53"/>
      <c r="AH33" s="188" t="s">
        <v>39</v>
      </c>
      <c r="AI33" s="13" t="s">
        <v>37</v>
      </c>
      <c r="AJ33" s="13" t="s">
        <v>41</v>
      </c>
      <c r="AK33" s="13" t="s">
        <v>41</v>
      </c>
      <c r="AL33" s="13" t="s">
        <v>41</v>
      </c>
      <c r="AM33" s="176"/>
      <c r="AN33" s="197"/>
      <c r="AO33" s="188" t="s">
        <v>39</v>
      </c>
      <c r="AP33" s="13" t="s">
        <v>37</v>
      </c>
      <c r="AQ33" s="13" t="s">
        <v>42</v>
      </c>
      <c r="AR33" s="80" t="s">
        <v>42</v>
      </c>
      <c r="AS33" s="81" t="s">
        <v>42</v>
      </c>
      <c r="AT33" s="53"/>
      <c r="AU33" s="188" t="s">
        <v>39</v>
      </c>
      <c r="AV33" s="13" t="s">
        <v>37</v>
      </c>
      <c r="AW33" s="13" t="s">
        <v>42</v>
      </c>
      <c r="AX33" s="13" t="s">
        <v>41</v>
      </c>
      <c r="AY33" s="13" t="s">
        <v>41</v>
      </c>
      <c r="AZ33" s="53"/>
      <c r="BA33" s="188" t="s">
        <v>39</v>
      </c>
      <c r="BB33" s="13" t="s">
        <v>37</v>
      </c>
      <c r="BC33" s="13" t="s">
        <v>42</v>
      </c>
      <c r="BD33" s="13" t="s">
        <v>41</v>
      </c>
      <c r="BE33" s="13" t="s">
        <v>41</v>
      </c>
      <c r="BF33" s="191"/>
      <c r="BG33" s="180"/>
      <c r="BH33" s="180"/>
      <c r="BI33" s="180"/>
      <c r="BJ33" s="180"/>
      <c r="BK33" s="180"/>
      <c r="BL33" s="180"/>
      <c r="BM33" s="180"/>
      <c r="BN33" s="180"/>
      <c r="BO33" s="180"/>
      <c r="BP33" s="180"/>
      <c r="BQ33" s="180"/>
      <c r="BR33" s="180"/>
      <c r="BS33" s="180"/>
      <c r="BT33" s="180"/>
      <c r="BU33" s="180"/>
      <c r="BV33" s="180"/>
      <c r="BW33" s="180"/>
      <c r="BX33" s="180"/>
      <c r="BY33" s="180"/>
    </row>
    <row r="34" spans="1:77" ht="15" customHeight="1" thickTop="1" thickBot="1" x14ac:dyDescent="0.3">
      <c r="A34" s="176"/>
      <c r="B34" s="194"/>
      <c r="C34" s="188"/>
      <c r="D34" s="13" t="s">
        <v>32</v>
      </c>
      <c r="E34" s="13" t="s">
        <v>41</v>
      </c>
      <c r="F34" s="13" t="s">
        <v>41</v>
      </c>
      <c r="G34" s="13" t="s">
        <v>41</v>
      </c>
      <c r="H34" s="53"/>
      <c r="I34" s="188"/>
      <c r="J34" s="13" t="s">
        <v>32</v>
      </c>
      <c r="K34" s="13" t="s">
        <v>41</v>
      </c>
      <c r="L34" s="13" t="s">
        <v>41</v>
      </c>
      <c r="M34" s="13" t="s">
        <v>41</v>
      </c>
      <c r="N34" s="53"/>
      <c r="O34" s="188"/>
      <c r="P34" s="13" t="s">
        <v>32</v>
      </c>
      <c r="Q34" s="13" t="s">
        <v>41</v>
      </c>
      <c r="R34" s="13" t="s">
        <v>41</v>
      </c>
      <c r="S34" s="13" t="s">
        <v>41</v>
      </c>
      <c r="T34" s="176"/>
      <c r="U34" s="197"/>
      <c r="V34" s="188"/>
      <c r="W34" s="13" t="s">
        <v>32</v>
      </c>
      <c r="X34" s="13" t="s">
        <v>41</v>
      </c>
      <c r="Y34" s="13" t="s">
        <v>41</v>
      </c>
      <c r="Z34" s="13" t="s">
        <v>41</v>
      </c>
      <c r="AA34" s="53"/>
      <c r="AB34" s="188"/>
      <c r="AC34" s="13" t="s">
        <v>32</v>
      </c>
      <c r="AD34" s="13" t="s">
        <v>41</v>
      </c>
      <c r="AE34" s="13" t="s">
        <v>41</v>
      </c>
      <c r="AF34" s="13" t="s">
        <v>41</v>
      </c>
      <c r="AG34" s="53"/>
      <c r="AH34" s="188"/>
      <c r="AI34" s="13" t="s">
        <v>32</v>
      </c>
      <c r="AJ34" s="13" t="s">
        <v>41</v>
      </c>
      <c r="AK34" s="13" t="s">
        <v>41</v>
      </c>
      <c r="AL34" s="13" t="s">
        <v>41</v>
      </c>
      <c r="AM34" s="176"/>
      <c r="AN34" s="197"/>
      <c r="AO34" s="188"/>
      <c r="AP34" s="13" t="s">
        <v>32</v>
      </c>
      <c r="AQ34" s="80" t="s">
        <v>40</v>
      </c>
      <c r="AR34" s="81" t="s">
        <v>40</v>
      </c>
      <c r="AS34" s="13" t="s">
        <v>41</v>
      </c>
      <c r="AT34" s="53"/>
      <c r="AU34" s="188"/>
      <c r="AV34" s="13" t="s">
        <v>32</v>
      </c>
      <c r="AW34" s="13" t="s">
        <v>41</v>
      </c>
      <c r="AX34" s="13" t="s">
        <v>41</v>
      </c>
      <c r="AY34" s="13" t="s">
        <v>41</v>
      </c>
      <c r="AZ34" s="53"/>
      <c r="BA34" s="188"/>
      <c r="BB34" s="13" t="s">
        <v>32</v>
      </c>
      <c r="BC34" s="13" t="s">
        <v>41</v>
      </c>
      <c r="BD34" s="13" t="s">
        <v>41</v>
      </c>
      <c r="BE34" s="13" t="s">
        <v>41</v>
      </c>
      <c r="BF34" s="191"/>
      <c r="BG34" s="180"/>
      <c r="BH34" s="180"/>
      <c r="BI34" s="180"/>
      <c r="BJ34" s="180"/>
      <c r="BK34" s="180"/>
      <c r="BL34" s="180"/>
      <c r="BM34" s="180"/>
      <c r="BN34" s="180"/>
      <c r="BO34" s="180"/>
      <c r="BP34" s="180"/>
      <c r="BQ34" s="180"/>
      <c r="BR34" s="180"/>
      <c r="BS34" s="180"/>
      <c r="BT34" s="180"/>
      <c r="BU34" s="180"/>
      <c r="BV34" s="180"/>
      <c r="BW34" s="180"/>
      <c r="BX34" s="180"/>
      <c r="BY34" s="180"/>
    </row>
    <row r="35" spans="1:77" ht="15" customHeight="1" thickTop="1" thickBot="1" x14ac:dyDescent="0.3">
      <c r="A35" s="177"/>
      <c r="B35" s="195"/>
      <c r="C35" s="189"/>
      <c r="D35" s="13" t="s">
        <v>38</v>
      </c>
      <c r="E35" s="13" t="s">
        <v>41</v>
      </c>
      <c r="F35" s="13" t="s">
        <v>41</v>
      </c>
      <c r="G35" s="13" t="s">
        <v>41</v>
      </c>
      <c r="H35" s="54"/>
      <c r="I35" s="189"/>
      <c r="J35" s="13" t="s">
        <v>38</v>
      </c>
      <c r="K35" s="13" t="s">
        <v>41</v>
      </c>
      <c r="L35" s="13" t="s">
        <v>41</v>
      </c>
      <c r="M35" s="13" t="s">
        <v>41</v>
      </c>
      <c r="N35" s="54"/>
      <c r="O35" s="189"/>
      <c r="P35" s="13" t="s">
        <v>38</v>
      </c>
      <c r="Q35" s="13" t="s">
        <v>41</v>
      </c>
      <c r="R35" s="13" t="s">
        <v>41</v>
      </c>
      <c r="S35" s="13" t="s">
        <v>41</v>
      </c>
      <c r="T35" s="176"/>
      <c r="U35" s="198"/>
      <c r="V35" s="189"/>
      <c r="W35" s="13" t="s">
        <v>38</v>
      </c>
      <c r="X35" s="79" t="s">
        <v>40</v>
      </c>
      <c r="Y35" s="18" t="s">
        <v>41</v>
      </c>
      <c r="Z35" s="18" t="s">
        <v>41</v>
      </c>
      <c r="AA35" s="54"/>
      <c r="AB35" s="189"/>
      <c r="AC35" s="13" t="s">
        <v>38</v>
      </c>
      <c r="AD35" s="18" t="s">
        <v>41</v>
      </c>
      <c r="AE35" s="18" t="s">
        <v>41</v>
      </c>
      <c r="AF35" s="18" t="s">
        <v>41</v>
      </c>
      <c r="AG35" s="54"/>
      <c r="AH35" s="189"/>
      <c r="AI35" s="13" t="s">
        <v>38</v>
      </c>
      <c r="AJ35" s="18" t="s">
        <v>41</v>
      </c>
      <c r="AK35" s="18" t="s">
        <v>41</v>
      </c>
      <c r="AL35" s="18" t="s">
        <v>41</v>
      </c>
      <c r="AM35" s="176"/>
      <c r="AN35" s="198"/>
      <c r="AO35" s="189"/>
      <c r="AP35" s="13" t="s">
        <v>38</v>
      </c>
      <c r="AQ35" s="18" t="s">
        <v>40</v>
      </c>
      <c r="AR35" s="13" t="s">
        <v>41</v>
      </c>
      <c r="AS35" s="13" t="s">
        <v>41</v>
      </c>
      <c r="AT35" s="54"/>
      <c r="AU35" s="189"/>
      <c r="AV35" s="13" t="s">
        <v>38</v>
      </c>
      <c r="AW35" s="13" t="s">
        <v>41</v>
      </c>
      <c r="AX35" s="13" t="s">
        <v>41</v>
      </c>
      <c r="AY35" s="13" t="s">
        <v>41</v>
      </c>
      <c r="AZ35" s="54"/>
      <c r="BA35" s="189"/>
      <c r="BB35" s="13" t="s">
        <v>38</v>
      </c>
      <c r="BC35" s="13" t="s">
        <v>41</v>
      </c>
      <c r="BD35" s="13" t="s">
        <v>41</v>
      </c>
      <c r="BE35" s="13" t="s">
        <v>41</v>
      </c>
      <c r="BF35" s="204"/>
      <c r="BG35" s="180"/>
      <c r="BH35" s="180"/>
      <c r="BI35" s="180"/>
      <c r="BJ35" s="180"/>
      <c r="BK35" s="180"/>
      <c r="BL35" s="180"/>
      <c r="BM35" s="180"/>
      <c r="BN35" s="180"/>
      <c r="BO35" s="180"/>
      <c r="BP35" s="180"/>
      <c r="BQ35" s="180"/>
      <c r="BR35" s="180"/>
      <c r="BS35" s="180"/>
      <c r="BT35" s="180"/>
      <c r="BU35" s="180"/>
      <c r="BV35" s="180"/>
      <c r="BW35" s="180"/>
      <c r="BX35" s="180"/>
      <c r="BY35" s="180"/>
    </row>
    <row r="36" spans="1:77" ht="15" customHeight="1" thickBot="1" x14ac:dyDescent="0.3">
      <c r="A36" s="14"/>
      <c r="B36" s="14"/>
      <c r="D36" s="14"/>
      <c r="E36" s="14"/>
      <c r="F36" s="14"/>
      <c r="G36" s="14"/>
      <c r="H36" s="14"/>
      <c r="I36" s="14"/>
      <c r="J36" s="14"/>
      <c r="K36" s="14"/>
      <c r="L36" s="14"/>
      <c r="M36" s="14"/>
      <c r="N36" s="14"/>
      <c r="O36" s="14"/>
      <c r="P36" s="14"/>
      <c r="Q36" s="14"/>
      <c r="R36" s="14"/>
      <c r="S36" s="14"/>
      <c r="T36" s="176"/>
      <c r="U36" s="173"/>
      <c r="V36" s="173"/>
      <c r="W36" s="173"/>
      <c r="X36" s="173"/>
      <c r="Y36" s="173"/>
      <c r="Z36" s="173"/>
      <c r="AA36" s="173"/>
      <c r="AB36" s="173"/>
      <c r="AC36" s="173"/>
      <c r="AD36" s="173"/>
      <c r="AE36" s="173"/>
      <c r="AF36" s="173"/>
      <c r="AG36" s="173"/>
      <c r="AH36" s="173"/>
      <c r="AI36" s="173"/>
      <c r="AJ36" s="173"/>
      <c r="AK36" s="173"/>
      <c r="AL36" s="173"/>
      <c r="AM36" s="176"/>
      <c r="AN36" s="173"/>
      <c r="AO36" s="173"/>
      <c r="AP36" s="173"/>
      <c r="AQ36" s="173"/>
      <c r="AR36" s="173"/>
      <c r="AS36" s="173"/>
      <c r="AT36" s="173"/>
      <c r="AU36" s="173"/>
      <c r="AV36" s="173"/>
      <c r="AW36" s="173"/>
      <c r="AX36" s="173"/>
      <c r="AY36" s="173"/>
      <c r="AZ36" s="173"/>
      <c r="BA36" s="173"/>
      <c r="BB36" s="173"/>
      <c r="BC36" s="173"/>
      <c r="BD36" s="173"/>
      <c r="BE36" s="173"/>
      <c r="BF36" s="173"/>
      <c r="BG36" s="180"/>
      <c r="BH36" s="180"/>
      <c r="BI36" s="180"/>
      <c r="BJ36" s="180"/>
      <c r="BK36" s="180"/>
      <c r="BL36" s="180"/>
      <c r="BM36" s="180"/>
      <c r="BN36" s="180"/>
      <c r="BO36" s="180"/>
      <c r="BP36" s="180"/>
      <c r="BQ36" s="180"/>
      <c r="BR36" s="180"/>
      <c r="BS36" s="180"/>
      <c r="BT36" s="180"/>
      <c r="BU36" s="180"/>
      <c r="BV36" s="180"/>
      <c r="BW36" s="180"/>
      <c r="BX36" s="180"/>
      <c r="BY36" s="180"/>
    </row>
    <row r="37" spans="1:77" ht="15" customHeight="1" thickTop="1" thickBot="1" x14ac:dyDescent="0.3">
      <c r="A37" s="14"/>
      <c r="B37" s="14"/>
      <c r="D37" s="14"/>
      <c r="E37" s="14"/>
      <c r="F37" s="14"/>
      <c r="G37" s="14"/>
      <c r="H37" s="14"/>
      <c r="I37" s="14"/>
      <c r="J37" s="14"/>
      <c r="K37" s="14"/>
      <c r="L37" s="14"/>
      <c r="M37" s="14"/>
      <c r="N37" s="14"/>
      <c r="O37" s="14"/>
      <c r="P37" s="14"/>
      <c r="Q37" s="14"/>
      <c r="R37" s="14"/>
      <c r="S37" s="14"/>
      <c r="T37" s="176"/>
      <c r="U37" s="173"/>
      <c r="V37" s="173"/>
      <c r="W37" s="173"/>
      <c r="X37" s="173"/>
      <c r="Y37" s="173"/>
      <c r="Z37" s="173"/>
      <c r="AA37" s="173"/>
      <c r="AB37" s="173"/>
      <c r="AC37" s="173"/>
      <c r="AD37" s="173"/>
      <c r="AE37" s="173"/>
      <c r="AF37" s="173"/>
      <c r="AG37" s="173"/>
      <c r="AH37" s="173"/>
      <c r="AI37" s="173"/>
      <c r="AJ37" s="173"/>
      <c r="AK37" s="173"/>
      <c r="AL37" s="173"/>
      <c r="AM37" s="176"/>
      <c r="AN37" s="193" t="s">
        <v>43</v>
      </c>
      <c r="AO37" s="20"/>
      <c r="AP37" s="11"/>
      <c r="AQ37" s="187" t="s">
        <v>32</v>
      </c>
      <c r="AR37" s="187"/>
      <c r="AS37" s="187"/>
      <c r="AT37" s="52"/>
      <c r="AU37" s="11"/>
      <c r="AV37" s="11"/>
      <c r="AW37" s="187" t="s">
        <v>32</v>
      </c>
      <c r="AX37" s="187"/>
      <c r="AY37" s="187"/>
      <c r="AZ37" s="52"/>
      <c r="BA37" s="11"/>
      <c r="BB37" s="11"/>
      <c r="BC37" s="187" t="s">
        <v>32</v>
      </c>
      <c r="BD37" s="187"/>
      <c r="BE37" s="187"/>
      <c r="BF37" s="184" t="s">
        <v>50</v>
      </c>
      <c r="BG37" s="196" t="s">
        <v>31</v>
      </c>
      <c r="BH37" s="20"/>
      <c r="BI37" s="11"/>
      <c r="BJ37" s="187" t="s">
        <v>32</v>
      </c>
      <c r="BK37" s="187"/>
      <c r="BL37" s="187"/>
      <c r="BM37" s="52"/>
      <c r="BN37" s="11"/>
      <c r="BO37" s="11"/>
      <c r="BP37" s="187" t="s">
        <v>32</v>
      </c>
      <c r="BQ37" s="187"/>
      <c r="BR37" s="187"/>
      <c r="BS37" s="52"/>
      <c r="BT37" s="11"/>
      <c r="BU37" s="11"/>
      <c r="BV37" s="187" t="s">
        <v>32</v>
      </c>
      <c r="BW37" s="187"/>
      <c r="BX37" s="187"/>
      <c r="BY37" s="190" t="s">
        <v>51</v>
      </c>
    </row>
    <row r="38" spans="1:77" ht="15" customHeight="1" thickTop="1" x14ac:dyDescent="0.25">
      <c r="A38" s="14"/>
      <c r="B38" s="14"/>
      <c r="D38" s="14"/>
      <c r="E38" s="14"/>
      <c r="F38" s="14"/>
      <c r="G38" s="14"/>
      <c r="H38" s="14"/>
      <c r="I38" s="14"/>
      <c r="J38" s="14"/>
      <c r="K38" s="14"/>
      <c r="L38" s="14"/>
      <c r="M38" s="14"/>
      <c r="N38" s="14"/>
      <c r="O38" s="14"/>
      <c r="P38" s="14"/>
      <c r="Q38" s="14"/>
      <c r="R38" s="14"/>
      <c r="S38" s="14"/>
      <c r="T38" s="176"/>
      <c r="U38" s="173"/>
      <c r="V38" s="173"/>
      <c r="W38" s="173"/>
      <c r="X38" s="173"/>
      <c r="Y38" s="173"/>
      <c r="Z38" s="173"/>
      <c r="AA38" s="173"/>
      <c r="AB38" s="173"/>
      <c r="AC38" s="173"/>
      <c r="AD38" s="173"/>
      <c r="AE38" s="173"/>
      <c r="AF38" s="173"/>
      <c r="AG38" s="173"/>
      <c r="AH38" s="173"/>
      <c r="AI38" s="173"/>
      <c r="AJ38" s="173"/>
      <c r="AK38" s="173"/>
      <c r="AL38" s="173"/>
      <c r="AM38" s="176"/>
      <c r="AN38" s="194"/>
      <c r="AO38" s="21"/>
      <c r="AP38" s="16" t="s">
        <v>36</v>
      </c>
      <c r="AQ38" s="13" t="s">
        <v>37</v>
      </c>
      <c r="AR38" s="13" t="s">
        <v>32</v>
      </c>
      <c r="AS38" s="13" t="s">
        <v>38</v>
      </c>
      <c r="AT38" s="53"/>
      <c r="AV38" s="16" t="s">
        <v>36</v>
      </c>
      <c r="AW38" s="13" t="s">
        <v>37</v>
      </c>
      <c r="AX38" s="13" t="s">
        <v>32</v>
      </c>
      <c r="AY38" s="13" t="s">
        <v>38</v>
      </c>
      <c r="AZ38" s="53"/>
      <c r="BB38" s="16" t="s">
        <v>36</v>
      </c>
      <c r="BC38" s="13" t="s">
        <v>37</v>
      </c>
      <c r="BD38" s="13" t="s">
        <v>32</v>
      </c>
      <c r="BE38" s="13" t="s">
        <v>38</v>
      </c>
      <c r="BF38" s="185"/>
      <c r="BG38" s="197"/>
      <c r="BH38" s="21"/>
      <c r="BI38" s="16" t="s">
        <v>36</v>
      </c>
      <c r="BJ38" s="13" t="s">
        <v>37</v>
      </c>
      <c r="BK38" s="13" t="s">
        <v>32</v>
      </c>
      <c r="BL38" s="13" t="s">
        <v>38</v>
      </c>
      <c r="BM38" s="53"/>
      <c r="BO38" s="16" t="s">
        <v>36</v>
      </c>
      <c r="BP38" s="13" t="s">
        <v>37</v>
      </c>
      <c r="BQ38" s="13" t="s">
        <v>32</v>
      </c>
      <c r="BR38" s="13" t="s">
        <v>38</v>
      </c>
      <c r="BS38" s="53"/>
      <c r="BU38" s="16" t="s">
        <v>36</v>
      </c>
      <c r="BV38" s="13" t="s">
        <v>37</v>
      </c>
      <c r="BW38" s="13" t="s">
        <v>32</v>
      </c>
      <c r="BX38" s="13" t="s">
        <v>38</v>
      </c>
      <c r="BY38" s="191"/>
    </row>
    <row r="39" spans="1:77" ht="15" customHeight="1" thickBot="1" x14ac:dyDescent="0.3">
      <c r="A39" s="14"/>
      <c r="B39" s="14"/>
      <c r="D39" s="14"/>
      <c r="E39" s="14"/>
      <c r="F39" s="14"/>
      <c r="G39" s="14"/>
      <c r="H39" s="14"/>
      <c r="I39" s="14"/>
      <c r="J39" s="14"/>
      <c r="K39" s="14"/>
      <c r="L39" s="14"/>
      <c r="M39" s="14"/>
      <c r="N39" s="14"/>
      <c r="O39" s="14"/>
      <c r="P39" s="14"/>
      <c r="Q39" s="14"/>
      <c r="R39" s="14"/>
      <c r="S39" s="14"/>
      <c r="T39" s="176"/>
      <c r="U39" s="173"/>
      <c r="V39" s="173"/>
      <c r="W39" s="173"/>
      <c r="X39" s="173"/>
      <c r="Y39" s="173"/>
      <c r="Z39" s="173"/>
      <c r="AA39" s="173"/>
      <c r="AB39" s="173"/>
      <c r="AC39" s="173"/>
      <c r="AD39" s="173"/>
      <c r="AE39" s="173"/>
      <c r="AF39" s="173"/>
      <c r="AG39" s="173"/>
      <c r="AH39" s="173"/>
      <c r="AI39" s="173"/>
      <c r="AJ39" s="173"/>
      <c r="AK39" s="173"/>
      <c r="AL39" s="173"/>
      <c r="AM39" s="176"/>
      <c r="AN39" s="194"/>
      <c r="AO39" s="188" t="s">
        <v>39</v>
      </c>
      <c r="AP39" s="13" t="s">
        <v>37</v>
      </c>
      <c r="AQ39" s="13" t="s">
        <v>42</v>
      </c>
      <c r="AR39" s="13" t="s">
        <v>41</v>
      </c>
      <c r="AS39" s="13" t="s">
        <v>41</v>
      </c>
      <c r="AT39" s="53"/>
      <c r="AU39" s="188" t="s">
        <v>39</v>
      </c>
      <c r="AV39" s="13" t="s">
        <v>37</v>
      </c>
      <c r="AW39" s="13" t="s">
        <v>41</v>
      </c>
      <c r="AX39" s="13" t="s">
        <v>41</v>
      </c>
      <c r="AY39" s="13" t="s">
        <v>41</v>
      </c>
      <c r="AZ39" s="53"/>
      <c r="BA39" s="188" t="s">
        <v>39</v>
      </c>
      <c r="BB39" s="13" t="s">
        <v>37</v>
      </c>
      <c r="BC39" s="13" t="s">
        <v>41</v>
      </c>
      <c r="BD39" s="13" t="s">
        <v>41</v>
      </c>
      <c r="BE39" s="13" t="s">
        <v>41</v>
      </c>
      <c r="BF39" s="185"/>
      <c r="BG39" s="197"/>
      <c r="BH39" s="188" t="s">
        <v>39</v>
      </c>
      <c r="BI39" s="13" t="s">
        <v>37</v>
      </c>
      <c r="BJ39" s="13" t="s">
        <v>42</v>
      </c>
      <c r="BK39" s="13" t="s">
        <v>41</v>
      </c>
      <c r="BL39" s="81" t="s">
        <v>40</v>
      </c>
      <c r="BM39" s="53"/>
      <c r="BN39" s="188" t="s">
        <v>39</v>
      </c>
      <c r="BO39" s="13" t="s">
        <v>37</v>
      </c>
      <c r="BP39" s="13" t="s">
        <v>41</v>
      </c>
      <c r="BQ39" s="13" t="s">
        <v>41</v>
      </c>
      <c r="BR39" s="13" t="s">
        <v>41</v>
      </c>
      <c r="BS39" s="53"/>
      <c r="BT39" s="188" t="s">
        <v>39</v>
      </c>
      <c r="BU39" s="13" t="s">
        <v>37</v>
      </c>
      <c r="BV39" s="13" t="s">
        <v>41</v>
      </c>
      <c r="BW39" s="13" t="s">
        <v>41</v>
      </c>
      <c r="BX39" s="13" t="s">
        <v>41</v>
      </c>
      <c r="BY39" s="191"/>
    </row>
    <row r="40" spans="1:77" ht="15" customHeight="1" thickTop="1" thickBot="1" x14ac:dyDescent="0.3">
      <c r="A40" s="14"/>
      <c r="B40" s="14"/>
      <c r="D40" s="14"/>
      <c r="E40" s="14"/>
      <c r="F40" s="14"/>
      <c r="G40" s="14"/>
      <c r="H40" s="14"/>
      <c r="I40" s="14"/>
      <c r="J40" s="14"/>
      <c r="K40" s="14"/>
      <c r="L40" s="14"/>
      <c r="M40" s="14"/>
      <c r="N40" s="14"/>
      <c r="O40" s="14"/>
      <c r="P40" s="14"/>
      <c r="Q40" s="14"/>
      <c r="R40" s="14"/>
      <c r="S40" s="14"/>
      <c r="T40" s="176"/>
      <c r="U40" s="173"/>
      <c r="V40" s="173"/>
      <c r="W40" s="173"/>
      <c r="X40" s="173"/>
      <c r="Y40" s="173"/>
      <c r="Z40" s="173"/>
      <c r="AA40" s="173"/>
      <c r="AB40" s="173"/>
      <c r="AC40" s="173"/>
      <c r="AD40" s="173"/>
      <c r="AE40" s="173"/>
      <c r="AF40" s="173"/>
      <c r="AG40" s="173"/>
      <c r="AH40" s="173"/>
      <c r="AI40" s="173"/>
      <c r="AJ40" s="173"/>
      <c r="AK40" s="173"/>
      <c r="AL40" s="173"/>
      <c r="AM40" s="176"/>
      <c r="AN40" s="194"/>
      <c r="AO40" s="188"/>
      <c r="AP40" s="13" t="s">
        <v>32</v>
      </c>
      <c r="AQ40" s="13" t="s">
        <v>41</v>
      </c>
      <c r="AR40" s="81" t="s">
        <v>42</v>
      </c>
      <c r="AS40" s="13" t="s">
        <v>41</v>
      </c>
      <c r="AT40" s="53"/>
      <c r="AU40" s="188"/>
      <c r="AV40" s="13" t="s">
        <v>32</v>
      </c>
      <c r="AW40" s="13" t="s">
        <v>41</v>
      </c>
      <c r="AX40" s="13" t="s">
        <v>41</v>
      </c>
      <c r="AY40" s="13" t="s">
        <v>41</v>
      </c>
      <c r="AZ40" s="53"/>
      <c r="BA40" s="188"/>
      <c r="BB40" s="13" t="s">
        <v>32</v>
      </c>
      <c r="BC40" s="13" t="s">
        <v>41</v>
      </c>
      <c r="BD40" s="13" t="s">
        <v>41</v>
      </c>
      <c r="BE40" s="13" t="s">
        <v>41</v>
      </c>
      <c r="BF40" s="185"/>
      <c r="BG40" s="197"/>
      <c r="BH40" s="188"/>
      <c r="BI40" s="13" t="s">
        <v>32</v>
      </c>
      <c r="BJ40" s="13" t="s">
        <v>41</v>
      </c>
      <c r="BK40" s="13" t="s">
        <v>42</v>
      </c>
      <c r="BL40" s="13" t="s">
        <v>41</v>
      </c>
      <c r="BM40" s="53"/>
      <c r="BN40" s="188"/>
      <c r="BO40" s="13" t="s">
        <v>32</v>
      </c>
      <c r="BP40" s="13" t="s">
        <v>41</v>
      </c>
      <c r="BQ40" s="13" t="s">
        <v>41</v>
      </c>
      <c r="BR40" s="13" t="s">
        <v>41</v>
      </c>
      <c r="BS40" s="53"/>
      <c r="BT40" s="188"/>
      <c r="BU40" s="13" t="s">
        <v>32</v>
      </c>
      <c r="BV40" s="13" t="s">
        <v>41</v>
      </c>
      <c r="BW40" s="13" t="s">
        <v>41</v>
      </c>
      <c r="BX40" s="13" t="s">
        <v>41</v>
      </c>
      <c r="BY40" s="191"/>
    </row>
    <row r="41" spans="1:77" ht="15" customHeight="1" thickTop="1" thickBot="1" x14ac:dyDescent="0.3">
      <c r="A41" s="14"/>
      <c r="B41" s="14"/>
      <c r="D41" s="14"/>
      <c r="E41" s="14"/>
      <c r="F41" s="14"/>
      <c r="G41" s="14"/>
      <c r="H41" s="14"/>
      <c r="I41" s="14"/>
      <c r="J41" s="14"/>
      <c r="K41" s="14"/>
      <c r="L41" s="14"/>
      <c r="M41" s="14"/>
      <c r="N41" s="14"/>
      <c r="O41" s="14"/>
      <c r="P41" s="14"/>
      <c r="Q41" s="14"/>
      <c r="R41" s="14"/>
      <c r="S41" s="14"/>
      <c r="T41" s="176"/>
      <c r="U41" s="173"/>
      <c r="V41" s="173"/>
      <c r="W41" s="173"/>
      <c r="X41" s="173"/>
      <c r="Y41" s="173"/>
      <c r="Z41" s="173"/>
      <c r="AA41" s="173"/>
      <c r="AB41" s="173"/>
      <c r="AC41" s="173"/>
      <c r="AD41" s="173"/>
      <c r="AE41" s="173"/>
      <c r="AF41" s="173"/>
      <c r="AG41" s="173"/>
      <c r="AH41" s="173"/>
      <c r="AI41" s="173"/>
      <c r="AJ41" s="173"/>
      <c r="AK41" s="173"/>
      <c r="AL41" s="173"/>
      <c r="AM41" s="177"/>
      <c r="AN41" s="195"/>
      <c r="AO41" s="189"/>
      <c r="AP41" s="18" t="s">
        <v>38</v>
      </c>
      <c r="AQ41" s="18" t="s">
        <v>40</v>
      </c>
      <c r="AR41" s="18" t="s">
        <v>41</v>
      </c>
      <c r="AS41" s="18" t="s">
        <v>41</v>
      </c>
      <c r="AT41" s="54"/>
      <c r="AU41" s="189"/>
      <c r="AV41" s="18" t="s">
        <v>38</v>
      </c>
      <c r="AW41" s="18" t="s">
        <v>41</v>
      </c>
      <c r="AX41" s="18" t="s">
        <v>41</v>
      </c>
      <c r="AY41" s="18" t="s">
        <v>41</v>
      </c>
      <c r="AZ41" s="54"/>
      <c r="BA41" s="189"/>
      <c r="BB41" s="18" t="s">
        <v>38</v>
      </c>
      <c r="BC41" s="18" t="s">
        <v>41</v>
      </c>
      <c r="BD41" s="18" t="s">
        <v>41</v>
      </c>
      <c r="BE41" s="18" t="s">
        <v>41</v>
      </c>
      <c r="BF41" s="185"/>
      <c r="BG41" s="198"/>
      <c r="BH41" s="189"/>
      <c r="BI41" s="13" t="s">
        <v>38</v>
      </c>
      <c r="BJ41" s="18" t="s">
        <v>40</v>
      </c>
      <c r="BK41" s="13" t="s">
        <v>41</v>
      </c>
      <c r="BL41" s="13" t="s">
        <v>41</v>
      </c>
      <c r="BM41" s="54"/>
      <c r="BN41" s="189"/>
      <c r="BO41" s="13" t="s">
        <v>38</v>
      </c>
      <c r="BP41" s="18" t="s">
        <v>41</v>
      </c>
      <c r="BQ41" s="18" t="s">
        <v>41</v>
      </c>
      <c r="BR41" s="18" t="s">
        <v>41</v>
      </c>
      <c r="BS41" s="54"/>
      <c r="BT41" s="189"/>
      <c r="BU41" s="13" t="s">
        <v>38</v>
      </c>
      <c r="BV41" s="18" t="s">
        <v>41</v>
      </c>
      <c r="BW41" s="18" t="s">
        <v>41</v>
      </c>
      <c r="BX41" s="18" t="s">
        <v>41</v>
      </c>
      <c r="BY41" s="191"/>
    </row>
    <row r="42" spans="1:77" ht="15" customHeight="1" thickBot="1" x14ac:dyDescent="0.3">
      <c r="A42" s="14"/>
      <c r="B42" s="14"/>
      <c r="D42" s="14"/>
      <c r="E42" s="14"/>
      <c r="F42" s="14"/>
      <c r="G42" s="14"/>
      <c r="H42" s="14"/>
      <c r="I42" s="14"/>
      <c r="J42" s="14"/>
      <c r="K42" s="14"/>
      <c r="L42" s="14"/>
      <c r="M42" s="14"/>
      <c r="N42" s="14"/>
      <c r="O42" s="14"/>
      <c r="P42" s="14"/>
      <c r="Q42" s="14"/>
      <c r="R42" s="14"/>
      <c r="S42" s="14"/>
      <c r="T42" s="176"/>
      <c r="U42" s="173"/>
      <c r="V42" s="173"/>
      <c r="W42" s="173"/>
      <c r="X42" s="173"/>
      <c r="Y42" s="173"/>
      <c r="Z42" s="173"/>
      <c r="AA42" s="173"/>
      <c r="AB42" s="173"/>
      <c r="AC42" s="173"/>
      <c r="AD42" s="173"/>
      <c r="AE42" s="173"/>
      <c r="AF42" s="173"/>
      <c r="AG42" s="173"/>
      <c r="AH42" s="173"/>
      <c r="AI42" s="173"/>
      <c r="AJ42" s="173"/>
      <c r="AK42" s="173"/>
      <c r="AL42" s="173"/>
      <c r="AM42" s="183"/>
      <c r="AN42" s="183"/>
      <c r="AO42" s="183"/>
      <c r="AP42" s="183"/>
      <c r="AQ42" s="183"/>
      <c r="AR42" s="183"/>
      <c r="AS42" s="183"/>
      <c r="AT42" s="183"/>
      <c r="AU42" s="183"/>
      <c r="AV42" s="183"/>
      <c r="AW42" s="183"/>
      <c r="AX42" s="183"/>
      <c r="AY42" s="183"/>
      <c r="AZ42" s="183"/>
      <c r="BA42" s="183"/>
      <c r="BB42" s="183"/>
      <c r="BC42" s="183"/>
      <c r="BD42" s="183"/>
      <c r="BE42" s="183"/>
      <c r="BF42" s="185"/>
      <c r="BG42" s="202"/>
      <c r="BH42" s="173"/>
      <c r="BI42" s="173"/>
      <c r="BJ42" s="173"/>
      <c r="BK42" s="173"/>
      <c r="BL42" s="173"/>
      <c r="BM42" s="173"/>
      <c r="BN42" s="173"/>
      <c r="BO42" s="173"/>
      <c r="BP42" s="173"/>
      <c r="BQ42" s="173"/>
      <c r="BR42" s="173"/>
      <c r="BS42" s="173"/>
      <c r="BT42" s="173"/>
      <c r="BU42" s="173"/>
      <c r="BV42" s="173"/>
      <c r="BW42" s="173"/>
      <c r="BX42" s="173"/>
      <c r="BY42" s="173"/>
    </row>
    <row r="43" spans="1:77" ht="15" customHeight="1" thickTop="1" thickBot="1" x14ac:dyDescent="0.3">
      <c r="A43" s="14"/>
      <c r="B43" s="14"/>
      <c r="D43" s="14"/>
      <c r="E43" s="14"/>
      <c r="F43" s="14"/>
      <c r="G43" s="14"/>
      <c r="H43" s="14"/>
      <c r="I43" s="14"/>
      <c r="J43" s="14"/>
      <c r="K43" s="14"/>
      <c r="L43" s="14"/>
      <c r="M43" s="14"/>
      <c r="N43" s="14"/>
      <c r="O43" s="14"/>
      <c r="P43" s="14"/>
      <c r="Q43" s="14"/>
      <c r="R43" s="14"/>
      <c r="S43" s="14"/>
      <c r="T43" s="176"/>
      <c r="U43" s="173"/>
      <c r="V43" s="173"/>
      <c r="W43" s="173"/>
      <c r="X43" s="173"/>
      <c r="Y43" s="173"/>
      <c r="Z43" s="173"/>
      <c r="AA43" s="173"/>
      <c r="AB43" s="173"/>
      <c r="AC43" s="173"/>
      <c r="AD43" s="173"/>
      <c r="AE43" s="173"/>
      <c r="AF43" s="173"/>
      <c r="AG43" s="173"/>
      <c r="AH43" s="173"/>
      <c r="AI43" s="173"/>
      <c r="AJ43" s="173"/>
      <c r="AK43" s="173"/>
      <c r="AL43" s="173"/>
      <c r="AM43" s="180"/>
      <c r="AN43" s="180"/>
      <c r="AO43" s="180"/>
      <c r="AP43" s="180"/>
      <c r="AQ43" s="180"/>
      <c r="AR43" s="180"/>
      <c r="AS43" s="180"/>
      <c r="AT43" s="180"/>
      <c r="AU43" s="180"/>
      <c r="AV43" s="180"/>
      <c r="AW43" s="180"/>
      <c r="AX43" s="180"/>
      <c r="AY43" s="180"/>
      <c r="AZ43" s="180"/>
      <c r="BA43" s="180"/>
      <c r="BB43" s="180"/>
      <c r="BC43" s="180"/>
      <c r="BD43" s="180"/>
      <c r="BE43" s="180"/>
      <c r="BF43" s="185"/>
      <c r="BG43" s="193" t="s">
        <v>43</v>
      </c>
      <c r="BH43" s="20"/>
      <c r="BI43" s="11"/>
      <c r="BJ43" s="187" t="s">
        <v>32</v>
      </c>
      <c r="BK43" s="187"/>
      <c r="BL43" s="187"/>
      <c r="BM43" s="52"/>
      <c r="BN43" s="11"/>
      <c r="BO43" s="11"/>
      <c r="BP43" s="187" t="s">
        <v>32</v>
      </c>
      <c r="BQ43" s="187"/>
      <c r="BR43" s="187"/>
      <c r="BS43" s="52"/>
      <c r="BT43" s="11"/>
      <c r="BU43" s="11"/>
      <c r="BV43" s="187" t="s">
        <v>32</v>
      </c>
      <c r="BW43" s="187"/>
      <c r="BX43" s="187"/>
      <c r="BY43" s="199" t="s">
        <v>52</v>
      </c>
    </row>
    <row r="44" spans="1:77" ht="15" customHeight="1" thickTop="1" x14ac:dyDescent="0.25">
      <c r="A44" s="14"/>
      <c r="B44" s="14"/>
      <c r="D44" s="14"/>
      <c r="E44" s="14"/>
      <c r="F44" s="14"/>
      <c r="G44" s="14"/>
      <c r="H44" s="14"/>
      <c r="I44" s="14"/>
      <c r="J44" s="14"/>
      <c r="K44" s="14"/>
      <c r="L44" s="14"/>
      <c r="M44" s="14"/>
      <c r="N44" s="14"/>
      <c r="O44" s="14"/>
      <c r="P44" s="14"/>
      <c r="Q44" s="14"/>
      <c r="R44" s="14"/>
      <c r="S44" s="14"/>
      <c r="T44" s="176"/>
      <c r="U44" s="173"/>
      <c r="V44" s="173"/>
      <c r="W44" s="173"/>
      <c r="X44" s="173"/>
      <c r="Y44" s="173"/>
      <c r="Z44" s="173"/>
      <c r="AA44" s="173"/>
      <c r="AB44" s="173"/>
      <c r="AC44" s="173"/>
      <c r="AD44" s="173"/>
      <c r="AE44" s="173"/>
      <c r="AF44" s="173"/>
      <c r="AG44" s="173"/>
      <c r="AH44" s="173"/>
      <c r="AI44" s="173"/>
      <c r="AJ44" s="173"/>
      <c r="AK44" s="173"/>
      <c r="AL44" s="173"/>
      <c r="AM44" s="180"/>
      <c r="AN44" s="180"/>
      <c r="AO44" s="180"/>
      <c r="AP44" s="180"/>
      <c r="AQ44" s="180"/>
      <c r="AR44" s="180"/>
      <c r="AS44" s="180"/>
      <c r="AT44" s="180"/>
      <c r="AU44" s="180"/>
      <c r="AV44" s="180"/>
      <c r="AW44" s="180"/>
      <c r="AX44" s="180"/>
      <c r="AY44" s="180"/>
      <c r="AZ44" s="180"/>
      <c r="BA44" s="180"/>
      <c r="BB44" s="180"/>
      <c r="BC44" s="180"/>
      <c r="BD44" s="180"/>
      <c r="BE44" s="180"/>
      <c r="BF44" s="185"/>
      <c r="BG44" s="194"/>
      <c r="BH44" s="21"/>
      <c r="BI44" s="16" t="s">
        <v>36</v>
      </c>
      <c r="BJ44" s="13" t="s">
        <v>37</v>
      </c>
      <c r="BK44" s="13" t="s">
        <v>32</v>
      </c>
      <c r="BL44" s="13" t="s">
        <v>38</v>
      </c>
      <c r="BM44" s="53"/>
      <c r="BO44" s="16" t="s">
        <v>36</v>
      </c>
      <c r="BP44" s="13" t="s">
        <v>37</v>
      </c>
      <c r="BQ44" s="13" t="s">
        <v>32</v>
      </c>
      <c r="BR44" s="13" t="s">
        <v>38</v>
      </c>
      <c r="BS44" s="53"/>
      <c r="BU44" s="16" t="s">
        <v>36</v>
      </c>
      <c r="BV44" s="13" t="s">
        <v>37</v>
      </c>
      <c r="BW44" s="13" t="s">
        <v>32</v>
      </c>
      <c r="BX44" s="13" t="s">
        <v>38</v>
      </c>
      <c r="BY44" s="200"/>
    </row>
    <row r="45" spans="1:77" ht="15" customHeight="1" thickBot="1" x14ac:dyDescent="0.3">
      <c r="A45" s="14"/>
      <c r="B45" s="14"/>
      <c r="D45" s="14"/>
      <c r="E45" s="14"/>
      <c r="F45" s="14"/>
      <c r="G45" s="14"/>
      <c r="H45" s="14"/>
      <c r="I45" s="14"/>
      <c r="J45" s="14"/>
      <c r="K45" s="14"/>
      <c r="L45" s="14"/>
      <c r="M45" s="14"/>
      <c r="N45" s="14"/>
      <c r="O45" s="14"/>
      <c r="P45" s="14"/>
      <c r="Q45" s="14"/>
      <c r="R45" s="14"/>
      <c r="S45" s="14"/>
      <c r="T45" s="176"/>
      <c r="U45" s="173"/>
      <c r="V45" s="173"/>
      <c r="W45" s="173"/>
      <c r="X45" s="173"/>
      <c r="Y45" s="173"/>
      <c r="Z45" s="173"/>
      <c r="AA45" s="173"/>
      <c r="AB45" s="173"/>
      <c r="AC45" s="173"/>
      <c r="AD45" s="173"/>
      <c r="AE45" s="173"/>
      <c r="AF45" s="173"/>
      <c r="AG45" s="173"/>
      <c r="AH45" s="173"/>
      <c r="AI45" s="173"/>
      <c r="AJ45" s="173"/>
      <c r="AK45" s="173"/>
      <c r="AL45" s="173"/>
      <c r="AM45" s="180"/>
      <c r="AN45" s="180"/>
      <c r="AO45" s="180"/>
      <c r="AP45" s="180"/>
      <c r="AQ45" s="180"/>
      <c r="AR45" s="180"/>
      <c r="AS45" s="180"/>
      <c r="AT45" s="180"/>
      <c r="AU45" s="180"/>
      <c r="AV45" s="180"/>
      <c r="AW45" s="180"/>
      <c r="AX45" s="180"/>
      <c r="AY45" s="180"/>
      <c r="AZ45" s="180"/>
      <c r="BA45" s="180"/>
      <c r="BB45" s="180"/>
      <c r="BC45" s="180"/>
      <c r="BD45" s="180"/>
      <c r="BE45" s="180"/>
      <c r="BF45" s="185"/>
      <c r="BG45" s="194"/>
      <c r="BH45" s="188" t="s">
        <v>39</v>
      </c>
      <c r="BI45" s="13" t="s">
        <v>37</v>
      </c>
      <c r="BJ45" s="13" t="s">
        <v>42</v>
      </c>
      <c r="BK45" s="13" t="s">
        <v>41</v>
      </c>
      <c r="BL45" s="81" t="s">
        <v>42</v>
      </c>
      <c r="BM45" s="53"/>
      <c r="BN45" s="188" t="s">
        <v>39</v>
      </c>
      <c r="BO45" s="13" t="s">
        <v>37</v>
      </c>
      <c r="BP45" s="13" t="s">
        <v>41</v>
      </c>
      <c r="BQ45" s="13" t="s">
        <v>41</v>
      </c>
      <c r="BR45" s="13" t="s">
        <v>41</v>
      </c>
      <c r="BS45" s="53"/>
      <c r="BT45" s="188" t="s">
        <v>39</v>
      </c>
      <c r="BU45" s="13" t="s">
        <v>37</v>
      </c>
      <c r="BV45" s="13" t="s">
        <v>41</v>
      </c>
      <c r="BW45" s="13" t="s">
        <v>41</v>
      </c>
      <c r="BX45" s="13" t="s">
        <v>41</v>
      </c>
      <c r="BY45" s="200"/>
    </row>
    <row r="46" spans="1:77" ht="15" customHeight="1" thickTop="1" thickBot="1" x14ac:dyDescent="0.3">
      <c r="A46" s="14"/>
      <c r="B46" s="14"/>
      <c r="D46" s="14"/>
      <c r="E46" s="14"/>
      <c r="F46" s="14"/>
      <c r="G46" s="14"/>
      <c r="H46" s="14"/>
      <c r="I46" s="14"/>
      <c r="J46" s="14"/>
      <c r="K46" s="14"/>
      <c r="L46" s="14"/>
      <c r="M46" s="14"/>
      <c r="N46" s="14"/>
      <c r="O46" s="14"/>
      <c r="P46" s="14"/>
      <c r="Q46" s="14"/>
      <c r="R46" s="14"/>
      <c r="S46" s="14"/>
      <c r="T46" s="176"/>
      <c r="U46" s="173"/>
      <c r="V46" s="173"/>
      <c r="W46" s="173"/>
      <c r="X46" s="173"/>
      <c r="Y46" s="173"/>
      <c r="Z46" s="173"/>
      <c r="AA46" s="173"/>
      <c r="AB46" s="173"/>
      <c r="AC46" s="173"/>
      <c r="AD46" s="173"/>
      <c r="AE46" s="173"/>
      <c r="AF46" s="173"/>
      <c r="AG46" s="173"/>
      <c r="AH46" s="173"/>
      <c r="AI46" s="173"/>
      <c r="AJ46" s="173"/>
      <c r="AK46" s="173"/>
      <c r="AL46" s="173"/>
      <c r="AM46" s="180"/>
      <c r="AN46" s="180"/>
      <c r="AO46" s="180"/>
      <c r="AP46" s="180"/>
      <c r="AQ46" s="180"/>
      <c r="AR46" s="180"/>
      <c r="AS46" s="180"/>
      <c r="AT46" s="180"/>
      <c r="AU46" s="180"/>
      <c r="AV46" s="180"/>
      <c r="AW46" s="180"/>
      <c r="AX46" s="180"/>
      <c r="AY46" s="180"/>
      <c r="AZ46" s="180"/>
      <c r="BA46" s="180"/>
      <c r="BB46" s="180"/>
      <c r="BC46" s="180"/>
      <c r="BD46" s="180"/>
      <c r="BE46" s="180"/>
      <c r="BF46" s="185"/>
      <c r="BG46" s="194"/>
      <c r="BH46" s="188"/>
      <c r="BI46" s="13" t="s">
        <v>32</v>
      </c>
      <c r="BJ46" s="13" t="s">
        <v>41</v>
      </c>
      <c r="BK46" s="13" t="s">
        <v>42</v>
      </c>
      <c r="BL46" s="13" t="s">
        <v>41</v>
      </c>
      <c r="BM46" s="53"/>
      <c r="BN46" s="188"/>
      <c r="BO46" s="13" t="s">
        <v>32</v>
      </c>
      <c r="BP46" s="13" t="s">
        <v>41</v>
      </c>
      <c r="BQ46" s="13" t="s">
        <v>41</v>
      </c>
      <c r="BR46" s="13" t="s">
        <v>41</v>
      </c>
      <c r="BS46" s="53"/>
      <c r="BT46" s="188"/>
      <c r="BU46" s="13" t="s">
        <v>32</v>
      </c>
      <c r="BV46" s="13" t="s">
        <v>41</v>
      </c>
      <c r="BW46" s="13" t="s">
        <v>41</v>
      </c>
      <c r="BX46" s="13" t="s">
        <v>41</v>
      </c>
      <c r="BY46" s="200"/>
    </row>
    <row r="47" spans="1:77" ht="15" customHeight="1" thickTop="1" thickBot="1" x14ac:dyDescent="0.3">
      <c r="A47" s="14"/>
      <c r="B47" s="14"/>
      <c r="D47" s="14"/>
      <c r="E47" s="14"/>
      <c r="F47" s="14"/>
      <c r="G47" s="14"/>
      <c r="H47" s="14"/>
      <c r="I47" s="14"/>
      <c r="J47" s="14"/>
      <c r="K47" s="14"/>
      <c r="L47" s="14"/>
      <c r="M47" s="14"/>
      <c r="N47" s="14"/>
      <c r="O47" s="14"/>
      <c r="P47" s="14"/>
      <c r="Q47" s="14"/>
      <c r="R47" s="14"/>
      <c r="S47" s="14"/>
      <c r="T47" s="176"/>
      <c r="U47" s="173"/>
      <c r="V47" s="173"/>
      <c r="W47" s="173"/>
      <c r="X47" s="173"/>
      <c r="Y47" s="173"/>
      <c r="Z47" s="173"/>
      <c r="AA47" s="173"/>
      <c r="AB47" s="173"/>
      <c r="AC47" s="173"/>
      <c r="AD47" s="173"/>
      <c r="AE47" s="173"/>
      <c r="AF47" s="173"/>
      <c r="AG47" s="173"/>
      <c r="AH47" s="173"/>
      <c r="AI47" s="173"/>
      <c r="AJ47" s="173"/>
      <c r="AK47" s="173"/>
      <c r="AL47" s="173"/>
      <c r="AM47" s="180"/>
      <c r="AN47" s="180"/>
      <c r="AO47" s="180"/>
      <c r="AP47" s="180"/>
      <c r="AQ47" s="180"/>
      <c r="AR47" s="180"/>
      <c r="AS47" s="180"/>
      <c r="AT47" s="180"/>
      <c r="AU47" s="180"/>
      <c r="AV47" s="180"/>
      <c r="AW47" s="180"/>
      <c r="AX47" s="180"/>
      <c r="AY47" s="180"/>
      <c r="AZ47" s="180"/>
      <c r="BA47" s="180"/>
      <c r="BB47" s="180"/>
      <c r="BC47" s="180"/>
      <c r="BD47" s="180"/>
      <c r="BE47" s="180"/>
      <c r="BF47" s="186"/>
      <c r="BG47" s="195"/>
      <c r="BH47" s="189"/>
      <c r="BI47" s="18" t="s">
        <v>38</v>
      </c>
      <c r="BJ47" s="18" t="s">
        <v>40</v>
      </c>
      <c r="BK47" s="18" t="s">
        <v>41</v>
      </c>
      <c r="BL47" s="18" t="s">
        <v>41</v>
      </c>
      <c r="BM47" s="54"/>
      <c r="BN47" s="189"/>
      <c r="BO47" s="18" t="s">
        <v>38</v>
      </c>
      <c r="BP47" s="18" t="s">
        <v>41</v>
      </c>
      <c r="BQ47" s="18" t="s">
        <v>41</v>
      </c>
      <c r="BR47" s="18" t="s">
        <v>41</v>
      </c>
      <c r="BS47" s="54"/>
      <c r="BT47" s="189"/>
      <c r="BU47" s="13" t="s">
        <v>38</v>
      </c>
      <c r="BV47" s="18" t="s">
        <v>41</v>
      </c>
      <c r="BW47" s="18" t="s">
        <v>41</v>
      </c>
      <c r="BX47" s="18" t="s">
        <v>41</v>
      </c>
      <c r="BY47" s="201"/>
    </row>
    <row r="48" spans="1:77" ht="15" customHeight="1" thickBot="1" x14ac:dyDescent="0.3">
      <c r="A48" s="14"/>
      <c r="B48" s="14"/>
      <c r="D48" s="14"/>
      <c r="E48" s="14"/>
      <c r="F48" s="14"/>
      <c r="G48" s="14"/>
      <c r="H48" s="14"/>
      <c r="I48" s="14"/>
      <c r="J48" s="14"/>
      <c r="K48" s="14"/>
      <c r="L48" s="14"/>
      <c r="M48" s="14"/>
      <c r="N48" s="14"/>
      <c r="O48" s="14"/>
      <c r="P48" s="14"/>
      <c r="Q48" s="14"/>
      <c r="R48" s="14"/>
      <c r="S48" s="14"/>
      <c r="T48" s="176"/>
      <c r="U48" s="182"/>
      <c r="V48" s="182"/>
      <c r="W48" s="182"/>
      <c r="X48" s="182"/>
      <c r="Y48" s="182"/>
      <c r="Z48" s="182"/>
      <c r="AA48" s="182"/>
      <c r="AB48" s="182"/>
      <c r="AC48" s="182"/>
      <c r="AD48" s="182"/>
      <c r="AE48" s="182"/>
      <c r="AF48" s="182"/>
      <c r="AG48" s="182"/>
      <c r="AH48" s="182"/>
      <c r="AI48" s="182"/>
      <c r="AJ48" s="182"/>
      <c r="AK48" s="182"/>
      <c r="AL48" s="182"/>
      <c r="AM48" s="180"/>
      <c r="AN48" s="180"/>
      <c r="AO48" s="180"/>
      <c r="AP48" s="180"/>
      <c r="AQ48" s="180"/>
      <c r="AR48" s="180"/>
      <c r="AS48" s="180"/>
      <c r="AT48" s="180"/>
      <c r="AU48" s="180"/>
      <c r="AV48" s="180"/>
      <c r="AW48" s="180"/>
      <c r="AX48" s="180"/>
      <c r="AY48" s="180"/>
      <c r="AZ48" s="180"/>
      <c r="BA48" s="180"/>
      <c r="BB48" s="180"/>
      <c r="BC48" s="180"/>
      <c r="BD48" s="180"/>
      <c r="BE48" s="180"/>
      <c r="BF48" s="83"/>
      <c r="BG48" s="84"/>
      <c r="BH48" s="84"/>
      <c r="BI48" s="84"/>
      <c r="BJ48" s="84"/>
      <c r="BK48" s="84"/>
      <c r="BL48" s="84"/>
      <c r="BM48" s="84"/>
      <c r="BN48" s="84"/>
      <c r="BO48" s="84"/>
      <c r="BP48" s="84"/>
      <c r="BQ48" s="84"/>
      <c r="BR48" s="84"/>
      <c r="BS48" s="84"/>
      <c r="BT48" s="84"/>
      <c r="BU48" s="84"/>
      <c r="BV48" s="84"/>
      <c r="BW48" s="84"/>
      <c r="BX48" s="84"/>
      <c r="BY48" s="84"/>
    </row>
    <row r="49" spans="1:76" ht="15" customHeight="1" thickTop="1" thickBot="1" x14ac:dyDescent="0.3">
      <c r="A49" s="14"/>
      <c r="B49" s="14"/>
      <c r="D49" s="14"/>
      <c r="E49" s="14"/>
      <c r="F49" s="14"/>
      <c r="G49" s="14"/>
      <c r="H49" s="14"/>
      <c r="I49" s="14"/>
      <c r="J49" s="14"/>
      <c r="K49" s="14"/>
      <c r="L49" s="14"/>
      <c r="M49" s="14"/>
      <c r="N49" s="14"/>
      <c r="O49" s="14"/>
      <c r="P49" s="14"/>
      <c r="Q49" s="14"/>
      <c r="R49" s="14"/>
      <c r="S49" s="14"/>
      <c r="T49" s="176"/>
      <c r="U49" s="193" t="s">
        <v>43</v>
      </c>
      <c r="V49" s="20"/>
      <c r="W49" s="11"/>
      <c r="X49" s="187" t="s">
        <v>32</v>
      </c>
      <c r="Y49" s="187"/>
      <c r="Z49" s="187"/>
      <c r="AA49" s="52"/>
      <c r="AB49" s="11"/>
      <c r="AC49" s="11"/>
      <c r="AD49" s="187" t="s">
        <v>32</v>
      </c>
      <c r="AE49" s="187"/>
      <c r="AF49" s="187"/>
      <c r="AG49" s="52"/>
      <c r="AH49" s="11"/>
      <c r="AI49" s="11"/>
      <c r="AJ49" s="187" t="s">
        <v>32</v>
      </c>
      <c r="AK49" s="187"/>
      <c r="AL49" s="187"/>
      <c r="AM49" s="190" t="s">
        <v>53</v>
      </c>
      <c r="AN49" s="85"/>
      <c r="AP49" s="14"/>
      <c r="AQ49" s="14"/>
      <c r="AR49" s="14"/>
      <c r="AS49" s="14"/>
      <c r="AT49" s="14"/>
      <c r="AU49" s="14"/>
      <c r="AV49" s="14"/>
      <c r="AW49" s="14"/>
      <c r="AX49" s="14"/>
      <c r="AY49" s="14"/>
      <c r="AZ49" s="14"/>
      <c r="BA49" s="14"/>
      <c r="BB49" s="14"/>
      <c r="BC49" s="14"/>
      <c r="BD49" s="14"/>
      <c r="BE49" s="14"/>
      <c r="BG49" s="14"/>
      <c r="BI49" s="14"/>
      <c r="BJ49" s="14"/>
      <c r="BK49" s="14"/>
      <c r="BL49" s="14"/>
      <c r="BM49" s="14"/>
      <c r="BN49" s="14"/>
      <c r="BO49" s="14"/>
      <c r="BP49" s="14"/>
      <c r="BQ49" s="14"/>
      <c r="BR49" s="14"/>
      <c r="BS49" s="14"/>
      <c r="BT49" s="14"/>
      <c r="BU49" s="14"/>
      <c r="BV49" s="14"/>
      <c r="BW49" s="14"/>
      <c r="BX49" s="14"/>
    </row>
    <row r="50" spans="1:76" ht="15" customHeight="1" thickTop="1" x14ac:dyDescent="0.25">
      <c r="A50" s="14"/>
      <c r="B50" s="14"/>
      <c r="D50" s="14"/>
      <c r="E50" s="14"/>
      <c r="F50" s="14"/>
      <c r="G50" s="14"/>
      <c r="H50" s="14"/>
      <c r="I50" s="14"/>
      <c r="J50" s="14"/>
      <c r="K50" s="14"/>
      <c r="L50" s="14"/>
      <c r="M50" s="14"/>
      <c r="N50" s="14"/>
      <c r="O50" s="14"/>
      <c r="P50" s="14"/>
      <c r="Q50" s="14"/>
      <c r="R50" s="14"/>
      <c r="S50" s="14"/>
      <c r="T50" s="176"/>
      <c r="U50" s="194"/>
      <c r="V50" s="21"/>
      <c r="W50" s="16" t="s">
        <v>36</v>
      </c>
      <c r="X50" s="13" t="s">
        <v>37</v>
      </c>
      <c r="Y50" s="13" t="s">
        <v>32</v>
      </c>
      <c r="Z50" s="13" t="s">
        <v>38</v>
      </c>
      <c r="AA50" s="53"/>
      <c r="AC50" s="16" t="s">
        <v>36</v>
      </c>
      <c r="AD50" s="13" t="s">
        <v>37</v>
      </c>
      <c r="AE50" s="13" t="s">
        <v>32</v>
      </c>
      <c r="AF50" s="13" t="s">
        <v>38</v>
      </c>
      <c r="AG50" s="53"/>
      <c r="AI50" s="16" t="s">
        <v>36</v>
      </c>
      <c r="AJ50" s="13" t="s">
        <v>37</v>
      </c>
      <c r="AK50" s="13" t="s">
        <v>32</v>
      </c>
      <c r="AL50" s="13" t="s">
        <v>38</v>
      </c>
      <c r="AM50" s="191"/>
      <c r="AN50" s="85"/>
      <c r="AP50" s="14"/>
      <c r="AQ50" s="14"/>
      <c r="AR50" s="14"/>
      <c r="AS50" s="14"/>
      <c r="AT50" s="14"/>
      <c r="AU50" s="14"/>
      <c r="AV50" s="14"/>
      <c r="AW50" s="14"/>
      <c r="AX50" s="14"/>
      <c r="AY50" s="14"/>
      <c r="AZ50" s="14"/>
      <c r="BA50" s="14"/>
      <c r="BB50" s="14"/>
      <c r="BC50" s="14"/>
      <c r="BD50" s="14"/>
      <c r="BE50" s="14"/>
      <c r="BG50" s="14"/>
      <c r="BI50" s="14"/>
      <c r="BJ50" s="14"/>
      <c r="BK50" s="14"/>
      <c r="BL50" s="14"/>
      <c r="BM50" s="14"/>
      <c r="BN50" s="14"/>
      <c r="BO50" s="14"/>
      <c r="BP50" s="14"/>
      <c r="BQ50" s="14"/>
      <c r="BR50" s="14"/>
      <c r="BS50" s="14"/>
      <c r="BT50" s="14"/>
      <c r="BU50" s="14"/>
      <c r="BV50" s="14"/>
      <c r="BW50" s="14"/>
      <c r="BX50" s="14"/>
    </row>
    <row r="51" spans="1:76" ht="15" customHeight="1" thickBot="1" x14ac:dyDescent="0.3">
      <c r="A51" s="14"/>
      <c r="B51" s="14"/>
      <c r="D51" s="14"/>
      <c r="E51" s="14"/>
      <c r="F51" s="14"/>
      <c r="G51" s="14"/>
      <c r="H51" s="14"/>
      <c r="I51" s="14"/>
      <c r="J51" s="14"/>
      <c r="K51" s="14"/>
      <c r="L51" s="14"/>
      <c r="M51" s="14"/>
      <c r="N51" s="14"/>
      <c r="O51" s="14"/>
      <c r="P51" s="14"/>
      <c r="Q51" s="14"/>
      <c r="R51" s="14"/>
      <c r="S51" s="14"/>
      <c r="T51" s="176"/>
      <c r="U51" s="194"/>
      <c r="V51" s="188" t="s">
        <v>39</v>
      </c>
      <c r="W51" s="13" t="s">
        <v>37</v>
      </c>
      <c r="X51" s="13" t="s">
        <v>42</v>
      </c>
      <c r="Y51" s="13" t="s">
        <v>41</v>
      </c>
      <c r="Z51" s="81" t="s">
        <v>42</v>
      </c>
      <c r="AA51" s="53"/>
      <c r="AB51" s="188" t="s">
        <v>39</v>
      </c>
      <c r="AC51" s="13" t="s">
        <v>37</v>
      </c>
      <c r="AD51" s="13" t="s">
        <v>42</v>
      </c>
      <c r="AE51" s="13" t="s">
        <v>41</v>
      </c>
      <c r="AF51" s="13" t="s">
        <v>41</v>
      </c>
      <c r="AG51" s="53"/>
      <c r="AH51" s="188" t="s">
        <v>39</v>
      </c>
      <c r="AI51" s="13" t="s">
        <v>37</v>
      </c>
      <c r="AJ51" s="13" t="s">
        <v>42</v>
      </c>
      <c r="AK51" s="13" t="s">
        <v>41</v>
      </c>
      <c r="AL51" s="13" t="s">
        <v>41</v>
      </c>
      <c r="AM51" s="191"/>
      <c r="AN51" s="85"/>
      <c r="AP51" s="14"/>
      <c r="AQ51" s="14"/>
      <c r="AR51" s="14"/>
      <c r="AS51" s="14"/>
      <c r="AT51" s="14"/>
      <c r="AU51" s="14"/>
      <c r="AV51" s="14"/>
      <c r="AW51" s="14"/>
      <c r="AX51" s="14"/>
      <c r="AY51" s="14"/>
      <c r="AZ51" s="14"/>
      <c r="BA51" s="14"/>
      <c r="BB51" s="14"/>
      <c r="BC51" s="14"/>
      <c r="BD51" s="14"/>
      <c r="BE51" s="14"/>
      <c r="BG51" s="14"/>
      <c r="BI51" s="14"/>
      <c r="BJ51" s="14"/>
      <c r="BK51" s="14"/>
      <c r="BL51" s="14"/>
      <c r="BM51" s="14"/>
      <c r="BN51" s="14"/>
      <c r="BO51" s="14"/>
      <c r="BP51" s="14"/>
      <c r="BQ51" s="14"/>
      <c r="BR51" s="14"/>
      <c r="BS51" s="14"/>
      <c r="BT51" s="14"/>
      <c r="BU51" s="14"/>
      <c r="BV51" s="14"/>
      <c r="BW51" s="14"/>
      <c r="BX51" s="14"/>
    </row>
    <row r="52" spans="1:76" ht="15" customHeight="1" thickTop="1" thickBot="1" x14ac:dyDescent="0.3">
      <c r="A52" s="14"/>
      <c r="B52" s="14"/>
      <c r="D52" s="14"/>
      <c r="E52" s="14"/>
      <c r="F52" s="14"/>
      <c r="G52" s="14"/>
      <c r="H52" s="14"/>
      <c r="I52" s="14"/>
      <c r="J52" s="14"/>
      <c r="K52" s="14"/>
      <c r="L52" s="14"/>
      <c r="M52" s="14"/>
      <c r="N52" s="14"/>
      <c r="O52" s="14"/>
      <c r="P52" s="14"/>
      <c r="Q52" s="14"/>
      <c r="R52" s="14"/>
      <c r="S52" s="14"/>
      <c r="T52" s="176"/>
      <c r="U52" s="194"/>
      <c r="V52" s="188"/>
      <c r="W52" s="13" t="s">
        <v>32</v>
      </c>
      <c r="X52" s="13" t="s">
        <v>41</v>
      </c>
      <c r="Y52" s="13" t="s">
        <v>41</v>
      </c>
      <c r="Z52" s="13" t="s">
        <v>41</v>
      </c>
      <c r="AA52" s="53"/>
      <c r="AB52" s="188"/>
      <c r="AC52" s="13" t="s">
        <v>32</v>
      </c>
      <c r="AD52" s="13" t="s">
        <v>41</v>
      </c>
      <c r="AE52" s="13" t="s">
        <v>41</v>
      </c>
      <c r="AF52" s="13" t="s">
        <v>41</v>
      </c>
      <c r="AG52" s="53"/>
      <c r="AH52" s="188"/>
      <c r="AI52" s="13" t="s">
        <v>32</v>
      </c>
      <c r="AJ52" s="13" t="s">
        <v>41</v>
      </c>
      <c r="AK52" s="13" t="s">
        <v>41</v>
      </c>
      <c r="AL52" s="13" t="s">
        <v>41</v>
      </c>
      <c r="AM52" s="191"/>
      <c r="AN52" s="85"/>
      <c r="AP52" s="14"/>
      <c r="AQ52" s="14"/>
      <c r="AR52" s="14"/>
      <c r="AS52" s="14"/>
      <c r="AT52" s="14"/>
      <c r="AU52" s="14"/>
      <c r="AV52" s="14"/>
      <c r="AW52" s="14"/>
      <c r="AX52" s="14"/>
      <c r="AY52" s="14"/>
      <c r="AZ52" s="14"/>
      <c r="BA52" s="14"/>
      <c r="BB52" s="14"/>
      <c r="BC52" s="14"/>
      <c r="BD52" s="14"/>
      <c r="BE52" s="14"/>
      <c r="BG52" s="14"/>
      <c r="BI52" s="14"/>
      <c r="BJ52" s="14"/>
      <c r="BK52" s="14"/>
      <c r="BL52" s="14"/>
      <c r="BM52" s="14"/>
      <c r="BN52" s="14"/>
      <c r="BO52" s="14"/>
      <c r="BP52" s="14"/>
      <c r="BQ52" s="14"/>
      <c r="BR52" s="14"/>
      <c r="BS52" s="14"/>
      <c r="BT52" s="14"/>
      <c r="BU52" s="14"/>
      <c r="BV52" s="14"/>
      <c r="BW52" s="14"/>
      <c r="BX52" s="14"/>
    </row>
    <row r="53" spans="1:76" ht="15" customHeight="1" thickTop="1" thickBot="1" x14ac:dyDescent="0.3">
      <c r="A53" s="14"/>
      <c r="B53" s="14"/>
      <c r="D53" s="14"/>
      <c r="E53" s="14"/>
      <c r="F53" s="14"/>
      <c r="G53" s="14"/>
      <c r="H53" s="14"/>
      <c r="I53" s="14"/>
      <c r="J53" s="14"/>
      <c r="K53" s="14"/>
      <c r="L53" s="14"/>
      <c r="M53" s="14"/>
      <c r="N53" s="14"/>
      <c r="O53" s="14"/>
      <c r="P53" s="14"/>
      <c r="Q53" s="14"/>
      <c r="R53" s="14"/>
      <c r="S53" s="14"/>
      <c r="T53" s="177"/>
      <c r="U53" s="195"/>
      <c r="V53" s="189"/>
      <c r="W53" s="18" t="s">
        <v>38</v>
      </c>
      <c r="X53" s="79" t="s">
        <v>42</v>
      </c>
      <c r="Y53" s="18" t="s">
        <v>41</v>
      </c>
      <c r="Z53" s="18" t="s">
        <v>41</v>
      </c>
      <c r="AA53" s="54"/>
      <c r="AB53" s="189"/>
      <c r="AC53" s="18" t="s">
        <v>38</v>
      </c>
      <c r="AD53" s="18" t="s">
        <v>41</v>
      </c>
      <c r="AE53" s="18" t="s">
        <v>41</v>
      </c>
      <c r="AF53" s="18" t="s">
        <v>41</v>
      </c>
      <c r="AG53" s="54"/>
      <c r="AH53" s="189"/>
      <c r="AI53" s="18" t="s">
        <v>38</v>
      </c>
      <c r="AJ53" s="18" t="s">
        <v>41</v>
      </c>
      <c r="AK53" s="18" t="s">
        <v>41</v>
      </c>
      <c r="AL53" s="18" t="s">
        <v>41</v>
      </c>
      <c r="AM53" s="192"/>
      <c r="AN53" s="85"/>
      <c r="AP53" s="14"/>
      <c r="AQ53" s="14"/>
      <c r="AR53" s="14"/>
      <c r="AS53" s="14"/>
      <c r="AT53" s="14"/>
      <c r="AU53" s="14"/>
      <c r="AV53" s="14"/>
      <c r="AW53" s="14"/>
      <c r="AX53" s="14"/>
      <c r="AY53" s="14"/>
      <c r="AZ53" s="14"/>
      <c r="BA53" s="14"/>
      <c r="BB53" s="14"/>
      <c r="BC53" s="14"/>
      <c r="BD53" s="14"/>
      <c r="BE53" s="14"/>
      <c r="BG53" s="14"/>
      <c r="BI53" s="14"/>
      <c r="BJ53" s="14"/>
      <c r="BK53" s="14"/>
      <c r="BL53" s="14"/>
      <c r="BM53" s="14"/>
      <c r="BN53" s="14"/>
      <c r="BO53" s="14"/>
      <c r="BP53" s="14"/>
      <c r="BQ53" s="14"/>
      <c r="BR53" s="14"/>
      <c r="BS53" s="14"/>
      <c r="BT53" s="14"/>
      <c r="BU53" s="14"/>
      <c r="BV53" s="14"/>
      <c r="BW53" s="14"/>
      <c r="BX53" s="14"/>
    </row>
    <row r="54" spans="1:76" ht="15" customHeight="1" x14ac:dyDescent="0.25">
      <c r="A54" s="14"/>
      <c r="B54" s="14"/>
      <c r="D54" s="14"/>
      <c r="E54" s="14"/>
      <c r="F54" s="14"/>
      <c r="G54" s="14"/>
      <c r="H54" s="14"/>
      <c r="I54" s="14"/>
      <c r="J54" s="14"/>
      <c r="K54" s="14"/>
      <c r="L54" s="14"/>
      <c r="M54" s="14"/>
      <c r="N54" s="14"/>
      <c r="O54" s="14"/>
      <c r="P54" s="14"/>
      <c r="Q54" s="14"/>
      <c r="R54" s="14"/>
      <c r="S54" s="14"/>
      <c r="U54" s="14"/>
      <c r="W54" s="14"/>
      <c r="X54" s="14"/>
      <c r="Y54" s="14"/>
      <c r="Z54" s="14"/>
      <c r="AA54" s="14"/>
      <c r="AB54" s="14"/>
      <c r="AC54" s="14"/>
      <c r="AD54" s="14"/>
      <c r="AE54" s="14"/>
      <c r="AF54" s="14"/>
      <c r="AG54" s="14"/>
      <c r="AH54" s="14"/>
      <c r="AI54" s="14"/>
      <c r="AJ54" s="14"/>
      <c r="AK54" s="14"/>
      <c r="AL54" s="14"/>
      <c r="AN54" s="14"/>
      <c r="AP54" s="14"/>
      <c r="AQ54" s="14"/>
      <c r="AR54" s="14"/>
      <c r="AS54" s="14"/>
      <c r="AT54" s="14"/>
      <c r="AU54" s="14"/>
      <c r="AV54" s="14"/>
      <c r="AW54" s="14"/>
      <c r="AX54" s="14"/>
      <c r="AY54" s="14"/>
      <c r="AZ54" s="14"/>
      <c r="BA54" s="14"/>
      <c r="BB54" s="14"/>
      <c r="BC54" s="14"/>
      <c r="BD54" s="14"/>
      <c r="BE54" s="14"/>
      <c r="BG54" s="14"/>
      <c r="BI54" s="14"/>
      <c r="BJ54" s="14"/>
      <c r="BK54" s="14"/>
      <c r="BL54" s="14"/>
      <c r="BM54" s="14"/>
      <c r="BN54" s="14"/>
      <c r="BO54" s="14"/>
      <c r="BP54" s="14"/>
      <c r="BQ54" s="14"/>
      <c r="BR54" s="14"/>
      <c r="BS54" s="14"/>
      <c r="BT54" s="14"/>
      <c r="BU54" s="14"/>
      <c r="BV54" s="14"/>
      <c r="BW54" s="14"/>
      <c r="BX54" s="14"/>
    </row>
    <row r="55" spans="1:76" ht="15" customHeight="1" x14ac:dyDescent="0.25">
      <c r="A55" s="14"/>
      <c r="B55" s="14"/>
      <c r="D55" s="14"/>
      <c r="E55" s="14"/>
      <c r="F55" s="14"/>
      <c r="G55" s="14"/>
      <c r="H55" s="14"/>
      <c r="I55" s="14"/>
      <c r="J55" s="14"/>
      <c r="K55" s="14"/>
      <c r="L55" s="14"/>
      <c r="M55" s="14"/>
      <c r="N55" s="14"/>
      <c r="O55" s="14"/>
      <c r="P55" s="14"/>
      <c r="Q55" s="14"/>
      <c r="R55" s="14"/>
      <c r="S55" s="14"/>
      <c r="U55" s="14"/>
      <c r="W55" s="14"/>
      <c r="X55" s="14"/>
      <c r="Y55" s="14"/>
      <c r="Z55" s="14"/>
      <c r="AA55" s="14"/>
      <c r="AB55" s="14"/>
      <c r="AC55" s="14"/>
      <c r="AD55" s="14"/>
      <c r="AE55" s="14"/>
      <c r="AF55" s="14"/>
      <c r="AG55" s="14"/>
      <c r="AH55" s="14"/>
      <c r="AI55" s="14"/>
      <c r="AJ55" s="14"/>
      <c r="AK55" s="14"/>
      <c r="AL55" s="14"/>
      <c r="AN55" s="14"/>
      <c r="AP55" s="14"/>
      <c r="AQ55" s="14"/>
      <c r="AR55" s="14"/>
      <c r="AS55" s="14"/>
      <c r="AT55" s="14"/>
      <c r="AU55" s="14"/>
      <c r="AV55" s="14"/>
      <c r="AW55" s="14"/>
      <c r="AX55" s="14"/>
      <c r="AY55" s="14"/>
      <c r="AZ55" s="14"/>
      <c r="BA55" s="14"/>
      <c r="BB55" s="14"/>
      <c r="BC55" s="14"/>
      <c r="BD55" s="14"/>
      <c r="BE55" s="14"/>
      <c r="BG55" s="14"/>
      <c r="BI55" s="14"/>
      <c r="BJ55" s="14"/>
      <c r="BK55" s="14"/>
      <c r="BL55" s="14"/>
      <c r="BM55" s="14"/>
      <c r="BN55" s="14"/>
      <c r="BO55" s="14"/>
      <c r="BP55" s="14"/>
      <c r="BQ55" s="14"/>
      <c r="BR55" s="14"/>
      <c r="BS55" s="14"/>
      <c r="BT55" s="14"/>
      <c r="BU55" s="14"/>
      <c r="BV55" s="14"/>
      <c r="BW55" s="14"/>
      <c r="BX55" s="14"/>
    </row>
    <row r="56" spans="1:76" ht="15" customHeight="1" x14ac:dyDescent="0.25">
      <c r="A56" s="14"/>
      <c r="B56" s="14"/>
      <c r="D56" s="14"/>
      <c r="E56" s="14"/>
      <c r="F56" s="14"/>
      <c r="G56" s="14"/>
      <c r="H56" s="14"/>
      <c r="I56" s="14"/>
      <c r="J56" s="14"/>
      <c r="K56" s="14"/>
      <c r="L56" s="14"/>
      <c r="M56" s="14"/>
      <c r="N56" s="14"/>
      <c r="O56" s="14"/>
      <c r="P56" s="14"/>
      <c r="Q56" s="14"/>
      <c r="R56" s="14"/>
      <c r="S56" s="14"/>
      <c r="U56" s="14"/>
      <c r="W56" s="14"/>
      <c r="X56" s="14"/>
      <c r="Y56" s="14"/>
      <c r="Z56" s="14"/>
      <c r="AA56" s="14"/>
      <c r="AB56" s="14"/>
      <c r="AC56" s="14"/>
      <c r="AD56" s="14"/>
      <c r="AE56" s="14"/>
      <c r="AF56" s="14"/>
      <c r="AG56" s="14"/>
      <c r="AH56" s="14"/>
      <c r="AI56" s="14"/>
      <c r="AJ56" s="14"/>
      <c r="AK56" s="14"/>
      <c r="AL56" s="14"/>
      <c r="AN56" s="14"/>
      <c r="AP56" s="14"/>
      <c r="AQ56" s="14"/>
      <c r="AR56" s="14"/>
      <c r="AS56" s="14"/>
      <c r="AT56" s="14"/>
      <c r="AU56" s="14"/>
      <c r="AV56" s="14"/>
      <c r="AW56" s="14"/>
      <c r="AX56" s="14"/>
      <c r="AY56" s="14"/>
      <c r="AZ56" s="14"/>
      <c r="BA56" s="14"/>
      <c r="BB56" s="14"/>
      <c r="BC56" s="14"/>
      <c r="BD56" s="14"/>
      <c r="BE56" s="14"/>
      <c r="BG56" s="14"/>
      <c r="BI56" s="14"/>
      <c r="BJ56" s="14"/>
      <c r="BK56" s="14"/>
      <c r="BL56" s="14"/>
      <c r="BM56" s="14"/>
      <c r="BN56" s="14"/>
      <c r="BO56" s="14"/>
      <c r="BP56" s="14"/>
      <c r="BQ56" s="14"/>
      <c r="BR56" s="14"/>
      <c r="BS56" s="14"/>
      <c r="BT56" s="14"/>
      <c r="BU56" s="14"/>
      <c r="BV56" s="14"/>
      <c r="BW56" s="14"/>
      <c r="BX56" s="14"/>
    </row>
    <row r="57" spans="1:76" ht="15" customHeight="1" x14ac:dyDescent="0.25">
      <c r="A57" s="14"/>
      <c r="B57" s="14"/>
      <c r="D57" s="14"/>
      <c r="E57" s="14"/>
      <c r="F57" s="14"/>
      <c r="G57" s="14"/>
      <c r="H57" s="14"/>
      <c r="I57" s="14"/>
      <c r="J57" s="14"/>
      <c r="K57" s="14"/>
      <c r="L57" s="14"/>
      <c r="M57" s="14"/>
      <c r="N57" s="14"/>
      <c r="O57" s="14"/>
      <c r="P57" s="14"/>
      <c r="Q57" s="14"/>
      <c r="R57" s="14"/>
      <c r="S57" s="14"/>
      <c r="U57" s="14"/>
      <c r="W57" s="14"/>
      <c r="X57" s="14"/>
      <c r="Y57" s="14"/>
      <c r="Z57" s="14"/>
      <c r="AA57" s="14"/>
      <c r="AB57" s="14"/>
      <c r="AC57" s="14"/>
      <c r="AD57" s="14"/>
      <c r="AE57" s="14"/>
      <c r="AF57" s="14"/>
      <c r="AG57" s="14"/>
      <c r="AH57" s="14"/>
      <c r="AI57" s="14"/>
      <c r="AJ57" s="14"/>
      <c r="AK57" s="14"/>
      <c r="AL57" s="14"/>
      <c r="AN57" s="14"/>
      <c r="AP57" s="14"/>
      <c r="AQ57" s="14"/>
      <c r="AR57" s="14"/>
      <c r="AS57" s="14"/>
      <c r="AT57" s="14"/>
      <c r="AU57" s="14"/>
      <c r="AV57" s="14"/>
      <c r="AW57" s="14"/>
      <c r="AX57" s="14"/>
      <c r="AY57" s="14"/>
      <c r="AZ57" s="14"/>
      <c r="BA57" s="14"/>
      <c r="BB57" s="14"/>
      <c r="BC57" s="14"/>
      <c r="BD57" s="14"/>
      <c r="BE57" s="14"/>
      <c r="BG57" s="14"/>
      <c r="BI57" s="14"/>
      <c r="BJ57" s="14"/>
      <c r="BK57" s="14"/>
      <c r="BL57" s="14"/>
      <c r="BM57" s="14"/>
      <c r="BN57" s="14"/>
      <c r="BO57" s="14"/>
      <c r="BP57" s="14"/>
      <c r="BQ57" s="14"/>
      <c r="BR57" s="14"/>
      <c r="BS57" s="14"/>
      <c r="BT57" s="14"/>
      <c r="BU57" s="14"/>
      <c r="BV57" s="14"/>
      <c r="BW57" s="14"/>
      <c r="BX57" s="14"/>
    </row>
    <row r="58" spans="1:76" ht="15" customHeight="1" x14ac:dyDescent="0.25">
      <c r="A58" s="14"/>
      <c r="B58" s="14"/>
      <c r="D58" s="14"/>
      <c r="E58" s="14"/>
      <c r="F58" s="14"/>
      <c r="G58" s="14"/>
      <c r="H58" s="14"/>
      <c r="I58" s="14"/>
      <c r="J58" s="14"/>
      <c r="K58" s="14"/>
      <c r="L58" s="14"/>
      <c r="M58" s="14"/>
      <c r="N58" s="14"/>
      <c r="O58" s="14"/>
      <c r="P58" s="14"/>
      <c r="Q58" s="14"/>
      <c r="R58" s="14"/>
      <c r="S58" s="14"/>
      <c r="AN58" s="14"/>
      <c r="AP58" s="14"/>
      <c r="AQ58" s="14"/>
      <c r="AR58" s="14"/>
      <c r="AS58" s="14"/>
      <c r="AT58" s="14"/>
      <c r="AU58" s="14"/>
      <c r="AV58" s="14"/>
      <c r="AW58" s="14"/>
      <c r="AX58" s="14"/>
      <c r="AY58" s="14"/>
      <c r="AZ58" s="14"/>
      <c r="BA58" s="14"/>
      <c r="BB58" s="14"/>
      <c r="BC58" s="14"/>
      <c r="BD58" s="14"/>
      <c r="BE58" s="14"/>
      <c r="BG58" s="14"/>
      <c r="BI58" s="14"/>
      <c r="BJ58" s="14"/>
      <c r="BK58" s="14"/>
      <c r="BL58" s="14"/>
      <c r="BM58" s="14"/>
      <c r="BN58" s="14"/>
      <c r="BO58" s="14"/>
      <c r="BP58" s="14"/>
      <c r="BQ58" s="14"/>
      <c r="BR58" s="14"/>
      <c r="BS58" s="14"/>
      <c r="BT58" s="14"/>
      <c r="BU58" s="14"/>
      <c r="BV58" s="14"/>
      <c r="BW58" s="14"/>
      <c r="BX58" s="14"/>
    </row>
    <row r="59" spans="1:76" ht="15" customHeight="1" x14ac:dyDescent="0.25">
      <c r="A59" s="14"/>
      <c r="B59" s="14"/>
      <c r="D59" s="14"/>
      <c r="E59" s="14"/>
      <c r="F59" s="14"/>
      <c r="G59" s="14"/>
      <c r="H59" s="14"/>
      <c r="I59" s="14"/>
      <c r="J59" s="14"/>
      <c r="K59" s="14"/>
      <c r="L59" s="14"/>
      <c r="M59" s="14"/>
      <c r="N59" s="14"/>
      <c r="O59" s="14"/>
      <c r="P59" s="14"/>
      <c r="Q59" s="14"/>
      <c r="R59" s="14"/>
      <c r="S59" s="14"/>
      <c r="AN59" s="14"/>
      <c r="AP59" s="14"/>
      <c r="AQ59" s="14"/>
      <c r="AR59" s="14"/>
      <c r="AS59" s="14"/>
      <c r="AT59" s="14"/>
      <c r="AU59" s="14"/>
      <c r="AV59" s="14"/>
      <c r="AW59" s="14"/>
      <c r="AX59" s="14"/>
      <c r="AY59" s="14"/>
      <c r="AZ59" s="14"/>
      <c r="BA59" s="14"/>
      <c r="BB59" s="14"/>
      <c r="BC59" s="14"/>
      <c r="BD59" s="14"/>
      <c r="BE59" s="14"/>
      <c r="BG59" s="14"/>
      <c r="BI59" s="14"/>
      <c r="BJ59" s="14"/>
      <c r="BK59" s="14"/>
      <c r="BL59" s="14"/>
      <c r="BM59" s="14"/>
      <c r="BN59" s="14"/>
      <c r="BO59" s="14"/>
      <c r="BP59" s="14"/>
      <c r="BQ59" s="14"/>
      <c r="BR59" s="14"/>
      <c r="BS59" s="14"/>
      <c r="BT59" s="14"/>
      <c r="BU59" s="14"/>
      <c r="BV59" s="14"/>
      <c r="BW59" s="14"/>
      <c r="BX59" s="14"/>
    </row>
    <row r="60" spans="1:76" ht="15" customHeight="1" x14ac:dyDescent="0.25">
      <c r="A60" s="14"/>
      <c r="B60" s="14"/>
      <c r="D60" s="14"/>
      <c r="E60" s="14"/>
      <c r="F60" s="14"/>
      <c r="G60" s="14"/>
      <c r="H60" s="14"/>
      <c r="I60" s="14"/>
      <c r="J60" s="14"/>
      <c r="K60" s="14"/>
      <c r="L60" s="14"/>
      <c r="M60" s="14"/>
      <c r="N60" s="14"/>
      <c r="O60" s="14"/>
      <c r="P60" s="14"/>
      <c r="Q60" s="14"/>
      <c r="R60" s="14"/>
      <c r="S60" s="14"/>
      <c r="AN60" s="14"/>
      <c r="AP60" s="14"/>
      <c r="AQ60" s="14"/>
      <c r="AR60" s="14"/>
      <c r="AS60" s="14"/>
      <c r="AT60" s="14"/>
      <c r="AU60" s="14"/>
      <c r="AV60" s="14"/>
      <c r="AW60" s="14"/>
      <c r="AX60" s="14"/>
      <c r="AY60" s="14"/>
      <c r="AZ60" s="14"/>
      <c r="BA60" s="14"/>
      <c r="BB60" s="14"/>
      <c r="BC60" s="14"/>
      <c r="BD60" s="14"/>
      <c r="BE60" s="14"/>
      <c r="BG60" s="14"/>
      <c r="BI60" s="14"/>
      <c r="BJ60" s="14"/>
      <c r="BK60" s="14"/>
      <c r="BL60" s="14"/>
      <c r="BM60" s="14"/>
      <c r="BN60" s="14"/>
      <c r="BO60" s="14"/>
      <c r="BP60" s="14"/>
      <c r="BQ60" s="14"/>
      <c r="BR60" s="14"/>
      <c r="BS60" s="14"/>
      <c r="BT60" s="14"/>
      <c r="BU60" s="14"/>
      <c r="BV60" s="14"/>
      <c r="BW60" s="14"/>
      <c r="BX60" s="14"/>
    </row>
    <row r="61" spans="1:76" ht="15" customHeight="1" x14ac:dyDescent="0.25">
      <c r="A61" s="14"/>
      <c r="B61" s="14"/>
      <c r="D61" s="14"/>
      <c r="E61" s="14"/>
      <c r="F61" s="14"/>
      <c r="G61" s="14"/>
      <c r="H61" s="14"/>
      <c r="I61" s="14"/>
      <c r="J61" s="14"/>
      <c r="K61" s="14"/>
      <c r="L61" s="14"/>
      <c r="M61" s="14"/>
      <c r="N61" s="14"/>
      <c r="O61" s="14"/>
      <c r="P61" s="14"/>
      <c r="Q61" s="14"/>
      <c r="R61" s="14"/>
      <c r="S61" s="14"/>
    </row>
    <row r="62" spans="1:76" ht="15" customHeight="1" x14ac:dyDescent="0.25">
      <c r="A62" s="14"/>
      <c r="B62" s="14"/>
      <c r="D62" s="14"/>
      <c r="E62" s="14"/>
      <c r="F62" s="14"/>
      <c r="G62" s="14"/>
      <c r="H62" s="14"/>
      <c r="I62" s="14"/>
      <c r="J62" s="14"/>
      <c r="K62" s="14"/>
      <c r="L62" s="14"/>
      <c r="M62" s="14"/>
      <c r="N62" s="14"/>
      <c r="O62" s="14"/>
      <c r="P62" s="14"/>
      <c r="Q62" s="14"/>
      <c r="R62" s="14"/>
      <c r="S62" s="14"/>
    </row>
    <row r="63" spans="1:76" ht="15" customHeight="1" x14ac:dyDescent="0.25">
      <c r="A63" s="14"/>
      <c r="B63" s="14"/>
      <c r="D63" s="14"/>
      <c r="E63" s="14"/>
      <c r="F63" s="14"/>
      <c r="G63" s="14"/>
      <c r="H63" s="14"/>
      <c r="I63" s="14"/>
      <c r="J63" s="14"/>
      <c r="K63" s="14"/>
      <c r="L63" s="14"/>
      <c r="M63" s="14"/>
      <c r="N63" s="14"/>
      <c r="O63" s="14"/>
      <c r="P63" s="14"/>
      <c r="Q63" s="14"/>
      <c r="R63" s="14"/>
      <c r="S63" s="14"/>
    </row>
    <row r="64" spans="1:76" ht="15" customHeight="1" x14ac:dyDescent="0.25">
      <c r="A64" s="14"/>
      <c r="B64" s="14"/>
      <c r="D64" s="14"/>
      <c r="E64" s="14"/>
      <c r="F64" s="14"/>
      <c r="G64" s="14"/>
      <c r="H64" s="14"/>
      <c r="I64" s="14"/>
      <c r="J64" s="14"/>
      <c r="K64" s="14"/>
      <c r="L64" s="14"/>
      <c r="M64" s="14"/>
      <c r="N64" s="14"/>
      <c r="O64" s="14"/>
      <c r="P64" s="14"/>
      <c r="Q64" s="14"/>
      <c r="R64" s="14"/>
      <c r="S64" s="14"/>
      <c r="U64" s="14"/>
      <c r="W64" s="14"/>
      <c r="X64" s="14"/>
      <c r="Y64" s="14"/>
      <c r="Z64" s="14"/>
      <c r="AA64" s="14"/>
      <c r="AB64" s="14"/>
      <c r="AC64" s="14"/>
      <c r="AD64" s="14"/>
      <c r="AE64" s="14"/>
      <c r="AF64" s="14"/>
    </row>
    <row r="65" spans="1:76" ht="15" customHeight="1" x14ac:dyDescent="0.25">
      <c r="A65" s="14"/>
      <c r="B65" s="14"/>
      <c r="D65" s="14"/>
      <c r="E65" s="14"/>
      <c r="F65" s="14"/>
      <c r="G65" s="14"/>
      <c r="H65" s="14"/>
      <c r="I65" s="14"/>
      <c r="J65" s="14"/>
      <c r="K65" s="14"/>
      <c r="L65" s="14"/>
      <c r="M65" s="14"/>
      <c r="N65" s="14"/>
      <c r="O65" s="14"/>
      <c r="P65" s="14"/>
      <c r="Q65" s="14"/>
      <c r="R65" s="14"/>
      <c r="S65" s="14"/>
      <c r="U65" s="14"/>
      <c r="W65" s="14"/>
      <c r="X65" s="14"/>
      <c r="Y65" s="14"/>
      <c r="Z65" s="14"/>
      <c r="AA65" s="14"/>
      <c r="AB65" s="14"/>
      <c r="AC65" s="14"/>
      <c r="AD65" s="14"/>
      <c r="AE65" s="14"/>
      <c r="AF65" s="14"/>
    </row>
    <row r="66" spans="1:76" ht="15" customHeight="1" x14ac:dyDescent="0.25">
      <c r="A66" s="14"/>
      <c r="B66" s="14"/>
      <c r="D66" s="14"/>
      <c r="E66" s="14"/>
      <c r="F66" s="14"/>
      <c r="G66" s="14"/>
      <c r="H66" s="14"/>
      <c r="I66" s="14"/>
      <c r="J66" s="14"/>
      <c r="K66" s="14"/>
      <c r="L66" s="14"/>
      <c r="M66" s="14"/>
      <c r="N66" s="14"/>
      <c r="O66" s="14"/>
      <c r="P66" s="14"/>
      <c r="Q66" s="14"/>
      <c r="R66" s="14"/>
      <c r="S66" s="14"/>
      <c r="U66" s="14"/>
      <c r="W66" s="14"/>
      <c r="X66" s="14"/>
      <c r="Y66" s="14"/>
      <c r="Z66" s="14"/>
      <c r="AA66" s="14"/>
      <c r="AB66" s="14"/>
      <c r="AC66" s="14"/>
      <c r="AD66" s="14"/>
      <c r="AE66" s="14"/>
      <c r="AF66" s="14"/>
    </row>
    <row r="67" spans="1:76" ht="15" customHeight="1" x14ac:dyDescent="0.25">
      <c r="A67" s="14"/>
      <c r="B67" s="14"/>
      <c r="D67" s="14"/>
      <c r="E67" s="14"/>
      <c r="F67" s="14"/>
      <c r="G67" s="14"/>
      <c r="H67" s="14"/>
      <c r="I67" s="14"/>
      <c r="J67" s="14"/>
      <c r="K67" s="14"/>
      <c r="L67" s="14"/>
      <c r="M67" s="14"/>
      <c r="N67" s="14"/>
      <c r="O67" s="14"/>
      <c r="P67" s="14"/>
      <c r="Q67" s="14"/>
      <c r="R67" s="14"/>
      <c r="S67" s="14"/>
      <c r="U67" s="14"/>
      <c r="W67" s="14"/>
      <c r="X67" s="14"/>
      <c r="Y67" s="14"/>
      <c r="Z67" s="14"/>
      <c r="AA67" s="14"/>
      <c r="AB67" s="14"/>
      <c r="AC67" s="14"/>
      <c r="AD67" s="14"/>
      <c r="AE67" s="14"/>
      <c r="AF67" s="14"/>
      <c r="BG67" s="14"/>
      <c r="BI67" s="14"/>
      <c r="BJ67" s="14"/>
      <c r="BK67" s="14"/>
      <c r="BL67" s="14"/>
      <c r="BM67" s="14"/>
      <c r="BN67" s="14"/>
      <c r="BO67" s="14"/>
      <c r="BP67" s="14"/>
      <c r="BQ67" s="14"/>
      <c r="BR67" s="14"/>
      <c r="BS67" s="14"/>
      <c r="BT67" s="14"/>
      <c r="BU67" s="14"/>
      <c r="BV67" s="14"/>
      <c r="BW67" s="14"/>
      <c r="BX67" s="14"/>
    </row>
    <row r="68" spans="1:76" ht="15" customHeight="1" x14ac:dyDescent="0.25">
      <c r="A68" s="14"/>
      <c r="B68" s="14"/>
      <c r="D68" s="14"/>
      <c r="E68" s="14"/>
      <c r="F68" s="14"/>
      <c r="G68" s="14"/>
      <c r="H68" s="14"/>
      <c r="I68" s="14"/>
      <c r="J68" s="14"/>
      <c r="K68" s="14"/>
      <c r="L68" s="14"/>
      <c r="M68" s="14"/>
      <c r="N68" s="14"/>
      <c r="O68" s="14"/>
      <c r="P68" s="14"/>
      <c r="Q68" s="14"/>
      <c r="R68" s="14"/>
      <c r="S68" s="14"/>
      <c r="U68" s="14"/>
      <c r="W68" s="14"/>
      <c r="X68" s="14"/>
      <c r="Y68" s="14"/>
      <c r="Z68" s="14"/>
      <c r="AA68" s="14"/>
      <c r="AB68" s="14"/>
      <c r="AC68" s="14"/>
      <c r="AD68" s="14"/>
      <c r="AE68" s="14"/>
      <c r="AF68" s="14"/>
      <c r="BG68" s="14"/>
      <c r="BI68" s="14"/>
      <c r="BJ68" s="14"/>
      <c r="BK68" s="14"/>
      <c r="BL68" s="14"/>
      <c r="BM68" s="14"/>
      <c r="BN68" s="14"/>
      <c r="BO68" s="14"/>
      <c r="BP68" s="14"/>
      <c r="BQ68" s="14"/>
      <c r="BR68" s="14"/>
      <c r="BS68" s="14"/>
      <c r="BT68" s="14"/>
      <c r="BU68" s="14"/>
      <c r="BV68" s="14"/>
      <c r="BW68" s="14"/>
      <c r="BX68" s="14"/>
    </row>
    <row r="69" spans="1:76" ht="15" customHeight="1" x14ac:dyDescent="0.25">
      <c r="A69" s="14"/>
      <c r="B69" s="14"/>
      <c r="D69" s="14"/>
      <c r="E69" s="14"/>
      <c r="F69" s="14"/>
      <c r="G69" s="14"/>
      <c r="H69" s="14"/>
      <c r="I69" s="14"/>
      <c r="J69" s="14"/>
      <c r="K69" s="14"/>
      <c r="L69" s="14"/>
      <c r="M69" s="14"/>
      <c r="N69" s="14"/>
      <c r="O69" s="14"/>
      <c r="P69" s="14"/>
      <c r="Q69" s="14"/>
      <c r="R69" s="14"/>
      <c r="S69" s="14"/>
      <c r="U69" s="14"/>
      <c r="W69" s="14"/>
      <c r="X69" s="14"/>
      <c r="Y69" s="14"/>
      <c r="Z69" s="14"/>
      <c r="AA69" s="14"/>
      <c r="AB69" s="14"/>
      <c r="AC69" s="14"/>
      <c r="AD69" s="14"/>
      <c r="AE69" s="14"/>
      <c r="AF69" s="14"/>
      <c r="BG69" s="14"/>
      <c r="BI69" s="14"/>
      <c r="BJ69" s="14"/>
      <c r="BK69" s="14"/>
      <c r="BL69" s="14"/>
      <c r="BM69" s="14"/>
      <c r="BN69" s="14"/>
      <c r="BO69" s="14"/>
      <c r="BP69" s="14"/>
      <c r="BQ69" s="14"/>
      <c r="BR69" s="14"/>
      <c r="BS69" s="14"/>
      <c r="BT69" s="14"/>
      <c r="BU69" s="14"/>
      <c r="BV69" s="14"/>
      <c r="BW69" s="14"/>
      <c r="BX69" s="14"/>
    </row>
    <row r="70" spans="1:76" ht="15" customHeight="1" x14ac:dyDescent="0.25">
      <c r="A70" s="14"/>
      <c r="B70" s="14"/>
      <c r="D70" s="14"/>
      <c r="E70" s="14"/>
      <c r="F70" s="14"/>
      <c r="G70" s="14"/>
      <c r="H70" s="14"/>
      <c r="I70" s="14"/>
      <c r="J70" s="14"/>
      <c r="K70" s="14"/>
      <c r="L70" s="14"/>
      <c r="M70" s="14"/>
      <c r="N70" s="14"/>
      <c r="O70" s="14"/>
      <c r="P70" s="14"/>
      <c r="Q70" s="14"/>
      <c r="R70" s="14"/>
      <c r="S70" s="14"/>
      <c r="U70" s="14"/>
      <c r="W70" s="14"/>
      <c r="X70" s="14"/>
      <c r="Y70" s="14"/>
      <c r="Z70" s="14"/>
      <c r="AA70" s="14"/>
      <c r="AB70" s="14"/>
      <c r="AC70" s="14"/>
      <c r="AD70" s="14"/>
      <c r="AE70" s="14"/>
      <c r="AF70" s="14"/>
    </row>
    <row r="71" spans="1:76" ht="15" customHeight="1" x14ac:dyDescent="0.25">
      <c r="A71" s="14"/>
      <c r="B71" s="14"/>
      <c r="D71" s="14"/>
      <c r="E71" s="14"/>
      <c r="F71" s="14"/>
      <c r="G71" s="14"/>
      <c r="H71" s="14"/>
      <c r="I71" s="14"/>
      <c r="J71" s="14"/>
      <c r="K71" s="14"/>
      <c r="L71" s="14"/>
      <c r="M71" s="14"/>
      <c r="N71" s="14"/>
      <c r="O71" s="14"/>
      <c r="P71" s="14"/>
      <c r="Q71" s="14"/>
      <c r="R71" s="14"/>
      <c r="S71" s="14"/>
      <c r="U71" s="14"/>
      <c r="W71" s="14"/>
      <c r="X71" s="14"/>
      <c r="Y71" s="14"/>
      <c r="Z71" s="14"/>
      <c r="AA71" s="14"/>
      <c r="AB71" s="14"/>
      <c r="AC71" s="14"/>
      <c r="AD71" s="14"/>
      <c r="AE71" s="14"/>
      <c r="AF71" s="14"/>
    </row>
    <row r="72" spans="1:76" ht="15" customHeight="1" x14ac:dyDescent="0.25">
      <c r="A72" s="14"/>
      <c r="B72" s="14"/>
      <c r="D72" s="14"/>
      <c r="E72" s="14"/>
      <c r="F72" s="14"/>
      <c r="G72" s="14"/>
      <c r="H72" s="14"/>
      <c r="I72" s="14"/>
      <c r="J72" s="14"/>
      <c r="K72" s="14"/>
      <c r="L72" s="14"/>
      <c r="M72" s="14"/>
      <c r="N72" s="14"/>
      <c r="O72" s="14"/>
      <c r="P72" s="14"/>
      <c r="Q72" s="14"/>
      <c r="R72" s="14"/>
      <c r="S72" s="14"/>
      <c r="U72" s="14"/>
      <c r="W72" s="14"/>
      <c r="X72" s="14"/>
      <c r="Y72" s="14"/>
      <c r="Z72" s="14"/>
      <c r="AA72" s="14"/>
      <c r="AB72" s="14"/>
      <c r="AC72" s="14"/>
      <c r="AD72" s="14"/>
      <c r="AE72" s="14"/>
      <c r="AF72" s="14"/>
    </row>
    <row r="73" spans="1:76" ht="15" customHeight="1" x14ac:dyDescent="0.25">
      <c r="A73" s="14"/>
      <c r="B73" s="14"/>
      <c r="D73" s="14"/>
      <c r="E73" s="14"/>
      <c r="F73" s="14"/>
      <c r="G73" s="14"/>
      <c r="H73" s="14"/>
      <c r="I73" s="14"/>
      <c r="J73" s="14"/>
      <c r="K73" s="14"/>
      <c r="L73" s="14"/>
      <c r="M73" s="14"/>
      <c r="N73" s="14"/>
      <c r="O73" s="14"/>
      <c r="P73" s="14"/>
      <c r="Q73" s="14"/>
      <c r="R73" s="14"/>
      <c r="S73" s="14"/>
      <c r="U73" s="14"/>
      <c r="W73" s="14"/>
      <c r="X73" s="14"/>
      <c r="Y73" s="14"/>
      <c r="Z73" s="14"/>
      <c r="AA73" s="14"/>
      <c r="AB73" s="14"/>
      <c r="AC73" s="14"/>
      <c r="AD73" s="14"/>
      <c r="AE73" s="14"/>
      <c r="AF73" s="14"/>
    </row>
    <row r="74" spans="1:76" ht="15" customHeight="1" x14ac:dyDescent="0.25">
      <c r="A74" s="14"/>
      <c r="B74" s="14"/>
      <c r="D74" s="14"/>
      <c r="E74" s="14"/>
      <c r="F74" s="14"/>
      <c r="G74" s="14"/>
      <c r="H74" s="14"/>
      <c r="I74" s="14"/>
      <c r="J74" s="14"/>
      <c r="K74" s="14"/>
      <c r="L74" s="14"/>
      <c r="M74" s="14"/>
      <c r="N74" s="14"/>
      <c r="O74" s="14"/>
      <c r="P74" s="14"/>
      <c r="Q74" s="14"/>
      <c r="R74" s="14"/>
      <c r="S74" s="14"/>
      <c r="U74" s="14"/>
      <c r="W74" s="14"/>
      <c r="X74" s="14"/>
      <c r="Y74" s="14"/>
      <c r="Z74" s="14"/>
      <c r="AA74" s="14"/>
      <c r="AB74" s="14"/>
      <c r="AC74" s="14"/>
      <c r="AD74" s="14"/>
      <c r="AE74" s="14"/>
      <c r="AF74" s="14"/>
    </row>
    <row r="75" spans="1:76" ht="15" customHeight="1" x14ac:dyDescent="0.25">
      <c r="A75" s="14"/>
      <c r="B75" s="14"/>
      <c r="D75" s="14"/>
      <c r="E75" s="14"/>
      <c r="F75" s="14"/>
      <c r="G75" s="14"/>
      <c r="H75" s="14"/>
      <c r="I75" s="14"/>
      <c r="J75" s="14"/>
      <c r="K75" s="14"/>
      <c r="L75" s="14"/>
      <c r="M75" s="14"/>
      <c r="N75" s="14"/>
      <c r="O75" s="14"/>
      <c r="P75" s="14"/>
      <c r="Q75" s="14"/>
      <c r="R75" s="14"/>
      <c r="S75" s="14"/>
      <c r="U75" s="14"/>
      <c r="W75" s="14"/>
      <c r="X75" s="14"/>
      <c r="Y75" s="14"/>
      <c r="Z75" s="14"/>
      <c r="AA75" s="14"/>
      <c r="AB75" s="14"/>
      <c r="AC75" s="14"/>
      <c r="AD75" s="14"/>
      <c r="AE75" s="14"/>
      <c r="AF75" s="14"/>
    </row>
    <row r="76" spans="1:76" ht="15" customHeight="1" x14ac:dyDescent="0.25">
      <c r="A76" s="14"/>
      <c r="B76" s="14"/>
      <c r="D76" s="14"/>
      <c r="E76" s="14"/>
      <c r="F76" s="14"/>
      <c r="G76" s="14"/>
      <c r="H76" s="14"/>
      <c r="I76" s="14"/>
      <c r="J76" s="14"/>
      <c r="K76" s="14"/>
      <c r="L76" s="14"/>
      <c r="M76" s="14"/>
      <c r="N76" s="14"/>
      <c r="O76" s="14"/>
      <c r="P76" s="14"/>
      <c r="Q76" s="14"/>
      <c r="R76" s="14"/>
      <c r="S76" s="14"/>
      <c r="U76" s="14"/>
      <c r="W76" s="14"/>
      <c r="X76" s="14"/>
      <c r="Y76" s="14"/>
      <c r="Z76" s="14"/>
      <c r="AA76" s="14"/>
      <c r="AB76" s="14"/>
      <c r="AC76" s="14"/>
      <c r="AD76" s="14"/>
      <c r="AE76" s="14"/>
      <c r="AF76" s="14"/>
    </row>
    <row r="77" spans="1:76" ht="15" customHeight="1" x14ac:dyDescent="0.25">
      <c r="A77" s="14"/>
      <c r="B77" s="14"/>
      <c r="D77" s="14"/>
      <c r="E77" s="14"/>
      <c r="F77" s="14"/>
      <c r="G77" s="14"/>
      <c r="H77" s="14"/>
      <c r="I77" s="14"/>
      <c r="J77" s="14"/>
      <c r="K77" s="14"/>
      <c r="L77" s="14"/>
      <c r="M77" s="14"/>
      <c r="N77" s="14"/>
      <c r="O77" s="14"/>
      <c r="P77" s="14"/>
      <c r="Q77" s="14"/>
      <c r="R77" s="14"/>
      <c r="S77" s="14"/>
      <c r="U77" s="14"/>
      <c r="W77" s="14"/>
      <c r="X77" s="14"/>
      <c r="Y77" s="14"/>
      <c r="Z77" s="14"/>
      <c r="AA77" s="14"/>
      <c r="AB77" s="14"/>
      <c r="AC77" s="14"/>
      <c r="AD77" s="14"/>
      <c r="AE77" s="14"/>
      <c r="AF77" s="14"/>
    </row>
    <row r="78" spans="1:76" ht="15" customHeight="1" x14ac:dyDescent="0.25">
      <c r="A78" s="14"/>
      <c r="B78" s="14"/>
      <c r="D78" s="14"/>
      <c r="E78" s="14"/>
      <c r="F78" s="14"/>
      <c r="G78" s="14"/>
      <c r="H78" s="14"/>
      <c r="I78" s="14"/>
      <c r="J78" s="14"/>
      <c r="K78" s="14"/>
      <c r="L78" s="14"/>
      <c r="M78" s="14"/>
      <c r="N78" s="14"/>
      <c r="O78" s="14"/>
      <c r="P78" s="14"/>
      <c r="Q78" s="14"/>
      <c r="R78" s="14"/>
      <c r="S78" s="14"/>
      <c r="U78" s="14"/>
      <c r="W78" s="14"/>
      <c r="X78" s="14"/>
      <c r="Y78" s="14"/>
      <c r="Z78" s="14"/>
      <c r="AA78" s="14"/>
      <c r="AB78" s="14"/>
      <c r="AC78" s="14"/>
      <c r="AD78" s="14"/>
      <c r="AE78" s="14"/>
      <c r="AF78" s="14"/>
    </row>
    <row r="79" spans="1:76" ht="15" customHeight="1" x14ac:dyDescent="0.25">
      <c r="A79" s="14"/>
      <c r="B79" s="14"/>
      <c r="D79" s="14"/>
      <c r="E79" s="14"/>
      <c r="F79" s="14"/>
      <c r="G79" s="14"/>
      <c r="H79" s="14"/>
      <c r="I79" s="14"/>
      <c r="J79" s="14"/>
      <c r="K79" s="14"/>
      <c r="L79" s="14"/>
      <c r="M79" s="14"/>
      <c r="N79" s="14"/>
      <c r="O79" s="14"/>
      <c r="P79" s="14"/>
      <c r="Q79" s="14"/>
      <c r="R79" s="14"/>
      <c r="S79" s="14"/>
      <c r="U79" s="14"/>
      <c r="W79" s="14"/>
      <c r="X79" s="14"/>
      <c r="Y79" s="14"/>
      <c r="Z79" s="14"/>
      <c r="AA79" s="14"/>
      <c r="AB79" s="14"/>
      <c r="AC79" s="14"/>
      <c r="AD79" s="14"/>
      <c r="AE79" s="14"/>
      <c r="AF79" s="14"/>
    </row>
    <row r="80" spans="1:76" ht="15" customHeight="1" x14ac:dyDescent="0.25">
      <c r="A80" s="14"/>
      <c r="B80" s="14"/>
      <c r="D80" s="14"/>
      <c r="E80" s="14"/>
      <c r="F80" s="14"/>
      <c r="G80" s="14"/>
      <c r="H80" s="14"/>
      <c r="I80" s="14"/>
      <c r="J80" s="14"/>
      <c r="K80" s="14"/>
      <c r="L80" s="14"/>
      <c r="M80" s="14"/>
      <c r="N80" s="14"/>
      <c r="O80" s="14"/>
      <c r="P80" s="14"/>
      <c r="Q80" s="14"/>
      <c r="R80" s="14"/>
      <c r="S80" s="14"/>
      <c r="U80" s="14"/>
      <c r="W80" s="14"/>
      <c r="X80" s="14"/>
      <c r="Y80" s="14"/>
      <c r="Z80" s="14"/>
      <c r="AA80" s="14"/>
      <c r="AB80" s="14"/>
      <c r="AC80" s="14"/>
      <c r="AD80" s="14"/>
      <c r="AE80" s="14"/>
      <c r="AF80" s="14"/>
    </row>
    <row r="81" spans="1:19" ht="15" customHeight="1" x14ac:dyDescent="0.25">
      <c r="A81" s="14"/>
      <c r="B81" s="14"/>
      <c r="D81" s="14"/>
      <c r="E81" s="14"/>
      <c r="F81" s="14"/>
      <c r="G81" s="14"/>
      <c r="H81" s="14"/>
      <c r="I81" s="14"/>
      <c r="J81" s="14"/>
      <c r="K81" s="14"/>
      <c r="L81" s="14"/>
      <c r="M81" s="14"/>
      <c r="N81" s="14"/>
      <c r="O81" s="14"/>
      <c r="P81" s="14"/>
      <c r="Q81" s="14"/>
      <c r="R81" s="14"/>
      <c r="S81" s="14"/>
    </row>
    <row r="82" spans="1:19" ht="15" customHeight="1" x14ac:dyDescent="0.25">
      <c r="A82" s="14"/>
      <c r="B82" s="14"/>
      <c r="D82" s="14"/>
      <c r="E82" s="14"/>
      <c r="F82" s="14"/>
      <c r="G82" s="14"/>
      <c r="H82" s="14"/>
      <c r="I82" s="14"/>
      <c r="J82" s="14"/>
      <c r="K82" s="14"/>
      <c r="L82" s="14"/>
      <c r="M82" s="14"/>
      <c r="N82" s="14"/>
      <c r="O82" s="14"/>
      <c r="P82" s="14"/>
      <c r="Q82" s="14"/>
      <c r="R82" s="14"/>
      <c r="S82" s="14"/>
    </row>
    <row r="83" spans="1:19" ht="15" customHeight="1" x14ac:dyDescent="0.25">
      <c r="A83" s="14"/>
      <c r="B83" s="14"/>
      <c r="D83" s="14"/>
      <c r="E83" s="14"/>
      <c r="F83" s="14"/>
      <c r="G83" s="14"/>
      <c r="H83" s="14"/>
      <c r="I83" s="14"/>
      <c r="J83" s="14"/>
      <c r="K83" s="14"/>
      <c r="L83" s="14"/>
      <c r="M83" s="14"/>
      <c r="N83" s="14"/>
      <c r="O83" s="14"/>
      <c r="P83" s="14"/>
      <c r="Q83" s="14"/>
      <c r="R83" s="14"/>
      <c r="S83" s="14"/>
    </row>
    <row r="84" spans="1:19" ht="15" customHeight="1" x14ac:dyDescent="0.25">
      <c r="A84" s="14"/>
      <c r="B84" s="14"/>
      <c r="D84" s="14"/>
      <c r="E84" s="14"/>
      <c r="F84" s="14"/>
      <c r="G84" s="14"/>
      <c r="H84" s="14"/>
      <c r="I84" s="14"/>
      <c r="J84" s="14"/>
      <c r="K84" s="14"/>
      <c r="L84" s="14"/>
      <c r="M84" s="14"/>
      <c r="N84" s="14"/>
      <c r="O84" s="14"/>
      <c r="P84" s="14"/>
      <c r="Q84" s="14"/>
      <c r="R84" s="14"/>
      <c r="S84" s="14"/>
    </row>
    <row r="85" spans="1:19" ht="15" customHeight="1" x14ac:dyDescent="0.25">
      <c r="A85" s="14"/>
      <c r="B85" s="14"/>
      <c r="D85" s="14"/>
      <c r="E85" s="14"/>
      <c r="F85" s="14"/>
      <c r="G85" s="14"/>
      <c r="H85" s="14"/>
      <c r="I85" s="14"/>
      <c r="J85" s="14"/>
      <c r="K85" s="14"/>
      <c r="L85" s="14"/>
      <c r="M85" s="14"/>
      <c r="N85" s="14"/>
      <c r="O85" s="14"/>
      <c r="P85" s="14"/>
      <c r="Q85" s="14"/>
      <c r="R85" s="14"/>
      <c r="S85" s="14"/>
    </row>
    <row r="86" spans="1:19" ht="15" customHeight="1" x14ac:dyDescent="0.25">
      <c r="A86" s="14"/>
      <c r="B86" s="14"/>
      <c r="D86" s="14"/>
      <c r="E86" s="14"/>
      <c r="F86" s="14"/>
      <c r="G86" s="14"/>
      <c r="H86" s="14"/>
      <c r="I86" s="14"/>
      <c r="J86" s="14"/>
      <c r="K86" s="14"/>
      <c r="L86" s="14"/>
      <c r="M86" s="14"/>
      <c r="N86" s="14"/>
      <c r="O86" s="14"/>
      <c r="P86" s="14"/>
      <c r="Q86" s="14"/>
      <c r="R86" s="14"/>
      <c r="S86" s="14"/>
    </row>
    <row r="87" spans="1:19" ht="15" customHeight="1" x14ac:dyDescent="0.25">
      <c r="A87" s="14"/>
      <c r="B87" s="14"/>
      <c r="D87" s="14"/>
      <c r="E87" s="14"/>
      <c r="F87" s="14"/>
      <c r="G87" s="14"/>
      <c r="H87" s="14"/>
      <c r="I87" s="14"/>
      <c r="J87" s="14"/>
      <c r="K87" s="14"/>
      <c r="L87" s="14"/>
      <c r="M87" s="14"/>
      <c r="N87" s="14"/>
      <c r="O87" s="14"/>
      <c r="P87" s="14"/>
      <c r="Q87" s="14"/>
      <c r="R87" s="14"/>
      <c r="S87" s="14"/>
    </row>
    <row r="88" spans="1:19" ht="15" customHeight="1" x14ac:dyDescent="0.25">
      <c r="A88" s="14"/>
      <c r="B88" s="14"/>
      <c r="D88" s="14"/>
      <c r="E88" s="14"/>
      <c r="F88" s="14"/>
      <c r="G88" s="14"/>
      <c r="H88" s="14"/>
      <c r="I88" s="14"/>
      <c r="J88" s="14"/>
      <c r="K88" s="14"/>
      <c r="L88" s="14"/>
      <c r="M88" s="14"/>
      <c r="N88" s="14"/>
      <c r="O88" s="14"/>
      <c r="P88" s="14"/>
      <c r="Q88" s="14"/>
      <c r="R88" s="14"/>
      <c r="S88" s="14"/>
    </row>
    <row r="89" spans="1:19" ht="15" customHeight="1" x14ac:dyDescent="0.25">
      <c r="A89" s="14"/>
      <c r="B89" s="14"/>
      <c r="D89" s="14"/>
      <c r="E89" s="14"/>
      <c r="F89" s="14"/>
      <c r="G89" s="14"/>
      <c r="H89" s="14"/>
      <c r="I89" s="14"/>
      <c r="J89" s="14"/>
      <c r="K89" s="14"/>
      <c r="L89" s="14"/>
      <c r="M89" s="14"/>
      <c r="N89" s="14"/>
      <c r="O89" s="14"/>
      <c r="P89" s="14"/>
      <c r="Q89" s="14"/>
      <c r="R89" s="14"/>
      <c r="S89" s="14"/>
    </row>
    <row r="90" spans="1:19" ht="15" customHeight="1" x14ac:dyDescent="0.25">
      <c r="A90" s="14"/>
      <c r="B90" s="14"/>
      <c r="D90" s="14"/>
      <c r="E90" s="14"/>
      <c r="F90" s="14"/>
      <c r="G90" s="14"/>
      <c r="H90" s="14"/>
      <c r="I90" s="14"/>
      <c r="J90" s="14"/>
      <c r="K90" s="14"/>
      <c r="L90" s="14"/>
      <c r="M90" s="14"/>
      <c r="N90" s="14"/>
      <c r="O90" s="14"/>
      <c r="P90" s="14"/>
      <c r="Q90" s="14"/>
      <c r="R90" s="14"/>
      <c r="S90" s="14"/>
    </row>
    <row r="91" spans="1:19" ht="15" customHeight="1" x14ac:dyDescent="0.25">
      <c r="A91" s="14"/>
      <c r="B91" s="14"/>
      <c r="D91" s="14"/>
      <c r="E91" s="14"/>
      <c r="F91" s="14"/>
      <c r="G91" s="14"/>
      <c r="H91" s="14"/>
      <c r="I91" s="14"/>
      <c r="J91" s="14"/>
      <c r="K91" s="14"/>
      <c r="L91" s="14"/>
      <c r="M91" s="14"/>
      <c r="N91" s="14"/>
      <c r="O91" s="14"/>
      <c r="P91" s="14"/>
      <c r="Q91" s="14"/>
      <c r="R91" s="14"/>
      <c r="S91" s="14"/>
    </row>
    <row r="92" spans="1:19" ht="15" customHeight="1" x14ac:dyDescent="0.25">
      <c r="A92" s="14"/>
      <c r="B92" s="14"/>
      <c r="D92" s="14"/>
      <c r="E92" s="14"/>
      <c r="F92" s="14"/>
      <c r="G92" s="14"/>
      <c r="H92" s="14"/>
      <c r="I92" s="14"/>
      <c r="J92" s="14"/>
      <c r="K92" s="14"/>
      <c r="L92" s="14"/>
      <c r="M92" s="14"/>
      <c r="N92" s="14"/>
      <c r="O92" s="14"/>
      <c r="P92" s="14"/>
      <c r="Q92" s="14"/>
      <c r="R92" s="14"/>
      <c r="S92" s="14"/>
    </row>
    <row r="93" spans="1:19" ht="15" customHeight="1" x14ac:dyDescent="0.25">
      <c r="A93" s="14"/>
      <c r="B93" s="14"/>
      <c r="D93" s="14"/>
      <c r="E93" s="14"/>
      <c r="F93" s="14"/>
      <c r="G93" s="14"/>
      <c r="H93" s="14"/>
      <c r="I93" s="14"/>
      <c r="J93" s="14"/>
      <c r="K93" s="14"/>
      <c r="L93" s="14"/>
      <c r="M93" s="14"/>
      <c r="N93" s="14"/>
      <c r="O93" s="14"/>
      <c r="P93" s="14"/>
      <c r="Q93" s="14"/>
      <c r="R93" s="14"/>
      <c r="S93" s="14"/>
    </row>
    <row r="94" spans="1:19" ht="15" customHeight="1" x14ac:dyDescent="0.25">
      <c r="A94" s="14"/>
      <c r="B94" s="14"/>
      <c r="D94" s="14"/>
      <c r="E94" s="14"/>
      <c r="F94" s="14"/>
      <c r="G94" s="14"/>
      <c r="H94" s="14"/>
      <c r="I94" s="14"/>
      <c r="J94" s="14"/>
      <c r="K94" s="14"/>
      <c r="L94" s="14"/>
      <c r="M94" s="14"/>
      <c r="N94" s="14"/>
      <c r="O94" s="14"/>
      <c r="P94" s="14"/>
      <c r="Q94" s="14"/>
      <c r="R94" s="14"/>
      <c r="S94" s="14"/>
    </row>
    <row r="95" spans="1:19" ht="15" customHeight="1" x14ac:dyDescent="0.25">
      <c r="A95" s="14"/>
      <c r="B95" s="14"/>
      <c r="D95" s="14"/>
      <c r="E95" s="14"/>
      <c r="F95" s="14"/>
      <c r="G95" s="14"/>
      <c r="H95" s="14"/>
      <c r="I95" s="14"/>
      <c r="J95" s="14"/>
      <c r="K95" s="14"/>
      <c r="L95" s="14"/>
      <c r="M95" s="14"/>
      <c r="N95" s="14"/>
      <c r="O95" s="14"/>
      <c r="P95" s="14"/>
      <c r="Q95" s="14"/>
      <c r="R95" s="14"/>
      <c r="S95" s="14"/>
    </row>
    <row r="96" spans="1:19" ht="15" customHeight="1" x14ac:dyDescent="0.25">
      <c r="A96" s="14"/>
      <c r="B96" s="14"/>
      <c r="D96" s="14"/>
      <c r="E96" s="14"/>
      <c r="F96" s="14"/>
      <c r="G96" s="14"/>
      <c r="H96" s="14"/>
      <c r="I96" s="14"/>
      <c r="J96" s="14"/>
      <c r="K96" s="14"/>
      <c r="L96" s="14"/>
      <c r="M96" s="14"/>
      <c r="N96" s="14"/>
      <c r="O96" s="14"/>
      <c r="P96" s="14"/>
      <c r="Q96" s="14"/>
      <c r="R96" s="14"/>
      <c r="S96" s="14"/>
    </row>
    <row r="97" spans="1:19" ht="15" customHeight="1" x14ac:dyDescent="0.25">
      <c r="A97" s="14"/>
      <c r="B97" s="14"/>
      <c r="D97" s="14"/>
      <c r="E97" s="14"/>
      <c r="F97" s="14"/>
      <c r="G97" s="14"/>
      <c r="H97" s="14"/>
      <c r="I97" s="14"/>
      <c r="J97" s="14"/>
      <c r="K97" s="14"/>
      <c r="L97" s="14"/>
      <c r="M97" s="14"/>
      <c r="N97" s="14"/>
      <c r="O97" s="14"/>
      <c r="P97" s="14"/>
      <c r="Q97" s="14"/>
      <c r="R97" s="14"/>
      <c r="S97" s="14"/>
    </row>
    <row r="98" spans="1:19" ht="15" customHeight="1" x14ac:dyDescent="0.25">
      <c r="A98" s="14"/>
      <c r="B98" s="14"/>
      <c r="D98" s="14"/>
      <c r="E98" s="14"/>
      <c r="F98" s="14"/>
      <c r="G98" s="14"/>
      <c r="H98" s="14"/>
      <c r="I98" s="14"/>
      <c r="J98" s="14"/>
      <c r="K98" s="14"/>
      <c r="L98" s="14"/>
      <c r="M98" s="14"/>
      <c r="N98" s="14"/>
      <c r="O98" s="14"/>
      <c r="P98" s="14"/>
      <c r="Q98" s="14"/>
      <c r="R98" s="14"/>
      <c r="S98" s="14"/>
    </row>
    <row r="99" spans="1:19" ht="15" customHeight="1" x14ac:dyDescent="0.25">
      <c r="A99" s="14"/>
      <c r="B99" s="14"/>
      <c r="D99" s="14"/>
      <c r="E99" s="14"/>
      <c r="F99" s="14"/>
      <c r="G99" s="14"/>
      <c r="H99" s="14"/>
      <c r="I99" s="14"/>
      <c r="J99" s="14"/>
      <c r="K99" s="14"/>
      <c r="L99" s="14"/>
      <c r="M99" s="14"/>
      <c r="N99" s="14"/>
      <c r="O99" s="14"/>
      <c r="P99" s="14"/>
      <c r="Q99" s="14"/>
      <c r="R99" s="14"/>
      <c r="S99" s="14"/>
    </row>
    <row r="100" spans="1:19" ht="15" customHeight="1" x14ac:dyDescent="0.25">
      <c r="A100" s="14"/>
      <c r="B100" s="14"/>
      <c r="D100" s="14"/>
      <c r="E100" s="14"/>
      <c r="F100" s="14"/>
      <c r="G100" s="14"/>
      <c r="H100" s="14"/>
      <c r="I100" s="14"/>
      <c r="J100" s="14"/>
      <c r="K100" s="14"/>
      <c r="L100" s="14"/>
      <c r="M100" s="14"/>
      <c r="N100" s="14"/>
      <c r="O100" s="14"/>
      <c r="P100" s="14"/>
      <c r="Q100" s="14"/>
      <c r="R100" s="14"/>
      <c r="S100" s="14"/>
    </row>
    <row r="101" spans="1:19" ht="15" customHeight="1" x14ac:dyDescent="0.25">
      <c r="A101" s="14"/>
      <c r="B101" s="14"/>
      <c r="D101" s="14"/>
      <c r="E101" s="14"/>
      <c r="F101" s="14"/>
      <c r="G101" s="14"/>
      <c r="H101" s="14"/>
      <c r="I101" s="14"/>
      <c r="J101" s="14"/>
      <c r="K101" s="14"/>
      <c r="L101" s="14"/>
      <c r="M101" s="14"/>
      <c r="N101" s="14"/>
      <c r="O101" s="14"/>
      <c r="P101" s="14"/>
      <c r="Q101" s="14"/>
      <c r="R101" s="14"/>
      <c r="S101" s="14"/>
    </row>
    <row r="102" spans="1:19" ht="15" customHeight="1" x14ac:dyDescent="0.25">
      <c r="A102" s="14"/>
      <c r="B102" s="14"/>
      <c r="D102" s="14"/>
      <c r="E102" s="14"/>
      <c r="F102" s="14"/>
      <c r="G102" s="14"/>
      <c r="H102" s="14"/>
      <c r="I102" s="14"/>
      <c r="J102" s="14"/>
      <c r="K102" s="14"/>
      <c r="L102" s="14"/>
      <c r="M102" s="14"/>
      <c r="N102" s="14"/>
      <c r="O102" s="14"/>
      <c r="P102" s="14"/>
      <c r="Q102" s="14"/>
      <c r="R102" s="14"/>
      <c r="S102" s="14"/>
    </row>
    <row r="103" spans="1:19" ht="15" customHeight="1" x14ac:dyDescent="0.25">
      <c r="A103" s="14"/>
      <c r="B103" s="14"/>
      <c r="D103" s="14"/>
      <c r="E103" s="14"/>
      <c r="F103" s="14"/>
      <c r="G103" s="14"/>
      <c r="H103" s="14"/>
      <c r="I103" s="14"/>
      <c r="J103" s="14"/>
      <c r="K103" s="14"/>
      <c r="L103" s="14"/>
      <c r="M103" s="14"/>
      <c r="N103" s="14"/>
      <c r="O103" s="14"/>
      <c r="P103" s="14"/>
      <c r="Q103" s="14"/>
      <c r="R103" s="14"/>
      <c r="S103" s="14"/>
    </row>
    <row r="104" spans="1:19" ht="15" customHeight="1" x14ac:dyDescent="0.25">
      <c r="A104" s="14"/>
      <c r="B104" s="14"/>
      <c r="D104" s="14"/>
      <c r="E104" s="14"/>
      <c r="F104" s="14"/>
      <c r="G104" s="14"/>
      <c r="H104" s="14"/>
      <c r="I104" s="14"/>
      <c r="J104" s="14"/>
      <c r="K104" s="14"/>
      <c r="L104" s="14"/>
      <c r="M104" s="14"/>
      <c r="N104" s="14"/>
      <c r="O104" s="14"/>
      <c r="P104" s="14"/>
      <c r="Q104" s="14"/>
      <c r="R104" s="14"/>
      <c r="S104" s="14"/>
    </row>
    <row r="105" spans="1:19" ht="15" customHeight="1" x14ac:dyDescent="0.25">
      <c r="A105" s="14"/>
      <c r="B105" s="14"/>
      <c r="D105" s="14"/>
      <c r="E105" s="14"/>
      <c r="F105" s="14"/>
      <c r="G105" s="14"/>
      <c r="H105" s="14"/>
      <c r="I105" s="14"/>
      <c r="J105" s="14"/>
      <c r="K105" s="14"/>
      <c r="L105" s="14"/>
      <c r="M105" s="14"/>
      <c r="N105" s="14"/>
      <c r="O105" s="14"/>
      <c r="P105" s="14"/>
      <c r="Q105" s="14"/>
      <c r="R105" s="14"/>
      <c r="S105" s="14"/>
    </row>
    <row r="106" spans="1:19" ht="15" customHeight="1" x14ac:dyDescent="0.25">
      <c r="A106" s="14"/>
      <c r="B106" s="14"/>
      <c r="D106" s="14"/>
      <c r="E106" s="14"/>
      <c r="F106" s="14"/>
      <c r="G106" s="14"/>
      <c r="H106" s="14"/>
      <c r="I106" s="14"/>
      <c r="J106" s="14"/>
      <c r="K106" s="14"/>
      <c r="L106" s="14"/>
      <c r="M106" s="14"/>
      <c r="N106" s="14"/>
      <c r="O106" s="14"/>
      <c r="P106" s="14"/>
      <c r="Q106" s="14"/>
      <c r="R106" s="14"/>
      <c r="S106" s="14"/>
    </row>
    <row r="107" spans="1:19" ht="15" customHeight="1" x14ac:dyDescent="0.25">
      <c r="A107" s="14"/>
      <c r="B107" s="14"/>
      <c r="D107" s="14"/>
      <c r="E107" s="14"/>
      <c r="F107" s="14"/>
      <c r="G107" s="14"/>
      <c r="H107" s="14"/>
      <c r="I107" s="14"/>
      <c r="J107" s="14"/>
      <c r="K107" s="14"/>
      <c r="L107" s="14"/>
      <c r="M107" s="14"/>
      <c r="N107" s="14"/>
      <c r="O107" s="14"/>
      <c r="P107" s="14"/>
      <c r="Q107" s="14"/>
      <c r="R107" s="14"/>
      <c r="S107" s="14"/>
    </row>
    <row r="108" spans="1:19" ht="15" customHeight="1" x14ac:dyDescent="0.25">
      <c r="A108" s="14"/>
      <c r="B108" s="14"/>
      <c r="D108" s="14"/>
      <c r="E108" s="14"/>
      <c r="F108" s="14"/>
      <c r="G108" s="14"/>
      <c r="H108" s="14"/>
      <c r="I108" s="14"/>
      <c r="J108" s="14"/>
      <c r="K108" s="14"/>
      <c r="L108" s="14"/>
      <c r="M108" s="14"/>
      <c r="N108" s="14"/>
      <c r="O108" s="14"/>
      <c r="P108" s="14"/>
      <c r="Q108" s="14"/>
      <c r="R108" s="14"/>
      <c r="S108" s="14"/>
    </row>
    <row r="109" spans="1:19" ht="15" customHeight="1" x14ac:dyDescent="0.25">
      <c r="A109" s="14"/>
      <c r="B109" s="14"/>
      <c r="D109" s="14"/>
      <c r="E109" s="14"/>
      <c r="F109" s="14"/>
      <c r="G109" s="14"/>
      <c r="H109" s="14"/>
      <c r="I109" s="14"/>
      <c r="J109" s="14"/>
      <c r="K109" s="14"/>
      <c r="L109" s="14"/>
      <c r="M109" s="14"/>
      <c r="N109" s="14"/>
      <c r="O109" s="14"/>
      <c r="P109" s="14"/>
      <c r="Q109" s="14"/>
      <c r="R109" s="14"/>
      <c r="S109" s="14"/>
    </row>
    <row r="110" spans="1:19" ht="15" customHeight="1" x14ac:dyDescent="0.25">
      <c r="A110" s="14"/>
      <c r="B110" s="14"/>
      <c r="D110" s="14"/>
      <c r="E110" s="14"/>
      <c r="F110" s="14"/>
      <c r="G110" s="14"/>
      <c r="H110" s="14"/>
      <c r="I110" s="14"/>
      <c r="J110" s="14"/>
      <c r="K110" s="14"/>
      <c r="L110" s="14"/>
      <c r="M110" s="14"/>
      <c r="N110" s="14"/>
      <c r="O110" s="14"/>
      <c r="P110" s="14"/>
      <c r="Q110" s="14"/>
      <c r="R110" s="14"/>
      <c r="S110" s="14"/>
    </row>
    <row r="111" spans="1:19" ht="15" customHeight="1" x14ac:dyDescent="0.25">
      <c r="A111" s="14"/>
      <c r="B111" s="14"/>
      <c r="D111" s="14"/>
      <c r="E111" s="14"/>
      <c r="F111" s="14"/>
      <c r="G111" s="14"/>
      <c r="H111" s="14"/>
      <c r="I111" s="14"/>
      <c r="J111" s="14"/>
      <c r="K111" s="14"/>
      <c r="L111" s="14"/>
      <c r="M111" s="14"/>
      <c r="N111" s="14"/>
      <c r="O111" s="14"/>
      <c r="P111" s="14"/>
      <c r="Q111" s="14"/>
      <c r="R111" s="14"/>
      <c r="S111" s="14"/>
    </row>
    <row r="112" spans="1:19" ht="15" customHeight="1" x14ac:dyDescent="0.25">
      <c r="A112" s="14"/>
      <c r="B112" s="14"/>
      <c r="D112" s="14"/>
      <c r="E112" s="14"/>
      <c r="F112" s="14"/>
      <c r="G112" s="14"/>
      <c r="H112" s="14"/>
      <c r="I112" s="14"/>
      <c r="J112" s="14"/>
      <c r="K112" s="14"/>
      <c r="L112" s="14"/>
      <c r="M112" s="14"/>
      <c r="N112" s="14"/>
      <c r="O112" s="14"/>
      <c r="P112" s="14"/>
      <c r="Q112" s="14"/>
      <c r="R112" s="14"/>
      <c r="S112" s="14"/>
    </row>
    <row r="113" spans="1:19" ht="15" customHeight="1" x14ac:dyDescent="0.25">
      <c r="A113" s="14"/>
      <c r="B113" s="14"/>
      <c r="D113" s="14"/>
      <c r="E113" s="14"/>
      <c r="F113" s="14"/>
      <c r="G113" s="14"/>
      <c r="H113" s="14"/>
      <c r="I113" s="14"/>
      <c r="J113" s="14"/>
      <c r="K113" s="14"/>
      <c r="L113" s="14"/>
      <c r="M113" s="14"/>
      <c r="N113" s="14"/>
      <c r="O113" s="14"/>
      <c r="P113" s="14"/>
      <c r="Q113" s="14"/>
      <c r="R113" s="14"/>
      <c r="S113" s="14"/>
    </row>
    <row r="114" spans="1:19" ht="15" customHeight="1" x14ac:dyDescent="0.25">
      <c r="A114" s="14"/>
      <c r="B114" s="14"/>
      <c r="D114" s="14"/>
      <c r="E114" s="14"/>
      <c r="F114" s="14"/>
      <c r="G114" s="14"/>
      <c r="H114" s="14"/>
      <c r="I114" s="14"/>
      <c r="J114" s="14"/>
      <c r="K114" s="14"/>
      <c r="L114" s="14"/>
      <c r="M114" s="14"/>
      <c r="N114" s="14"/>
      <c r="O114" s="14"/>
      <c r="P114" s="14"/>
      <c r="Q114" s="14"/>
      <c r="R114" s="14"/>
      <c r="S114" s="14"/>
    </row>
    <row r="115" spans="1:19" ht="15" customHeight="1" x14ac:dyDescent="0.25">
      <c r="A115" s="14"/>
      <c r="B115" s="14"/>
      <c r="D115" s="14"/>
      <c r="E115" s="14"/>
      <c r="F115" s="14"/>
      <c r="G115" s="14"/>
      <c r="H115" s="14"/>
      <c r="I115" s="14"/>
      <c r="J115" s="14"/>
      <c r="K115" s="14"/>
      <c r="L115" s="14"/>
      <c r="M115" s="14"/>
      <c r="N115" s="14"/>
      <c r="O115" s="14"/>
      <c r="P115" s="14"/>
      <c r="Q115" s="14"/>
      <c r="R115" s="14"/>
      <c r="S115" s="14"/>
    </row>
  </sheetData>
  <mergeCells count="142">
    <mergeCell ref="T31:T53"/>
    <mergeCell ref="AN25:AN29"/>
    <mergeCell ref="AQ25:AS25"/>
    <mergeCell ref="AW25:AY25"/>
    <mergeCell ref="B1:B5"/>
    <mergeCell ref="B31:B35"/>
    <mergeCell ref="AO21:AO23"/>
    <mergeCell ref="AU21:AU23"/>
    <mergeCell ref="U1:U5"/>
    <mergeCell ref="X1:Z1"/>
    <mergeCell ref="E31:G31"/>
    <mergeCell ref="K31:M31"/>
    <mergeCell ref="Q31:S31"/>
    <mergeCell ref="C33:C35"/>
    <mergeCell ref="I33:I35"/>
    <mergeCell ref="O33:O35"/>
    <mergeCell ref="E1:G1"/>
    <mergeCell ref="K1:M1"/>
    <mergeCell ref="Q1:S1"/>
    <mergeCell ref="C3:C5"/>
    <mergeCell ref="I3:I5"/>
    <mergeCell ref="O3:O5"/>
    <mergeCell ref="AD1:AF1"/>
    <mergeCell ref="AJ1:AL1"/>
    <mergeCell ref="AN13:AN17"/>
    <mergeCell ref="AQ13:AS13"/>
    <mergeCell ref="AW13:AY13"/>
    <mergeCell ref="BC13:BE13"/>
    <mergeCell ref="AO15:AO17"/>
    <mergeCell ref="AU15:AU17"/>
    <mergeCell ref="AN1:AN5"/>
    <mergeCell ref="AQ1:AS1"/>
    <mergeCell ref="AW1:AY1"/>
    <mergeCell ref="BC1:BE1"/>
    <mergeCell ref="AO3:AO5"/>
    <mergeCell ref="BV7:BX7"/>
    <mergeCell ref="BH9:BH11"/>
    <mergeCell ref="BN9:BN11"/>
    <mergeCell ref="BT9:BT11"/>
    <mergeCell ref="BG1:BG5"/>
    <mergeCell ref="BJ1:BL1"/>
    <mergeCell ref="BP1:BR1"/>
    <mergeCell ref="BV1:BX1"/>
    <mergeCell ref="BH3:BH5"/>
    <mergeCell ref="BN3:BN5"/>
    <mergeCell ref="AJ19:AL19"/>
    <mergeCell ref="AO27:AO29"/>
    <mergeCell ref="BF25:BF29"/>
    <mergeCell ref="V21:V23"/>
    <mergeCell ref="AU27:AU29"/>
    <mergeCell ref="AM19:AM29"/>
    <mergeCell ref="BG6:BY6"/>
    <mergeCell ref="BG12:BY36"/>
    <mergeCell ref="AM1:AM17"/>
    <mergeCell ref="V3:V5"/>
    <mergeCell ref="AB3:AB5"/>
    <mergeCell ref="AH3:AH5"/>
    <mergeCell ref="BY1:BY5"/>
    <mergeCell ref="BY7:BY11"/>
    <mergeCell ref="BF13:BF17"/>
    <mergeCell ref="AN19:AN23"/>
    <mergeCell ref="AQ19:AS19"/>
    <mergeCell ref="AW19:AY19"/>
    <mergeCell ref="BC19:BE19"/>
    <mergeCell ref="BG7:BG11"/>
    <mergeCell ref="BJ7:BL7"/>
    <mergeCell ref="BP7:BR7"/>
    <mergeCell ref="BA21:BA23"/>
    <mergeCell ref="BC25:BE25"/>
    <mergeCell ref="BA27:BA29"/>
    <mergeCell ref="BF31:BF35"/>
    <mergeCell ref="AO33:AO35"/>
    <mergeCell ref="AU33:AU35"/>
    <mergeCell ref="BA33:BA35"/>
    <mergeCell ref="BT3:BT5"/>
    <mergeCell ref="BA15:BA17"/>
    <mergeCell ref="AU3:AU5"/>
    <mergeCell ref="BA3:BA5"/>
    <mergeCell ref="U49:U53"/>
    <mergeCell ref="X49:Z49"/>
    <mergeCell ref="AD49:AF49"/>
    <mergeCell ref="AJ49:AL49"/>
    <mergeCell ref="AM49:AM53"/>
    <mergeCell ref="V51:V53"/>
    <mergeCell ref="AB51:AB53"/>
    <mergeCell ref="AH51:AH53"/>
    <mergeCell ref="BG43:BG47"/>
    <mergeCell ref="BV43:BX43"/>
    <mergeCell ref="BY43:BY47"/>
    <mergeCell ref="BH45:BH47"/>
    <mergeCell ref="BN45:BN47"/>
    <mergeCell ref="BT45:BT47"/>
    <mergeCell ref="BG42:BY42"/>
    <mergeCell ref="BG37:BG41"/>
    <mergeCell ref="BJ37:BL37"/>
    <mergeCell ref="BP37:BR37"/>
    <mergeCell ref="BH39:BH41"/>
    <mergeCell ref="BN39:BN41"/>
    <mergeCell ref="BV37:BX37"/>
    <mergeCell ref="BY37:BY41"/>
    <mergeCell ref="U31:U35"/>
    <mergeCell ref="X31:Z31"/>
    <mergeCell ref="AD31:AF31"/>
    <mergeCell ref="BT39:BT41"/>
    <mergeCell ref="AW37:AY37"/>
    <mergeCell ref="BC37:BE37"/>
    <mergeCell ref="AU39:AU41"/>
    <mergeCell ref="BA39:BA41"/>
    <mergeCell ref="BF37:BF47"/>
    <mergeCell ref="AN37:AN41"/>
    <mergeCell ref="AQ37:AS37"/>
    <mergeCell ref="AO39:AO41"/>
    <mergeCell ref="BJ43:BL43"/>
    <mergeCell ref="BP43:BR43"/>
    <mergeCell ref="AN31:AN35"/>
    <mergeCell ref="AQ31:AS31"/>
    <mergeCell ref="AW31:AY31"/>
    <mergeCell ref="BC31:BE31"/>
    <mergeCell ref="A1:A35"/>
    <mergeCell ref="B6:S30"/>
    <mergeCell ref="T24:AL30"/>
    <mergeCell ref="AN18:BF18"/>
    <mergeCell ref="AN6:BE12"/>
    <mergeCell ref="U6:AL18"/>
    <mergeCell ref="AM30:BF30"/>
    <mergeCell ref="AN36:BF36"/>
    <mergeCell ref="AM31:AM41"/>
    <mergeCell ref="U36:AL48"/>
    <mergeCell ref="AM42:BE48"/>
    <mergeCell ref="AN24:BF24"/>
    <mergeCell ref="T1:T23"/>
    <mergeCell ref="BF1:BF11"/>
    <mergeCell ref="AJ31:AL31"/>
    <mergeCell ref="V33:V35"/>
    <mergeCell ref="AB33:AB35"/>
    <mergeCell ref="AH33:AH35"/>
    <mergeCell ref="BF19:BF23"/>
    <mergeCell ref="AB21:AB23"/>
    <mergeCell ref="AH21:AH23"/>
    <mergeCell ref="U19:U23"/>
    <mergeCell ref="X19:Z19"/>
    <mergeCell ref="AD19:AF19"/>
  </mergeCells>
  <pageMargins left="0.7" right="0.7" top="0.75" bottom="0.75" header="0.3" footer="0.3"/>
  <pageSetup orientation="portrait" r:id="rId1"/>
  <legacyDrawing r:id="rId2"/>
  <tableParts count="48">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E115"/>
  <sheetViews>
    <sheetView showGridLines="0" workbookViewId="0">
      <selection activeCell="R9" sqref="R9"/>
    </sheetView>
  </sheetViews>
  <sheetFormatPr defaultRowHeight="15" customHeight="1" x14ac:dyDescent="0.25"/>
  <cols>
    <col min="1" max="1" width="19.140625" customWidth="1"/>
    <col min="2" max="2" width="2.28515625" style="14" bestFit="1" customWidth="1"/>
    <col min="3" max="3" width="2.28515625" style="13" bestFit="1" customWidth="1"/>
    <col min="4" max="4" width="2.140625" style="13" bestFit="1" customWidth="1"/>
    <col min="5" max="5" width="2.28515625" style="13" bestFit="1" customWidth="1"/>
    <col min="6" max="6" width="2.140625" style="13" bestFit="1" customWidth="1"/>
    <col min="7" max="7" width="0.85546875" style="13" customWidth="1"/>
    <col min="8" max="9" width="2.28515625" style="13" bestFit="1" customWidth="1"/>
    <col min="10" max="10" width="2.140625" style="13" bestFit="1" customWidth="1"/>
    <col min="11" max="11" width="2.28515625" style="13" bestFit="1" customWidth="1"/>
    <col min="12" max="12" width="2.140625" style="13" bestFit="1" customWidth="1"/>
    <col min="13" max="13" width="0.85546875" style="13" customWidth="1"/>
    <col min="14" max="15" width="2.28515625" style="13" bestFit="1" customWidth="1"/>
    <col min="16" max="16" width="2.140625" style="13" bestFit="1" customWidth="1"/>
    <col min="17" max="17" width="2.28515625" style="13" bestFit="1" customWidth="1"/>
    <col min="18" max="18" width="2.140625" style="13" bestFit="1" customWidth="1"/>
    <col min="20" max="20" width="19.7109375" customWidth="1"/>
    <col min="21" max="21" width="0.85546875" style="13" customWidth="1"/>
    <col min="22" max="30" width="2.28515625" customWidth="1"/>
    <col min="31" max="31" width="0.85546875" style="13" customWidth="1"/>
    <col min="32" max="40" width="2.28515625" customWidth="1"/>
    <col min="41" max="41" width="0.85546875" style="13" customWidth="1"/>
    <col min="42" max="50" width="2.28515625" customWidth="1"/>
    <col min="51" max="51" width="0.85546875" style="13" customWidth="1"/>
    <col min="53" max="53" width="10.28515625" bestFit="1" customWidth="1"/>
    <col min="54" max="56" width="16.7109375" customWidth="1"/>
    <col min="57" max="57" width="9.140625" style="13"/>
  </cols>
  <sheetData>
    <row r="1" spans="1:56" ht="15" customHeight="1" thickBot="1" x14ac:dyDescent="0.3">
      <c r="V1" s="172" t="s">
        <v>54</v>
      </c>
      <c r="W1" s="172"/>
      <c r="X1" s="172"/>
      <c r="Y1" s="172"/>
      <c r="Z1" s="172"/>
      <c r="AA1" s="172"/>
      <c r="AB1" s="172"/>
      <c r="AC1" s="172"/>
      <c r="AD1" s="172"/>
      <c r="AF1" s="172" t="s">
        <v>55</v>
      </c>
      <c r="AG1" s="172"/>
      <c r="AH1" s="172"/>
      <c r="AI1" s="172"/>
      <c r="AJ1" s="172"/>
      <c r="AK1" s="172"/>
      <c r="AL1" s="172"/>
      <c r="AM1" s="172"/>
      <c r="AN1" s="172"/>
      <c r="AP1" s="172" t="s">
        <v>56</v>
      </c>
      <c r="AQ1" s="172"/>
      <c r="AR1" s="172"/>
      <c r="AS1" s="172"/>
      <c r="AT1" s="172"/>
      <c r="AU1" s="172"/>
      <c r="AV1" s="172"/>
      <c r="AW1" s="172"/>
      <c r="AX1" s="172"/>
      <c r="BB1" s="41" t="s">
        <v>54</v>
      </c>
      <c r="BC1" s="41" t="s">
        <v>55</v>
      </c>
      <c r="BD1" s="41" t="s">
        <v>56</v>
      </c>
    </row>
    <row r="2" spans="1:56" ht="15" customHeight="1" thickTop="1" thickBot="1" x14ac:dyDescent="0.3">
      <c r="A2" s="224" t="s">
        <v>57</v>
      </c>
      <c r="B2" s="20"/>
      <c r="C2" s="11"/>
      <c r="D2" s="220" t="s">
        <v>32</v>
      </c>
      <c r="E2" s="220"/>
      <c r="F2" s="220"/>
      <c r="G2" s="12"/>
      <c r="H2" s="11"/>
      <c r="I2" s="11"/>
      <c r="J2" s="220" t="s">
        <v>32</v>
      </c>
      <c r="K2" s="220"/>
      <c r="L2" s="220"/>
      <c r="M2" s="12"/>
      <c r="N2" s="11"/>
      <c r="O2" s="11"/>
      <c r="P2" s="220" t="s">
        <v>32</v>
      </c>
      <c r="Q2" s="220"/>
      <c r="R2" s="220"/>
      <c r="T2" s="24" t="s">
        <v>9</v>
      </c>
      <c r="U2" s="25"/>
      <c r="V2" s="26" t="str">
        <f>D4</f>
        <v>F</v>
      </c>
      <c r="W2" s="22" t="str">
        <f t="shared" ref="W2:X2" si="0">E4</f>
        <v>F</v>
      </c>
      <c r="X2" s="23" t="str">
        <f t="shared" si="0"/>
        <v>*</v>
      </c>
      <c r="Y2" s="22" t="str">
        <f>D5</f>
        <v>F</v>
      </c>
      <c r="Z2" s="22" t="str">
        <f t="shared" ref="Z2:AA2" si="1">E5</f>
        <v>F</v>
      </c>
      <c r="AA2" s="23" t="str">
        <f t="shared" si="1"/>
        <v>*</v>
      </c>
      <c r="AB2" s="22" t="str">
        <f>D6</f>
        <v>*</v>
      </c>
      <c r="AC2" s="22" t="str">
        <f t="shared" ref="AC2:AD2" si="2">E6</f>
        <v>*</v>
      </c>
      <c r="AD2" s="27" t="str">
        <f t="shared" si="2"/>
        <v>*</v>
      </c>
      <c r="AE2" s="25"/>
      <c r="AF2" s="26" t="str">
        <f>J4</f>
        <v>F</v>
      </c>
      <c r="AG2" s="22" t="str">
        <f t="shared" ref="AG2:AH2" si="3">K4</f>
        <v>*</v>
      </c>
      <c r="AH2" s="23" t="str">
        <f t="shared" si="3"/>
        <v>T</v>
      </c>
      <c r="AI2" s="22" t="str">
        <f>J5</f>
        <v>*</v>
      </c>
      <c r="AJ2" s="22" t="str">
        <f t="shared" ref="AJ2:AK2" si="4">K5</f>
        <v>F</v>
      </c>
      <c r="AK2" s="23" t="str">
        <f t="shared" si="4"/>
        <v>*</v>
      </c>
      <c r="AL2" s="22" t="str">
        <f>J6</f>
        <v>T</v>
      </c>
      <c r="AM2" s="22" t="str">
        <f t="shared" ref="AM2:AN2" si="5">K6</f>
        <v>*</v>
      </c>
      <c r="AN2" s="27" t="str">
        <f t="shared" si="5"/>
        <v>*</v>
      </c>
      <c r="AO2" s="25"/>
      <c r="AP2" s="26" t="str">
        <f>P4</f>
        <v>*</v>
      </c>
      <c r="AQ2" s="22" t="str">
        <f t="shared" ref="AQ2:AR2" si="6">Q4</f>
        <v>*</v>
      </c>
      <c r="AR2" s="23" t="str">
        <f t="shared" si="6"/>
        <v>T</v>
      </c>
      <c r="AS2" s="22" t="str">
        <f>P5</f>
        <v>*</v>
      </c>
      <c r="AT2" s="22" t="str">
        <f t="shared" ref="AT2:AU2" si="7">Q5</f>
        <v>F</v>
      </c>
      <c r="AU2" s="23" t="str">
        <f t="shared" si="7"/>
        <v>*</v>
      </c>
      <c r="AV2" s="22" t="str">
        <f>P6</f>
        <v>T</v>
      </c>
      <c r="AW2" s="22" t="str">
        <f t="shared" ref="AW2:AX2" si="8">Q6</f>
        <v>*</v>
      </c>
      <c r="AX2" s="27" t="str">
        <f t="shared" si="8"/>
        <v>*</v>
      </c>
      <c r="AY2" s="28"/>
      <c r="BA2" s="24" t="str">
        <f>T2</f>
        <v>Disjoint</v>
      </c>
      <c r="BB2" s="29" t="str">
        <f>CONCATENATE(V2,W2,X2,Y2,Z2,AA2,AB2,AC2,AD2)</f>
        <v>FF*FF****</v>
      </c>
      <c r="BC2" s="30" t="str">
        <f>CONCATENATE(AF2,AG2,AH2,AI2,AJ2,AK2,AL2,AM2,AN2)</f>
        <v>F*T*F*T**</v>
      </c>
      <c r="BD2" s="31" t="str">
        <f>CONCATENATE(AP2,AQ2,AR2,AS2,AT2,AU2,AV2,AW2,AX2)</f>
        <v>**T*F*T**</v>
      </c>
    </row>
    <row r="3" spans="1:56" ht="15" customHeight="1" thickTop="1" x14ac:dyDescent="0.25">
      <c r="A3" s="225"/>
      <c r="B3" s="21"/>
      <c r="C3" s="16" t="s">
        <v>36</v>
      </c>
      <c r="D3" s="13" t="s">
        <v>37</v>
      </c>
      <c r="E3" s="13" t="s">
        <v>32</v>
      </c>
      <c r="F3" s="13" t="s">
        <v>38</v>
      </c>
      <c r="G3" s="17"/>
      <c r="I3" s="16" t="s">
        <v>36</v>
      </c>
      <c r="J3" s="13" t="s">
        <v>37</v>
      </c>
      <c r="K3" s="13" t="s">
        <v>32</v>
      </c>
      <c r="L3" s="13" t="s">
        <v>38</v>
      </c>
      <c r="M3" s="17"/>
      <c r="O3" s="16" t="s">
        <v>36</v>
      </c>
      <c r="P3" s="13" t="s">
        <v>37</v>
      </c>
      <c r="Q3" s="13" t="s">
        <v>32</v>
      </c>
      <c r="R3" s="13" t="s">
        <v>38</v>
      </c>
      <c r="U3"/>
      <c r="AE3"/>
      <c r="AO3"/>
      <c r="AY3"/>
    </row>
    <row r="4" spans="1:56" ht="15" customHeight="1" thickBot="1" x14ac:dyDescent="0.3">
      <c r="A4" s="225"/>
      <c r="B4" s="227" t="s">
        <v>39</v>
      </c>
      <c r="C4" s="13" t="s">
        <v>37</v>
      </c>
      <c r="D4" s="13" t="str">
        <f>'Descision Matrix'!BJ3</f>
        <v>F</v>
      </c>
      <c r="E4" s="13" t="str">
        <f>'Descision Matrix'!BK3</f>
        <v>F</v>
      </c>
      <c r="F4" s="13" t="str">
        <f>'Descision Matrix'!BL3</f>
        <v>*</v>
      </c>
      <c r="G4" s="17"/>
      <c r="H4" s="205" t="s">
        <v>39</v>
      </c>
      <c r="I4" s="13" t="s">
        <v>37</v>
      </c>
      <c r="J4" s="13" t="str">
        <f>'Descision Matrix'!BP3</f>
        <v>F</v>
      </c>
      <c r="K4" s="13" t="str">
        <f>'Descision Matrix'!BQ3</f>
        <v>*</v>
      </c>
      <c r="L4" s="13" t="str">
        <f>'Descision Matrix'!BR3</f>
        <v>T</v>
      </c>
      <c r="M4" s="17"/>
      <c r="N4" s="207" t="s">
        <v>39</v>
      </c>
      <c r="O4" s="13" t="s">
        <v>37</v>
      </c>
      <c r="P4" s="13" t="str">
        <f>'Descision Matrix'!BV3</f>
        <v>*</v>
      </c>
      <c r="Q4" s="13" t="str">
        <f>'Descision Matrix'!BW3</f>
        <v>*</v>
      </c>
      <c r="R4" s="13" t="str">
        <f>'Descision Matrix'!BX3</f>
        <v>T</v>
      </c>
      <c r="U4"/>
      <c r="AE4"/>
      <c r="AO4"/>
      <c r="AY4"/>
    </row>
    <row r="5" spans="1:56" ht="15" customHeight="1" thickTop="1" thickBot="1" x14ac:dyDescent="0.3">
      <c r="A5" s="225"/>
      <c r="B5" s="227"/>
      <c r="C5" s="13" t="s">
        <v>32</v>
      </c>
      <c r="D5" s="13" t="str">
        <f>'Descision Matrix'!BJ4</f>
        <v>F</v>
      </c>
      <c r="E5" s="13" t="str">
        <f>'Descision Matrix'!BK4</f>
        <v>F</v>
      </c>
      <c r="F5" s="13" t="str">
        <f>'Descision Matrix'!BL4</f>
        <v>*</v>
      </c>
      <c r="G5" s="17"/>
      <c r="H5" s="205"/>
      <c r="I5" s="13" t="s">
        <v>32</v>
      </c>
      <c r="J5" s="13" t="str">
        <f>'Descision Matrix'!BP4</f>
        <v>*</v>
      </c>
      <c r="K5" s="13" t="str">
        <f>'Descision Matrix'!BQ4</f>
        <v>F</v>
      </c>
      <c r="L5" s="13" t="str">
        <f>'Descision Matrix'!BR4</f>
        <v>*</v>
      </c>
      <c r="M5" s="17"/>
      <c r="N5" s="207"/>
      <c r="O5" s="13" t="s">
        <v>32</v>
      </c>
      <c r="P5" s="13" t="str">
        <f>'Descision Matrix'!BV4</f>
        <v>*</v>
      </c>
      <c r="Q5" s="13" t="str">
        <f>'Descision Matrix'!BW4</f>
        <v>F</v>
      </c>
      <c r="R5" s="13" t="str">
        <f>'Descision Matrix'!BX4</f>
        <v>*</v>
      </c>
      <c r="U5"/>
      <c r="AE5"/>
      <c r="AO5"/>
      <c r="AY5"/>
    </row>
    <row r="6" spans="1:56" ht="15" customHeight="1" thickTop="1" thickBot="1" x14ac:dyDescent="0.3">
      <c r="A6" s="226"/>
      <c r="B6" s="228"/>
      <c r="C6" s="18" t="s">
        <v>38</v>
      </c>
      <c r="D6" s="13" t="str">
        <f>'Descision Matrix'!BJ5</f>
        <v>*</v>
      </c>
      <c r="E6" s="13" t="str">
        <f>'Descision Matrix'!BK5</f>
        <v>*</v>
      </c>
      <c r="F6" s="13" t="str">
        <f>'Descision Matrix'!BL5</f>
        <v>*</v>
      </c>
      <c r="G6" s="19"/>
      <c r="H6" s="206"/>
      <c r="I6" s="18" t="s">
        <v>38</v>
      </c>
      <c r="J6" s="13" t="str">
        <f>'Descision Matrix'!BP5</f>
        <v>T</v>
      </c>
      <c r="K6" s="13" t="str">
        <f>'Descision Matrix'!BQ5</f>
        <v>*</v>
      </c>
      <c r="L6" s="13" t="str">
        <f>'Descision Matrix'!BR5</f>
        <v>*</v>
      </c>
      <c r="M6" s="19"/>
      <c r="N6" s="208"/>
      <c r="O6" s="18" t="s">
        <v>38</v>
      </c>
      <c r="P6" s="13" t="str">
        <f>'Descision Matrix'!BV5</f>
        <v>T</v>
      </c>
      <c r="Q6" s="13" t="str">
        <f>'Descision Matrix'!BW5</f>
        <v>*</v>
      </c>
      <c r="R6" s="13" t="str">
        <f>'Descision Matrix'!BX5</f>
        <v>*</v>
      </c>
      <c r="U6"/>
      <c r="AE6"/>
      <c r="AO6"/>
      <c r="AY6"/>
    </row>
    <row r="7" spans="1:56" ht="15" customHeight="1" thickTop="1" thickBot="1" x14ac:dyDescent="0.3">
      <c r="A7" s="224" t="s">
        <v>44</v>
      </c>
      <c r="B7" s="20"/>
      <c r="C7" s="11"/>
      <c r="D7" s="220" t="s">
        <v>32</v>
      </c>
      <c r="E7" s="220"/>
      <c r="F7" s="220"/>
      <c r="G7" s="12"/>
      <c r="H7" s="11"/>
      <c r="I7" s="11"/>
      <c r="J7" s="220" t="s">
        <v>32</v>
      </c>
      <c r="K7" s="220"/>
      <c r="L7" s="220"/>
      <c r="M7" s="12"/>
      <c r="N7" s="11"/>
      <c r="O7" s="11"/>
      <c r="P7" s="220" t="s">
        <v>32</v>
      </c>
      <c r="Q7" s="220"/>
      <c r="R7" s="220"/>
      <c r="T7" s="24" t="s">
        <v>5</v>
      </c>
      <c r="U7" s="25"/>
      <c r="V7" s="26" t="str">
        <f>D9</f>
        <v>F</v>
      </c>
      <c r="W7" s="22" t="str">
        <f t="shared" ref="W7" si="9">E9</f>
        <v>F</v>
      </c>
      <c r="X7" s="23" t="str">
        <f t="shared" ref="X7" si="10">F9</f>
        <v>*</v>
      </c>
      <c r="Y7" s="22" t="str">
        <f>D10</f>
        <v>F</v>
      </c>
      <c r="Z7" s="22" t="str">
        <f t="shared" ref="Z7" si="11">E10</f>
        <v>F</v>
      </c>
      <c r="AA7" s="23" t="str">
        <f t="shared" ref="AA7" si="12">F10</f>
        <v>*</v>
      </c>
      <c r="AB7" s="22" t="str">
        <f>D11</f>
        <v>*</v>
      </c>
      <c r="AC7" s="22" t="str">
        <f t="shared" ref="AC7" si="13">E11</f>
        <v>*</v>
      </c>
      <c r="AD7" s="27" t="str">
        <f t="shared" ref="AD7" si="14">F11</f>
        <v>*</v>
      </c>
      <c r="AE7" s="25"/>
      <c r="AF7" s="26" t="str">
        <f>J9</f>
        <v>F</v>
      </c>
      <c r="AG7" s="22" t="str">
        <f t="shared" ref="AG7" si="15">K9</f>
        <v>*</v>
      </c>
      <c r="AH7" s="23" t="str">
        <f t="shared" ref="AH7" si="16">L9</f>
        <v>T</v>
      </c>
      <c r="AI7" s="22" t="str">
        <f>J10</f>
        <v>*</v>
      </c>
      <c r="AJ7" s="22" t="str">
        <f t="shared" ref="AJ7" si="17">K10</f>
        <v>F</v>
      </c>
      <c r="AK7" s="23" t="str">
        <f t="shared" ref="AK7" si="18">L10</f>
        <v>*</v>
      </c>
      <c r="AL7" s="22" t="str">
        <f>J11</f>
        <v>T</v>
      </c>
      <c r="AM7" s="22" t="str">
        <f t="shared" ref="AM7" si="19">K11</f>
        <v>*</v>
      </c>
      <c r="AN7" s="27" t="str">
        <f t="shared" ref="AN7" si="20">L11</f>
        <v>*</v>
      </c>
      <c r="AO7" s="25"/>
      <c r="AP7" s="26" t="str">
        <f>P9</f>
        <v>T</v>
      </c>
      <c r="AQ7" s="22" t="str">
        <f t="shared" ref="AQ7" si="21">Q9</f>
        <v>*</v>
      </c>
      <c r="AR7" s="23" t="str">
        <f t="shared" ref="AR7" si="22">R9</f>
        <v>T</v>
      </c>
      <c r="AS7" s="22" t="str">
        <f>P10</f>
        <v>*</v>
      </c>
      <c r="AT7" s="22" t="str">
        <f t="shared" ref="AT7" si="23">Q10</f>
        <v>F</v>
      </c>
      <c r="AU7" s="23" t="str">
        <f t="shared" ref="AU7" si="24">R10</f>
        <v>*</v>
      </c>
      <c r="AV7" s="22" t="str">
        <f>P11</f>
        <v>F</v>
      </c>
      <c r="AW7" s="22" t="str">
        <f t="shared" ref="AW7" si="25">Q11</f>
        <v>*</v>
      </c>
      <c r="AX7" s="27" t="str">
        <f t="shared" ref="AX7" si="26">R11</f>
        <v>*</v>
      </c>
      <c r="AY7" s="28"/>
      <c r="BA7" s="24" t="str">
        <f>T7</f>
        <v>Shelters</v>
      </c>
      <c r="BB7" s="29" t="str">
        <f>CONCATENATE(V7,W7,X7,Y7,Z7,AA7,AB7,AC7,AD7)</f>
        <v>FF*FF****</v>
      </c>
      <c r="BC7" s="30" t="str">
        <f>CONCATENATE(AF7,AG7,AH7,AI7,AJ7,AK7,AL7,AM7,AN7)</f>
        <v>F*T*F*T**</v>
      </c>
      <c r="BD7" s="31" t="str">
        <f>CONCATENATE(AP7,AQ7,AR7,AS7,AT7,AU7,AV7,AW7,AX7)</f>
        <v>T*T*F*F**</v>
      </c>
    </row>
    <row r="8" spans="1:56" ht="15" customHeight="1" thickTop="1" x14ac:dyDescent="0.25">
      <c r="A8" s="225"/>
      <c r="B8" s="21"/>
      <c r="C8" s="16" t="s">
        <v>36</v>
      </c>
      <c r="D8" s="13" t="s">
        <v>37</v>
      </c>
      <c r="E8" s="13" t="s">
        <v>32</v>
      </c>
      <c r="F8" s="13" t="s">
        <v>38</v>
      </c>
      <c r="G8" s="17"/>
      <c r="I8" s="16" t="s">
        <v>36</v>
      </c>
      <c r="J8" s="13" t="s">
        <v>37</v>
      </c>
      <c r="K8" s="13" t="s">
        <v>32</v>
      </c>
      <c r="L8" s="13" t="s">
        <v>38</v>
      </c>
      <c r="M8" s="17"/>
      <c r="O8" s="16" t="s">
        <v>36</v>
      </c>
      <c r="P8" s="13" t="s">
        <v>37</v>
      </c>
      <c r="Q8" s="13" t="s">
        <v>32</v>
      </c>
      <c r="R8" s="13" t="s">
        <v>38</v>
      </c>
      <c r="U8"/>
      <c r="AE8"/>
      <c r="AO8"/>
      <c r="AY8"/>
    </row>
    <row r="9" spans="1:56" ht="15" customHeight="1" thickBot="1" x14ac:dyDescent="0.3">
      <c r="A9" s="225"/>
      <c r="B9" s="227" t="s">
        <v>39</v>
      </c>
      <c r="C9" s="13" t="s">
        <v>37</v>
      </c>
      <c r="D9" s="13" t="str">
        <f>'Descision Matrix'!BJ9</f>
        <v>F</v>
      </c>
      <c r="E9" s="13" t="str">
        <f>'Descision Matrix'!BK9</f>
        <v>F</v>
      </c>
      <c r="F9" s="13" t="str">
        <f>'Descision Matrix'!BL9</f>
        <v>*</v>
      </c>
      <c r="G9" s="17"/>
      <c r="H9" s="205" t="s">
        <v>39</v>
      </c>
      <c r="I9" s="13" t="s">
        <v>37</v>
      </c>
      <c r="J9" s="13" t="str">
        <f>'Descision Matrix'!BP9</f>
        <v>F</v>
      </c>
      <c r="K9" s="13" t="str">
        <f>'Descision Matrix'!BQ9</f>
        <v>*</v>
      </c>
      <c r="L9" s="13" t="str">
        <f>'Descision Matrix'!BR9</f>
        <v>T</v>
      </c>
      <c r="M9" s="17"/>
      <c r="N9" s="207" t="s">
        <v>39</v>
      </c>
      <c r="O9" s="13" t="s">
        <v>37</v>
      </c>
      <c r="P9" s="13" t="str">
        <f>'Descision Matrix'!BV9</f>
        <v>T</v>
      </c>
      <c r="Q9" s="13" t="str">
        <f>'Descision Matrix'!BW9</f>
        <v>*</v>
      </c>
      <c r="R9" s="13" t="str">
        <f>'Descision Matrix'!BX9</f>
        <v>T</v>
      </c>
      <c r="U9"/>
      <c r="AE9"/>
      <c r="AO9"/>
      <c r="AY9"/>
    </row>
    <row r="10" spans="1:56" ht="15" customHeight="1" thickTop="1" thickBot="1" x14ac:dyDescent="0.3">
      <c r="A10" s="225"/>
      <c r="B10" s="227"/>
      <c r="C10" s="13" t="s">
        <v>32</v>
      </c>
      <c r="D10" s="13" t="str">
        <f>'Descision Matrix'!BJ10</f>
        <v>F</v>
      </c>
      <c r="E10" s="13" t="str">
        <f>'Descision Matrix'!BK10</f>
        <v>F</v>
      </c>
      <c r="F10" s="13" t="str">
        <f>'Descision Matrix'!BL10</f>
        <v>*</v>
      </c>
      <c r="G10" s="17"/>
      <c r="H10" s="205"/>
      <c r="I10" s="13" t="s">
        <v>32</v>
      </c>
      <c r="J10" s="13" t="str">
        <f>'Descision Matrix'!BP10</f>
        <v>*</v>
      </c>
      <c r="K10" s="13" t="str">
        <f>'Descision Matrix'!BQ10</f>
        <v>F</v>
      </c>
      <c r="L10" s="13" t="str">
        <f>'Descision Matrix'!BR10</f>
        <v>*</v>
      </c>
      <c r="M10" s="17"/>
      <c r="N10" s="207"/>
      <c r="O10" s="13" t="s">
        <v>32</v>
      </c>
      <c r="P10" s="13" t="str">
        <f>'Descision Matrix'!BV10</f>
        <v>*</v>
      </c>
      <c r="Q10" s="13" t="str">
        <f>'Descision Matrix'!BW10</f>
        <v>F</v>
      </c>
      <c r="R10" s="13" t="str">
        <f>'Descision Matrix'!BX10</f>
        <v>*</v>
      </c>
      <c r="U10"/>
      <c r="AE10"/>
      <c r="AO10"/>
      <c r="AY10"/>
    </row>
    <row r="11" spans="1:56" ht="15" customHeight="1" thickTop="1" thickBot="1" x14ac:dyDescent="0.3">
      <c r="A11" s="226"/>
      <c r="B11" s="228"/>
      <c r="C11" s="13" t="s">
        <v>38</v>
      </c>
      <c r="D11" s="13" t="str">
        <f>'Descision Matrix'!BJ11</f>
        <v>*</v>
      </c>
      <c r="E11" s="13" t="str">
        <f>'Descision Matrix'!BK11</f>
        <v>*</v>
      </c>
      <c r="F11" s="13" t="str">
        <f>'Descision Matrix'!BL11</f>
        <v>*</v>
      </c>
      <c r="G11" s="19"/>
      <c r="H11" s="206"/>
      <c r="I11" s="13" t="s">
        <v>38</v>
      </c>
      <c r="J11" s="13" t="str">
        <f>'Descision Matrix'!BP11</f>
        <v>T</v>
      </c>
      <c r="K11" s="13" t="str">
        <f>'Descision Matrix'!BQ11</f>
        <v>*</v>
      </c>
      <c r="L11" s="13" t="str">
        <f>'Descision Matrix'!BR11</f>
        <v>*</v>
      </c>
      <c r="M11" s="19"/>
      <c r="N11" s="208"/>
      <c r="O11" s="13" t="s">
        <v>38</v>
      </c>
      <c r="P11" s="13" t="str">
        <f>'Descision Matrix'!BV11</f>
        <v>F</v>
      </c>
      <c r="Q11" s="13" t="str">
        <f>'Descision Matrix'!BW11</f>
        <v>*</v>
      </c>
      <c r="R11" s="13" t="str">
        <f>'Descision Matrix'!BX11</f>
        <v>*</v>
      </c>
      <c r="U11"/>
      <c r="AE11"/>
      <c r="AO11"/>
      <c r="AY11"/>
    </row>
    <row r="12" spans="1:56" ht="15" customHeight="1" thickTop="1" thickBot="1" x14ac:dyDescent="0.3">
      <c r="A12" s="229" t="s">
        <v>45</v>
      </c>
      <c r="B12" s="20"/>
      <c r="C12" s="11"/>
      <c r="D12" s="220" t="s">
        <v>32</v>
      </c>
      <c r="E12" s="220"/>
      <c r="F12" s="220"/>
      <c r="G12" s="12"/>
      <c r="H12" s="11"/>
      <c r="I12" s="11"/>
      <c r="J12" s="220" t="s">
        <v>32</v>
      </c>
      <c r="K12" s="220"/>
      <c r="L12" s="220"/>
      <c r="M12" s="12"/>
      <c r="N12" s="11"/>
      <c r="O12" s="11"/>
      <c r="P12" s="220" t="s">
        <v>32</v>
      </c>
      <c r="Q12" s="220"/>
      <c r="R12" s="220"/>
      <c r="T12" s="24" t="s">
        <v>0</v>
      </c>
      <c r="U12" s="25"/>
      <c r="V12" s="26" t="str">
        <f>D14</f>
        <v>F</v>
      </c>
      <c r="W12" s="22" t="str">
        <f t="shared" ref="W12" si="27">E14</f>
        <v>F</v>
      </c>
      <c r="X12" s="23" t="str">
        <f t="shared" ref="X12" si="28">F14</f>
        <v>*</v>
      </c>
      <c r="Y12" s="22" t="str">
        <f>D15</f>
        <v>F</v>
      </c>
      <c r="Z12" s="22" t="str">
        <f t="shared" ref="Z12" si="29">E15</f>
        <v>F</v>
      </c>
      <c r="AA12" s="23" t="str">
        <f t="shared" ref="AA12" si="30">F15</f>
        <v>*</v>
      </c>
      <c r="AB12" s="22" t="str">
        <f>D16</f>
        <v>*</v>
      </c>
      <c r="AC12" s="22" t="str">
        <f t="shared" ref="AC12" si="31">E16</f>
        <v>*</v>
      </c>
      <c r="AD12" s="27" t="str">
        <f t="shared" ref="AD12" si="32">F16</f>
        <v>*</v>
      </c>
      <c r="AE12" s="25"/>
      <c r="AF12" s="26" t="str">
        <f>J14</f>
        <v>T</v>
      </c>
      <c r="AG12" s="22" t="str">
        <f t="shared" ref="AG12" si="33">K14</f>
        <v>*</v>
      </c>
      <c r="AH12" s="23" t="str">
        <f t="shared" ref="AH12" si="34">L14</f>
        <v>T</v>
      </c>
      <c r="AI12" s="22" t="str">
        <f>J15</f>
        <v>*</v>
      </c>
      <c r="AJ12" s="22" t="str">
        <f t="shared" ref="AJ12" si="35">K15</f>
        <v>F</v>
      </c>
      <c r="AK12" s="23" t="str">
        <f t="shared" ref="AK12" si="36">L15</f>
        <v>*</v>
      </c>
      <c r="AL12" s="22" t="str">
        <f>J16</f>
        <v>F</v>
      </c>
      <c r="AM12" s="22" t="str">
        <f t="shared" ref="AM12" si="37">K16</f>
        <v>*</v>
      </c>
      <c r="AN12" s="27" t="str">
        <f t="shared" ref="AN12" si="38">L16</f>
        <v>*</v>
      </c>
      <c r="AO12" s="25"/>
      <c r="AP12" s="26" t="str">
        <f>P14</f>
        <v>*</v>
      </c>
      <c r="AQ12" s="22" t="str">
        <f t="shared" ref="AQ12" si="39">Q14</f>
        <v>*</v>
      </c>
      <c r="AR12" s="23" t="str">
        <f t="shared" ref="AR12" si="40">R14</f>
        <v>*</v>
      </c>
      <c r="AS12" s="22" t="str">
        <f>P15</f>
        <v>*</v>
      </c>
      <c r="AT12" s="22" t="str">
        <f t="shared" ref="AT12" si="41">Q15</f>
        <v>*</v>
      </c>
      <c r="AU12" s="23" t="str">
        <f t="shared" ref="AU12" si="42">R15</f>
        <v>*</v>
      </c>
      <c r="AV12" s="22" t="str">
        <f>P16</f>
        <v>*</v>
      </c>
      <c r="AW12" s="22" t="str">
        <f t="shared" ref="AW12" si="43">Q16</f>
        <v>*</v>
      </c>
      <c r="AX12" s="27" t="str">
        <f t="shared" ref="AX12" si="44">R16</f>
        <v>*</v>
      </c>
      <c r="AY12" s="28"/>
      <c r="BA12" s="24" t="str">
        <f>T12</f>
        <v>Surrounds</v>
      </c>
      <c r="BB12" s="29" t="str">
        <f>CONCATENATE(V12,W12,X12,Y12,Z12,AA12,AB12,AC12,AD12)</f>
        <v>FF*FF****</v>
      </c>
      <c r="BC12" s="30" t="str">
        <f>CONCATENATE(AF12,AG12,AH12,AI12,AJ12,AK12,AL12,AM12,AN12)</f>
        <v>T*T*F*F**</v>
      </c>
      <c r="BD12" s="31" t="str">
        <f>CONCATENATE(AP12,AQ12,AR12,AS12,AT12,AU12,AV12,AW12,AX12)</f>
        <v>*********</v>
      </c>
    </row>
    <row r="13" spans="1:56" ht="15" customHeight="1" thickTop="1" x14ac:dyDescent="0.25">
      <c r="A13" s="225"/>
      <c r="B13" s="21"/>
      <c r="C13" s="16" t="s">
        <v>36</v>
      </c>
      <c r="D13" s="13" t="s">
        <v>37</v>
      </c>
      <c r="E13" s="13" t="s">
        <v>32</v>
      </c>
      <c r="F13" s="13" t="s">
        <v>38</v>
      </c>
      <c r="G13" s="17"/>
      <c r="I13" s="16" t="s">
        <v>36</v>
      </c>
      <c r="J13" s="13" t="s">
        <v>37</v>
      </c>
      <c r="K13" s="13" t="s">
        <v>32</v>
      </c>
      <c r="L13" s="13" t="s">
        <v>38</v>
      </c>
      <c r="M13" s="17"/>
      <c r="O13" s="16" t="s">
        <v>36</v>
      </c>
      <c r="P13" s="13" t="s">
        <v>37</v>
      </c>
      <c r="Q13" s="13" t="s">
        <v>32</v>
      </c>
      <c r="R13" s="13" t="s">
        <v>38</v>
      </c>
      <c r="U13"/>
      <c r="AE13"/>
      <c r="AO13"/>
      <c r="AY13"/>
    </row>
    <row r="14" spans="1:56" ht="15" customHeight="1" thickBot="1" x14ac:dyDescent="0.3">
      <c r="A14" s="225"/>
      <c r="B14" s="227" t="s">
        <v>39</v>
      </c>
      <c r="C14" s="13" t="s">
        <v>37</v>
      </c>
      <c r="D14" s="13" t="str">
        <f>'Descision Matrix'!AQ15</f>
        <v>F</v>
      </c>
      <c r="E14" s="13" t="str">
        <f>'Descision Matrix'!AR15</f>
        <v>F</v>
      </c>
      <c r="F14" s="13" t="str">
        <f>'Descision Matrix'!AS15</f>
        <v>*</v>
      </c>
      <c r="G14" s="17"/>
      <c r="H14" s="205" t="s">
        <v>39</v>
      </c>
      <c r="I14" s="13" t="s">
        <v>37</v>
      </c>
      <c r="J14" s="13" t="str">
        <f>'Descision Matrix'!AW15</f>
        <v>T</v>
      </c>
      <c r="K14" s="13" t="str">
        <f>'Descision Matrix'!AX15</f>
        <v>*</v>
      </c>
      <c r="L14" s="13" t="str">
        <f>'Descision Matrix'!AY15</f>
        <v>T</v>
      </c>
      <c r="M14" s="17"/>
      <c r="N14" s="207" t="s">
        <v>39</v>
      </c>
      <c r="O14" s="13" t="s">
        <v>37</v>
      </c>
      <c r="P14" s="13" t="str">
        <f>'Descision Matrix'!BC15</f>
        <v>*</v>
      </c>
      <c r="Q14" s="13" t="str">
        <f>'Descision Matrix'!BD15</f>
        <v>*</v>
      </c>
      <c r="R14" s="13" t="str">
        <f>'Descision Matrix'!BE15</f>
        <v>*</v>
      </c>
      <c r="U14"/>
      <c r="AE14"/>
      <c r="AO14"/>
      <c r="AY14"/>
    </row>
    <row r="15" spans="1:56" ht="15" customHeight="1" thickTop="1" thickBot="1" x14ac:dyDescent="0.3">
      <c r="A15" s="225"/>
      <c r="B15" s="227"/>
      <c r="C15" s="13" t="s">
        <v>32</v>
      </c>
      <c r="D15" s="13" t="str">
        <f>'Descision Matrix'!AQ16</f>
        <v>F</v>
      </c>
      <c r="E15" s="13" t="str">
        <f>'Descision Matrix'!AR16</f>
        <v>F</v>
      </c>
      <c r="F15" s="13" t="str">
        <f>'Descision Matrix'!AS16</f>
        <v>*</v>
      </c>
      <c r="G15" s="17"/>
      <c r="H15" s="205"/>
      <c r="I15" s="13" t="s">
        <v>32</v>
      </c>
      <c r="J15" s="13" t="str">
        <f>'Descision Matrix'!AW16</f>
        <v>*</v>
      </c>
      <c r="K15" s="13" t="str">
        <f>'Descision Matrix'!AX16</f>
        <v>F</v>
      </c>
      <c r="L15" s="13" t="str">
        <f>'Descision Matrix'!AY16</f>
        <v>*</v>
      </c>
      <c r="M15" s="17"/>
      <c r="N15" s="207"/>
      <c r="O15" s="13" t="s">
        <v>32</v>
      </c>
      <c r="P15" s="13" t="str">
        <f>'Descision Matrix'!BC16</f>
        <v>*</v>
      </c>
      <c r="Q15" s="13" t="str">
        <f>'Descision Matrix'!BD16</f>
        <v>*</v>
      </c>
      <c r="R15" s="13" t="str">
        <f>'Descision Matrix'!BE16</f>
        <v>*</v>
      </c>
      <c r="U15"/>
      <c r="AE15"/>
      <c r="AO15"/>
      <c r="AY15"/>
    </row>
    <row r="16" spans="1:56" ht="15" customHeight="1" thickTop="1" thickBot="1" x14ac:dyDescent="0.3">
      <c r="A16" s="226"/>
      <c r="B16" s="228"/>
      <c r="C16" s="13" t="s">
        <v>38</v>
      </c>
      <c r="D16" s="13" t="str">
        <f>'Descision Matrix'!AQ17</f>
        <v>*</v>
      </c>
      <c r="E16" s="13" t="str">
        <f>'Descision Matrix'!AR17</f>
        <v>*</v>
      </c>
      <c r="F16" s="13" t="str">
        <f>'Descision Matrix'!AS17</f>
        <v>*</v>
      </c>
      <c r="G16" s="19"/>
      <c r="H16" s="206"/>
      <c r="I16" s="13" t="s">
        <v>38</v>
      </c>
      <c r="J16" s="13" t="str">
        <f>'Descision Matrix'!AW17</f>
        <v>F</v>
      </c>
      <c r="K16" s="13" t="str">
        <f>'Descision Matrix'!AX17</f>
        <v>*</v>
      </c>
      <c r="L16" s="13" t="str">
        <f>'Descision Matrix'!AY17</f>
        <v>*</v>
      </c>
      <c r="M16" s="19"/>
      <c r="N16" s="208"/>
      <c r="O16" s="13" t="s">
        <v>38</v>
      </c>
      <c r="P16" s="13" t="str">
        <f>'Descision Matrix'!BC17</f>
        <v>*</v>
      </c>
      <c r="Q16" s="13" t="str">
        <f>'Descision Matrix'!BD17</f>
        <v>*</v>
      </c>
      <c r="R16" s="13" t="str">
        <f>'Descision Matrix'!BE17</f>
        <v>*</v>
      </c>
      <c r="U16"/>
      <c r="AE16"/>
      <c r="AO16"/>
      <c r="AY16"/>
    </row>
    <row r="17" spans="1:56" ht="15" customHeight="1" thickTop="1" thickBot="1" x14ac:dyDescent="0.3">
      <c r="A17" s="224" t="s">
        <v>46</v>
      </c>
      <c r="B17" s="20"/>
      <c r="C17" s="11"/>
      <c r="D17" s="220" t="s">
        <v>32</v>
      </c>
      <c r="E17" s="220"/>
      <c r="F17" s="220"/>
      <c r="G17" s="12"/>
      <c r="H17" s="11"/>
      <c r="I17" s="11"/>
      <c r="J17" s="220" t="s">
        <v>32</v>
      </c>
      <c r="K17" s="220"/>
      <c r="L17" s="220"/>
      <c r="M17" s="12"/>
      <c r="N17" s="11"/>
      <c r="O17" s="11"/>
      <c r="P17" s="220" t="s">
        <v>32</v>
      </c>
      <c r="Q17" s="220"/>
      <c r="R17" s="220"/>
      <c r="T17" s="24" t="s">
        <v>13</v>
      </c>
      <c r="U17" s="25"/>
      <c r="V17" s="26" t="str">
        <f>D19</f>
        <v>F</v>
      </c>
      <c r="W17" s="22" t="str">
        <f t="shared" ref="W17" si="45">E19</f>
        <v>*</v>
      </c>
      <c r="X17" s="23" t="str">
        <f t="shared" ref="X17" si="46">F19</f>
        <v>*</v>
      </c>
      <c r="Y17" s="22" t="str">
        <f>D20</f>
        <v>*</v>
      </c>
      <c r="Z17" s="22" t="str">
        <f t="shared" ref="Z17" si="47">E20</f>
        <v>T</v>
      </c>
      <c r="AA17" s="23" t="str">
        <f t="shared" ref="AA17" si="48">F20</f>
        <v>*</v>
      </c>
      <c r="AB17" s="22" t="str">
        <f>D21</f>
        <v>*</v>
      </c>
      <c r="AC17" s="22" t="str">
        <f t="shared" ref="AC17" si="49">E21</f>
        <v>*</v>
      </c>
      <c r="AD17" s="27" t="str">
        <f t="shared" ref="AD17" si="50">F21</f>
        <v>*</v>
      </c>
      <c r="AE17" s="25"/>
      <c r="AF17" s="26" t="str">
        <f>J19</f>
        <v>F</v>
      </c>
      <c r="AG17" s="22" t="str">
        <f t="shared" ref="AG17" si="51">K19</f>
        <v>*</v>
      </c>
      <c r="AH17" s="23" t="str">
        <f t="shared" ref="AH17" si="52">L19</f>
        <v>T</v>
      </c>
      <c r="AI17" s="22" t="str">
        <f>J20</f>
        <v>*</v>
      </c>
      <c r="AJ17" s="22" t="str">
        <f t="shared" ref="AJ17" si="53">K20</f>
        <v>*</v>
      </c>
      <c r="AK17" s="23" t="str">
        <f t="shared" ref="AK17" si="54">L20</f>
        <v>*</v>
      </c>
      <c r="AL17" s="22" t="str">
        <f>J21</f>
        <v>T</v>
      </c>
      <c r="AM17" s="22" t="str">
        <f t="shared" ref="AM17" si="55">K21</f>
        <v>*</v>
      </c>
      <c r="AN17" s="27" t="str">
        <f t="shared" ref="AN17" si="56">L21</f>
        <v>*</v>
      </c>
      <c r="AO17" s="25"/>
      <c r="AP17" s="26" t="str">
        <f>P19</f>
        <v>*</v>
      </c>
      <c r="AQ17" s="22" t="str">
        <f t="shared" ref="AQ17" si="57">Q19</f>
        <v>*</v>
      </c>
      <c r="AR17" s="23" t="str">
        <f t="shared" ref="AR17" si="58">R19</f>
        <v>*</v>
      </c>
      <c r="AS17" s="22" t="str">
        <f>P20</f>
        <v>*</v>
      </c>
      <c r="AT17" s="22" t="str">
        <f t="shared" ref="AT17" si="59">Q20</f>
        <v>*</v>
      </c>
      <c r="AU17" s="23" t="str">
        <f t="shared" ref="AU17" si="60">R20</f>
        <v>*</v>
      </c>
      <c r="AV17" s="22" t="str">
        <f>P21</f>
        <v>*</v>
      </c>
      <c r="AW17" s="22" t="str">
        <f t="shared" ref="AW17" si="61">Q21</f>
        <v>*</v>
      </c>
      <c r="AX17" s="27" t="str">
        <f t="shared" ref="AX17" si="62">R21</f>
        <v>*</v>
      </c>
      <c r="AY17" s="28"/>
      <c r="BA17" s="24" t="str">
        <f>T17</f>
        <v>Borders</v>
      </c>
      <c r="BB17" s="29" t="str">
        <f>CONCATENATE(V17,W17,X17,Y17,Z17,AA17,AB17,AC17,AD17)</f>
        <v>F***T****</v>
      </c>
      <c r="BC17" s="30" t="str">
        <f>CONCATENATE(AF17,AG17,AH17,AI17,AJ17,AK17,AL17,AM17,AN17)</f>
        <v>F*T***T**</v>
      </c>
      <c r="BD17" s="31" t="str">
        <f>CONCATENATE(AP17,AQ17,AR17,AS17,AT17,AU17,AV17,AW17,AX17)</f>
        <v>*********</v>
      </c>
    </row>
    <row r="18" spans="1:56" ht="15" customHeight="1" thickTop="1" x14ac:dyDescent="0.25">
      <c r="A18" s="225"/>
      <c r="B18" s="21"/>
      <c r="C18" s="16" t="s">
        <v>36</v>
      </c>
      <c r="D18" s="13" t="s">
        <v>37</v>
      </c>
      <c r="E18" s="13" t="s">
        <v>32</v>
      </c>
      <c r="F18" s="13" t="s">
        <v>38</v>
      </c>
      <c r="G18" s="17"/>
      <c r="I18" s="16" t="s">
        <v>36</v>
      </c>
      <c r="J18" s="13" t="s">
        <v>37</v>
      </c>
      <c r="K18" s="13" t="s">
        <v>32</v>
      </c>
      <c r="L18" s="13" t="s">
        <v>38</v>
      </c>
      <c r="M18" s="17"/>
      <c r="O18" s="16" t="s">
        <v>36</v>
      </c>
      <c r="P18" s="13" t="s">
        <v>37</v>
      </c>
      <c r="Q18" s="13" t="s">
        <v>32</v>
      </c>
      <c r="R18" s="13" t="s">
        <v>38</v>
      </c>
      <c r="U18"/>
      <c r="AE18"/>
      <c r="AO18"/>
      <c r="AY18"/>
    </row>
    <row r="19" spans="1:56" ht="15" customHeight="1" thickBot="1" x14ac:dyDescent="0.3">
      <c r="A19" s="225"/>
      <c r="B19" s="227" t="s">
        <v>39</v>
      </c>
      <c r="C19" s="13" t="s">
        <v>37</v>
      </c>
      <c r="D19" s="13" t="str">
        <f>'Descision Matrix'!AQ21</f>
        <v>F</v>
      </c>
      <c r="E19" s="13" t="str">
        <f>'Descision Matrix'!AR21</f>
        <v>*</v>
      </c>
      <c r="F19" s="13" t="str">
        <f>'Descision Matrix'!AS21</f>
        <v>*</v>
      </c>
      <c r="G19" s="17"/>
      <c r="H19" s="205" t="s">
        <v>39</v>
      </c>
      <c r="I19" s="13" t="s">
        <v>37</v>
      </c>
      <c r="J19" s="13" t="str">
        <f>'Descision Matrix'!AW21</f>
        <v>F</v>
      </c>
      <c r="K19" s="13" t="str">
        <f>'Descision Matrix'!AX21</f>
        <v>*</v>
      </c>
      <c r="L19" s="13" t="str">
        <f>'Descision Matrix'!AY21</f>
        <v>T</v>
      </c>
      <c r="M19" s="17"/>
      <c r="N19" s="207" t="s">
        <v>39</v>
      </c>
      <c r="O19" s="13" t="s">
        <v>37</v>
      </c>
      <c r="P19" s="13" t="str">
        <f>'Descision Matrix'!BC21</f>
        <v>*</v>
      </c>
      <c r="Q19" s="13" t="str">
        <f>'Descision Matrix'!BD21</f>
        <v>*</v>
      </c>
      <c r="R19" s="13" t="str">
        <f>'Descision Matrix'!BE21</f>
        <v>*</v>
      </c>
      <c r="U19"/>
      <c r="AE19"/>
      <c r="AO19"/>
      <c r="AY19"/>
    </row>
    <row r="20" spans="1:56" ht="15" customHeight="1" thickTop="1" thickBot="1" x14ac:dyDescent="0.3">
      <c r="A20" s="225"/>
      <c r="B20" s="227"/>
      <c r="C20" s="13" t="s">
        <v>32</v>
      </c>
      <c r="D20" s="13" t="str">
        <f>'Descision Matrix'!AQ22</f>
        <v>*</v>
      </c>
      <c r="E20" s="13" t="str">
        <f>'Descision Matrix'!AR22</f>
        <v>T</v>
      </c>
      <c r="F20" s="13" t="str">
        <f>'Descision Matrix'!AS22</f>
        <v>*</v>
      </c>
      <c r="G20" s="17"/>
      <c r="H20" s="205"/>
      <c r="I20" s="13" t="s">
        <v>32</v>
      </c>
      <c r="J20" s="13" t="str">
        <f>'Descision Matrix'!AW22</f>
        <v>*</v>
      </c>
      <c r="K20" s="13" t="str">
        <f>'Descision Matrix'!AX22</f>
        <v>*</v>
      </c>
      <c r="L20" s="13" t="str">
        <f>'Descision Matrix'!AY22</f>
        <v>*</v>
      </c>
      <c r="M20" s="17"/>
      <c r="N20" s="207"/>
      <c r="O20" s="13" t="s">
        <v>32</v>
      </c>
      <c r="P20" s="13" t="str">
        <f>'Descision Matrix'!BC22</f>
        <v>*</v>
      </c>
      <c r="Q20" s="13" t="str">
        <f>'Descision Matrix'!BD22</f>
        <v>*</v>
      </c>
      <c r="R20" s="13" t="str">
        <f>'Descision Matrix'!BE22</f>
        <v>*</v>
      </c>
      <c r="U20"/>
      <c r="AE20"/>
      <c r="AO20"/>
      <c r="AY20"/>
    </row>
    <row r="21" spans="1:56" ht="15" customHeight="1" thickTop="1" thickBot="1" x14ac:dyDescent="0.3">
      <c r="A21" s="226"/>
      <c r="B21" s="228"/>
      <c r="C21" s="13" t="s">
        <v>38</v>
      </c>
      <c r="D21" s="13" t="str">
        <f>'Descision Matrix'!AQ23</f>
        <v>*</v>
      </c>
      <c r="E21" s="13" t="str">
        <f>'Descision Matrix'!AR23</f>
        <v>*</v>
      </c>
      <c r="F21" s="13" t="str">
        <f>'Descision Matrix'!AS23</f>
        <v>*</v>
      </c>
      <c r="G21" s="19"/>
      <c r="H21" s="206"/>
      <c r="I21" s="13" t="s">
        <v>38</v>
      </c>
      <c r="J21" s="13" t="str">
        <f>'Descision Matrix'!AW23</f>
        <v>T</v>
      </c>
      <c r="K21" s="13" t="str">
        <f>'Descision Matrix'!AX23</f>
        <v>*</v>
      </c>
      <c r="L21" s="13" t="str">
        <f>'Descision Matrix'!AY23</f>
        <v>*</v>
      </c>
      <c r="M21" s="19"/>
      <c r="N21" s="208"/>
      <c r="O21" s="13" t="s">
        <v>38</v>
      </c>
      <c r="P21" s="13" t="str">
        <f>'Descision Matrix'!BC23</f>
        <v>*</v>
      </c>
      <c r="Q21" s="13" t="str">
        <f>'Descision Matrix'!BD23</f>
        <v>*</v>
      </c>
      <c r="R21" s="13" t="str">
        <f>'Descision Matrix'!BE23</f>
        <v>*</v>
      </c>
      <c r="U21"/>
      <c r="AE21"/>
      <c r="AO21"/>
      <c r="AY21"/>
    </row>
    <row r="22" spans="1:56" ht="15" customHeight="1" thickTop="1" thickBot="1" x14ac:dyDescent="0.3">
      <c r="A22" s="224" t="s">
        <v>47</v>
      </c>
      <c r="B22" s="20"/>
      <c r="C22" s="11"/>
      <c r="D22" s="220" t="s">
        <v>32</v>
      </c>
      <c r="E22" s="220"/>
      <c r="F22" s="220"/>
      <c r="G22" s="12"/>
      <c r="H22" s="11"/>
      <c r="I22" s="11"/>
      <c r="J22" s="220" t="s">
        <v>32</v>
      </c>
      <c r="K22" s="220"/>
      <c r="L22" s="220"/>
      <c r="M22" s="12"/>
      <c r="N22" s="11"/>
      <c r="O22" s="11"/>
      <c r="P22" s="220" t="s">
        <v>32</v>
      </c>
      <c r="Q22" s="220"/>
      <c r="R22" s="220"/>
      <c r="T22" s="24" t="s">
        <v>15</v>
      </c>
      <c r="U22" s="25"/>
      <c r="V22" s="26" t="str">
        <f>D24</f>
        <v>F</v>
      </c>
      <c r="W22" s="22" t="str">
        <f t="shared" ref="W22" si="63">E24</f>
        <v>*</v>
      </c>
      <c r="X22" s="23" t="str">
        <f t="shared" ref="X22" si="64">F24</f>
        <v>*</v>
      </c>
      <c r="Y22" s="22" t="str">
        <f>D25</f>
        <v>*</v>
      </c>
      <c r="Z22" s="22" t="str">
        <f t="shared" ref="Z22" si="65">E25</f>
        <v>T</v>
      </c>
      <c r="AA22" s="23" t="str">
        <f t="shared" ref="AA22" si="66">F25</f>
        <v>*</v>
      </c>
      <c r="AB22" s="22" t="str">
        <f>D26</f>
        <v>*</v>
      </c>
      <c r="AC22" s="22" t="str">
        <f t="shared" ref="AC22" si="67">E26</f>
        <v>*</v>
      </c>
      <c r="AD22" s="27" t="str">
        <f t="shared" ref="AD22" si="68">F26</f>
        <v>*</v>
      </c>
      <c r="AE22" s="25"/>
      <c r="AF22" s="26" t="str">
        <f>J24</f>
        <v>T</v>
      </c>
      <c r="AG22" s="22" t="str">
        <f t="shared" ref="AG22" si="69">K24</f>
        <v>*</v>
      </c>
      <c r="AH22" s="23" t="str">
        <f t="shared" ref="AH22" si="70">L24</f>
        <v>T</v>
      </c>
      <c r="AI22" s="22" t="str">
        <f>J25</f>
        <v>*</v>
      </c>
      <c r="AJ22" s="22" t="str">
        <f t="shared" ref="AJ22" si="71">K25</f>
        <v>*</v>
      </c>
      <c r="AK22" s="23" t="str">
        <f t="shared" ref="AK22" si="72">L25</f>
        <v>*</v>
      </c>
      <c r="AL22" s="22" t="str">
        <f>J26</f>
        <v>F</v>
      </c>
      <c r="AM22" s="22" t="str">
        <f t="shared" ref="AM22" si="73">K26</f>
        <v>*</v>
      </c>
      <c r="AN22" s="27" t="str">
        <f t="shared" ref="AN22" si="74">L26</f>
        <v>*</v>
      </c>
      <c r="AO22" s="25"/>
      <c r="AP22" s="26" t="str">
        <f>P24</f>
        <v>*</v>
      </c>
      <c r="AQ22" s="22" t="str">
        <f t="shared" ref="AQ22" si="75">Q24</f>
        <v>*</v>
      </c>
      <c r="AR22" s="23" t="str">
        <f t="shared" ref="AR22" si="76">R24</f>
        <v>*</v>
      </c>
      <c r="AS22" s="22" t="str">
        <f>P25</f>
        <v>*</v>
      </c>
      <c r="AT22" s="22" t="str">
        <f t="shared" ref="AT22" si="77">Q25</f>
        <v>*</v>
      </c>
      <c r="AU22" s="23" t="str">
        <f t="shared" ref="AU22" si="78">R25</f>
        <v>*</v>
      </c>
      <c r="AV22" s="22" t="str">
        <f>P26</f>
        <v>*</v>
      </c>
      <c r="AW22" s="22" t="str">
        <f t="shared" ref="AW22" si="79">Q26</f>
        <v>*</v>
      </c>
      <c r="AX22" s="27" t="str">
        <f t="shared" ref="AX22" si="80">R26</f>
        <v>*</v>
      </c>
      <c r="AY22" s="28"/>
      <c r="BA22" s="24" t="str">
        <f>T22</f>
        <v>Confines</v>
      </c>
      <c r="BB22" s="29" t="str">
        <f>CONCATENATE(V22,W22,X22,Y22,Z22,AA22,AB22,AC22,AD22)</f>
        <v>F***T****</v>
      </c>
      <c r="BC22" s="30" t="str">
        <f>CONCATENATE(AF22,AG22,AH22,AI22,AJ22,AK22,AL22,AM22,AN22)</f>
        <v>T*T***F**</v>
      </c>
      <c r="BD22" s="31" t="str">
        <f>CONCATENATE(AP22,AQ22,AR22,AS22,AT22,AU22,AV22,AW22,AX22)</f>
        <v>*********</v>
      </c>
    </row>
    <row r="23" spans="1:56" ht="15" customHeight="1" thickTop="1" x14ac:dyDescent="0.25">
      <c r="A23" s="225"/>
      <c r="B23" s="21"/>
      <c r="C23" s="16" t="s">
        <v>36</v>
      </c>
      <c r="D23" s="13" t="s">
        <v>37</v>
      </c>
      <c r="E23" s="13" t="s">
        <v>32</v>
      </c>
      <c r="F23" s="13" t="s">
        <v>38</v>
      </c>
      <c r="G23" s="17"/>
      <c r="I23" s="16" t="s">
        <v>36</v>
      </c>
      <c r="J23" s="13" t="s">
        <v>37</v>
      </c>
      <c r="K23" s="13" t="s">
        <v>32</v>
      </c>
      <c r="L23" s="13" t="s">
        <v>38</v>
      </c>
      <c r="M23" s="17"/>
      <c r="O23" s="16" t="s">
        <v>36</v>
      </c>
      <c r="P23" s="13" t="s">
        <v>37</v>
      </c>
      <c r="Q23" s="13" t="s">
        <v>32</v>
      </c>
      <c r="R23" s="13" t="s">
        <v>38</v>
      </c>
      <c r="U23"/>
      <c r="AE23"/>
      <c r="AO23"/>
      <c r="AY23"/>
    </row>
    <row r="24" spans="1:56" ht="15" customHeight="1" thickBot="1" x14ac:dyDescent="0.3">
      <c r="A24" s="225"/>
      <c r="B24" s="227" t="s">
        <v>39</v>
      </c>
      <c r="C24" s="13" t="s">
        <v>37</v>
      </c>
      <c r="D24" s="13" t="str">
        <f>'Descision Matrix'!AQ27</f>
        <v>F</v>
      </c>
      <c r="E24" s="13" t="str">
        <f>'Descision Matrix'!AR27</f>
        <v>*</v>
      </c>
      <c r="F24" s="13" t="str">
        <f>'Descision Matrix'!AS27</f>
        <v>*</v>
      </c>
      <c r="G24" s="17"/>
      <c r="H24" s="205" t="s">
        <v>39</v>
      </c>
      <c r="I24" s="13" t="s">
        <v>37</v>
      </c>
      <c r="J24" s="13" t="str">
        <f>'Descision Matrix'!AW27</f>
        <v>T</v>
      </c>
      <c r="K24" s="13" t="str">
        <f>'Descision Matrix'!AX27</f>
        <v>*</v>
      </c>
      <c r="L24" s="13" t="str">
        <f>'Descision Matrix'!AY27</f>
        <v>T</v>
      </c>
      <c r="M24" s="17"/>
      <c r="N24" s="207" t="s">
        <v>39</v>
      </c>
      <c r="O24" s="13" t="s">
        <v>37</v>
      </c>
      <c r="P24" s="13" t="str">
        <f>'Descision Matrix'!BC27</f>
        <v>*</v>
      </c>
      <c r="Q24" s="13" t="str">
        <f>'Descision Matrix'!BD27</f>
        <v>*</v>
      </c>
      <c r="R24" s="13" t="str">
        <f>'Descision Matrix'!BE27</f>
        <v>*</v>
      </c>
      <c r="U24"/>
      <c r="AE24"/>
      <c r="AO24"/>
      <c r="AY24"/>
    </row>
    <row r="25" spans="1:56" ht="15" customHeight="1" thickTop="1" thickBot="1" x14ac:dyDescent="0.3">
      <c r="A25" s="225"/>
      <c r="B25" s="227"/>
      <c r="C25" s="13" t="s">
        <v>32</v>
      </c>
      <c r="D25" s="13" t="str">
        <f>'Descision Matrix'!AQ28</f>
        <v>*</v>
      </c>
      <c r="E25" s="13" t="str">
        <f>'Descision Matrix'!AR28</f>
        <v>T</v>
      </c>
      <c r="F25" s="13" t="str">
        <f>'Descision Matrix'!AS28</f>
        <v>*</v>
      </c>
      <c r="G25" s="17"/>
      <c r="H25" s="205"/>
      <c r="I25" s="13" t="s">
        <v>32</v>
      </c>
      <c r="J25" s="13" t="str">
        <f>'Descision Matrix'!AW28</f>
        <v>*</v>
      </c>
      <c r="K25" s="13" t="str">
        <f>'Descision Matrix'!AX28</f>
        <v>*</v>
      </c>
      <c r="L25" s="13" t="str">
        <f>'Descision Matrix'!AY28</f>
        <v>*</v>
      </c>
      <c r="M25" s="17"/>
      <c r="N25" s="207"/>
      <c r="O25" s="13" t="s">
        <v>32</v>
      </c>
      <c r="P25" s="13" t="str">
        <f>'Descision Matrix'!BC28</f>
        <v>*</v>
      </c>
      <c r="Q25" s="13" t="str">
        <f>'Descision Matrix'!BD28</f>
        <v>*</v>
      </c>
      <c r="R25" s="13" t="str">
        <f>'Descision Matrix'!BE28</f>
        <v>*</v>
      </c>
      <c r="U25"/>
      <c r="AE25"/>
      <c r="AO25"/>
      <c r="AY25"/>
    </row>
    <row r="26" spans="1:56" ht="15" customHeight="1" thickTop="1" thickBot="1" x14ac:dyDescent="0.3">
      <c r="A26" s="226"/>
      <c r="B26" s="228"/>
      <c r="C26" s="13" t="s">
        <v>38</v>
      </c>
      <c r="D26" s="13" t="str">
        <f>'Descision Matrix'!AQ29</f>
        <v>*</v>
      </c>
      <c r="E26" s="13" t="str">
        <f>'Descision Matrix'!AR29</f>
        <v>*</v>
      </c>
      <c r="F26" s="13" t="str">
        <f>'Descision Matrix'!AS29</f>
        <v>*</v>
      </c>
      <c r="G26" s="19"/>
      <c r="H26" s="206"/>
      <c r="I26" s="13" t="s">
        <v>38</v>
      </c>
      <c r="J26" s="13" t="str">
        <f>'Descision Matrix'!AW29</f>
        <v>F</v>
      </c>
      <c r="K26" s="13" t="str">
        <f>'Descision Matrix'!AX29</f>
        <v>*</v>
      </c>
      <c r="L26" s="13" t="str">
        <f>'Descision Matrix'!AY29</f>
        <v>*</v>
      </c>
      <c r="M26" s="19"/>
      <c r="N26" s="208"/>
      <c r="O26" s="13" t="s">
        <v>38</v>
      </c>
      <c r="P26" s="13" t="str">
        <f>'Descision Matrix'!BC29</f>
        <v>*</v>
      </c>
      <c r="Q26" s="13" t="str">
        <f>'Descision Matrix'!BD29</f>
        <v>*</v>
      </c>
      <c r="R26" s="13" t="str">
        <f>'Descision Matrix'!BE29</f>
        <v>*</v>
      </c>
      <c r="U26"/>
      <c r="AE26"/>
      <c r="AO26"/>
      <c r="AY26"/>
    </row>
    <row r="27" spans="1:56" ht="15" customHeight="1" thickTop="1" thickBot="1" x14ac:dyDescent="0.3">
      <c r="A27" s="229" t="s">
        <v>49</v>
      </c>
      <c r="B27" s="20"/>
      <c r="C27" s="11"/>
      <c r="D27" s="220" t="s">
        <v>32</v>
      </c>
      <c r="E27" s="220"/>
      <c r="F27" s="220"/>
      <c r="G27" s="12"/>
      <c r="H27" s="11"/>
      <c r="I27" s="11"/>
      <c r="J27" s="220" t="s">
        <v>32</v>
      </c>
      <c r="K27" s="220"/>
      <c r="L27" s="220"/>
      <c r="M27" s="12"/>
      <c r="N27" s="11"/>
      <c r="O27" s="11"/>
      <c r="P27" s="220" t="s">
        <v>32</v>
      </c>
      <c r="Q27" s="220"/>
      <c r="R27" s="220"/>
      <c r="T27" s="24" t="s">
        <v>24</v>
      </c>
      <c r="U27" s="25"/>
      <c r="V27" s="26" t="str">
        <f>D29</f>
        <v>T</v>
      </c>
      <c r="W27" s="22" t="str">
        <f t="shared" ref="W27" si="81">E29</f>
        <v>T</v>
      </c>
      <c r="X27" s="23" t="str">
        <f t="shared" ref="X27" si="82">F29</f>
        <v>T</v>
      </c>
      <c r="Y27" s="22" t="str">
        <f>D30</f>
        <v>F</v>
      </c>
      <c r="Z27" s="22" t="str">
        <f t="shared" ref="Z27" si="83">E30</f>
        <v>F</v>
      </c>
      <c r="AA27" s="23" t="str">
        <f t="shared" ref="AA27" si="84">F30</f>
        <v>*</v>
      </c>
      <c r="AB27" s="22" t="str">
        <f>D31</f>
        <v>F</v>
      </c>
      <c r="AC27" s="22" t="str">
        <f t="shared" ref="AC27" si="85">E31</f>
        <v>*</v>
      </c>
      <c r="AD27" s="27" t="str">
        <f t="shared" ref="AD27" si="86">F31</f>
        <v>*</v>
      </c>
      <c r="AE27" s="25"/>
      <c r="AF27" s="26" t="str">
        <f>J29</f>
        <v>T</v>
      </c>
      <c r="AG27" s="22" t="str">
        <f t="shared" ref="AG27" si="87">K29</f>
        <v>*</v>
      </c>
      <c r="AH27" s="23" t="str">
        <f t="shared" ref="AH27" si="88">L29</f>
        <v>*</v>
      </c>
      <c r="AI27" s="22" t="str">
        <f>J30</f>
        <v>*</v>
      </c>
      <c r="AJ27" s="22" t="str">
        <f t="shared" ref="AJ27" si="89">K30</f>
        <v>*</v>
      </c>
      <c r="AK27" s="23" t="str">
        <f t="shared" ref="AK27" si="90">L30</f>
        <v>*</v>
      </c>
      <c r="AL27" s="22" t="str">
        <f>J31</f>
        <v>*</v>
      </c>
      <c r="AM27" s="22" t="str">
        <f t="shared" ref="AM27" si="91">K31</f>
        <v>*</v>
      </c>
      <c r="AN27" s="27" t="str">
        <f t="shared" ref="AN27" si="92">L31</f>
        <v>*</v>
      </c>
      <c r="AO27" s="25"/>
      <c r="AP27" s="26" t="str">
        <f>P29</f>
        <v>T</v>
      </c>
      <c r="AQ27" s="22" t="str">
        <f t="shared" ref="AQ27" si="93">Q29</f>
        <v>*</v>
      </c>
      <c r="AR27" s="23" t="str">
        <f t="shared" ref="AR27" si="94">R29</f>
        <v>*</v>
      </c>
      <c r="AS27" s="22" t="str">
        <f>P30</f>
        <v>*</v>
      </c>
      <c r="AT27" s="22" t="str">
        <f t="shared" ref="AT27" si="95">Q30</f>
        <v>*</v>
      </c>
      <c r="AU27" s="23" t="str">
        <f t="shared" ref="AU27" si="96">R30</f>
        <v>*</v>
      </c>
      <c r="AV27" s="22" t="str">
        <f>P31</f>
        <v>*</v>
      </c>
      <c r="AW27" s="22" t="str">
        <f t="shared" ref="AW27" si="97">Q31</f>
        <v>*</v>
      </c>
      <c r="AX27" s="27" t="str">
        <f t="shared" ref="AX27" si="98">R31</f>
        <v>*</v>
      </c>
      <c r="AY27" s="28"/>
      <c r="BA27" s="24" t="str">
        <f>T27</f>
        <v>Contains</v>
      </c>
      <c r="BB27" s="29" t="str">
        <f>CONCATENATE(V27,W27,X27,Y27,Z27,AA27,AB27,AC27,AD27)</f>
        <v>TTTFF*F**</v>
      </c>
      <c r="BC27" s="30" t="str">
        <f>CONCATENATE(AF27,AG27,AH27,AI27,AJ27,AK27,AL27,AM27,AN27)</f>
        <v>T********</v>
      </c>
      <c r="BD27" s="31" t="str">
        <f>CONCATENATE(AP27,AQ27,AR27,AS27,AT27,AU27,AV27,AW27,AX27)</f>
        <v>T********</v>
      </c>
    </row>
    <row r="28" spans="1:56" ht="15" customHeight="1" thickTop="1" x14ac:dyDescent="0.25">
      <c r="A28" s="225"/>
      <c r="B28" s="21"/>
      <c r="C28" s="16" t="s">
        <v>36</v>
      </c>
      <c r="D28" s="13" t="s">
        <v>37</v>
      </c>
      <c r="E28" s="13" t="s">
        <v>32</v>
      </c>
      <c r="F28" s="13" t="s">
        <v>38</v>
      </c>
      <c r="G28" s="17"/>
      <c r="I28" s="16" t="s">
        <v>36</v>
      </c>
      <c r="J28" s="13" t="s">
        <v>37</v>
      </c>
      <c r="K28" s="13" t="s">
        <v>32</v>
      </c>
      <c r="L28" s="13" t="s">
        <v>38</v>
      </c>
      <c r="M28" s="17"/>
      <c r="O28" s="16" t="s">
        <v>36</v>
      </c>
      <c r="P28" s="13" t="s">
        <v>37</v>
      </c>
      <c r="Q28" s="13" t="s">
        <v>32</v>
      </c>
      <c r="R28" s="13" t="s">
        <v>38</v>
      </c>
      <c r="U28"/>
      <c r="AE28"/>
      <c r="AO28"/>
      <c r="AY28"/>
    </row>
    <row r="29" spans="1:56" ht="15" customHeight="1" thickBot="1" x14ac:dyDescent="0.3">
      <c r="A29" s="225"/>
      <c r="B29" s="227" t="s">
        <v>39</v>
      </c>
      <c r="C29" s="13" t="s">
        <v>37</v>
      </c>
      <c r="D29" s="13" t="str">
        <f>'Descision Matrix'!AQ33</f>
        <v>T</v>
      </c>
      <c r="E29" s="13" t="str">
        <f>'Descision Matrix'!AR33</f>
        <v>T</v>
      </c>
      <c r="F29" s="13" t="str">
        <f>'Descision Matrix'!AS33</f>
        <v>T</v>
      </c>
      <c r="G29" s="17"/>
      <c r="H29" s="205" t="s">
        <v>39</v>
      </c>
      <c r="I29" s="13" t="s">
        <v>37</v>
      </c>
      <c r="J29" s="13" t="str">
        <f>'Descision Matrix'!AW33</f>
        <v>T</v>
      </c>
      <c r="K29" s="13" t="str">
        <f>'Descision Matrix'!AX33</f>
        <v>*</v>
      </c>
      <c r="L29" s="13" t="str">
        <f>'Descision Matrix'!AY33</f>
        <v>*</v>
      </c>
      <c r="M29" s="17"/>
      <c r="N29" s="207" t="s">
        <v>39</v>
      </c>
      <c r="O29" s="13" t="s">
        <v>37</v>
      </c>
      <c r="P29" s="13" t="str">
        <f>'Descision Matrix'!BC33</f>
        <v>T</v>
      </c>
      <c r="Q29" s="13" t="str">
        <f>'Descision Matrix'!BD33</f>
        <v>*</v>
      </c>
      <c r="R29" s="13" t="str">
        <f>'Descision Matrix'!BE33</f>
        <v>*</v>
      </c>
      <c r="U29"/>
      <c r="AE29"/>
      <c r="AO29"/>
      <c r="AY29"/>
    </row>
    <row r="30" spans="1:56" ht="15" customHeight="1" thickTop="1" thickBot="1" x14ac:dyDescent="0.3">
      <c r="A30" s="225"/>
      <c r="B30" s="227"/>
      <c r="C30" s="13" t="s">
        <v>32</v>
      </c>
      <c r="D30" s="13" t="str">
        <f>'Descision Matrix'!AQ34</f>
        <v>F</v>
      </c>
      <c r="E30" s="13" t="str">
        <f>'Descision Matrix'!AR34</f>
        <v>F</v>
      </c>
      <c r="F30" s="13" t="str">
        <f>'Descision Matrix'!AS34</f>
        <v>*</v>
      </c>
      <c r="G30" s="17"/>
      <c r="H30" s="205"/>
      <c r="I30" s="13" t="s">
        <v>32</v>
      </c>
      <c r="J30" s="13" t="str">
        <f>'Descision Matrix'!AW34</f>
        <v>*</v>
      </c>
      <c r="K30" s="13" t="str">
        <f>'Descision Matrix'!AX34</f>
        <v>*</v>
      </c>
      <c r="L30" s="13" t="str">
        <f>'Descision Matrix'!AY34</f>
        <v>*</v>
      </c>
      <c r="M30" s="17"/>
      <c r="N30" s="207"/>
      <c r="O30" s="13" t="s">
        <v>32</v>
      </c>
      <c r="P30" s="13" t="str">
        <f>'Descision Matrix'!BC34</f>
        <v>*</v>
      </c>
      <c r="Q30" s="13" t="str">
        <f>'Descision Matrix'!BD34</f>
        <v>*</v>
      </c>
      <c r="R30" s="13" t="str">
        <f>'Descision Matrix'!BE34</f>
        <v>*</v>
      </c>
      <c r="U30"/>
      <c r="AE30"/>
      <c r="AO30"/>
      <c r="AY30"/>
    </row>
    <row r="31" spans="1:56" ht="15" customHeight="1" thickTop="1" thickBot="1" x14ac:dyDescent="0.3">
      <c r="A31" s="230"/>
      <c r="B31" s="228"/>
      <c r="C31" s="13" t="s">
        <v>38</v>
      </c>
      <c r="D31" s="13" t="str">
        <f>'Descision Matrix'!AQ35</f>
        <v>F</v>
      </c>
      <c r="E31" s="13" t="str">
        <f>'Descision Matrix'!AR35</f>
        <v>*</v>
      </c>
      <c r="F31" s="13" t="str">
        <f>'Descision Matrix'!AS35</f>
        <v>*</v>
      </c>
      <c r="G31" s="19"/>
      <c r="H31" s="206"/>
      <c r="I31" s="13" t="s">
        <v>38</v>
      </c>
      <c r="J31" s="13" t="str">
        <f>'Descision Matrix'!AW35</f>
        <v>*</v>
      </c>
      <c r="K31" s="13" t="str">
        <f>'Descision Matrix'!AX35</f>
        <v>*</v>
      </c>
      <c r="L31" s="13" t="str">
        <f>'Descision Matrix'!AY35</f>
        <v>*</v>
      </c>
      <c r="M31" s="19"/>
      <c r="N31" s="208"/>
      <c r="O31" s="13" t="s">
        <v>38</v>
      </c>
      <c r="P31" s="13" t="str">
        <f>'Descision Matrix'!BC35</f>
        <v>*</v>
      </c>
      <c r="Q31" s="13" t="str">
        <f>'Descision Matrix'!BD35</f>
        <v>*</v>
      </c>
      <c r="R31" s="13" t="str">
        <f>'Descision Matrix'!BE35</f>
        <v>*</v>
      </c>
      <c r="U31"/>
      <c r="AE31"/>
      <c r="AO31"/>
      <c r="AY31"/>
    </row>
    <row r="32" spans="1:56" ht="15" customHeight="1" thickTop="1" thickBot="1" x14ac:dyDescent="0.3">
      <c r="A32" s="224" t="s">
        <v>51</v>
      </c>
      <c r="B32" s="20"/>
      <c r="C32" s="11"/>
      <c r="D32" s="220" t="s">
        <v>32</v>
      </c>
      <c r="E32" s="220"/>
      <c r="F32" s="220"/>
      <c r="G32" s="12"/>
      <c r="H32" s="11"/>
      <c r="I32" s="11"/>
      <c r="J32" s="220" t="s">
        <v>32</v>
      </c>
      <c r="K32" s="220"/>
      <c r="L32" s="220"/>
      <c r="M32" s="12"/>
      <c r="N32" s="11"/>
      <c r="O32" s="11"/>
      <c r="P32" s="220" t="s">
        <v>32</v>
      </c>
      <c r="Q32" s="220"/>
      <c r="R32" s="220"/>
      <c r="T32" s="24" t="s">
        <v>27</v>
      </c>
      <c r="U32" s="25"/>
      <c r="V32" s="26" t="str">
        <f>D34</f>
        <v>T</v>
      </c>
      <c r="W32" s="22" t="str">
        <f t="shared" ref="W32" si="99">E34</f>
        <v>*</v>
      </c>
      <c r="X32" s="23" t="str">
        <f t="shared" ref="X32" si="100">F34</f>
        <v>F</v>
      </c>
      <c r="Y32" s="22" t="str">
        <f>D35</f>
        <v>*</v>
      </c>
      <c r="Z32" s="22" t="str">
        <f t="shared" ref="Z32" si="101">E35</f>
        <v>T</v>
      </c>
      <c r="AA32" s="23" t="str">
        <f t="shared" ref="AA32" si="102">F35</f>
        <v>*</v>
      </c>
      <c r="AB32" s="22" t="str">
        <f>D36</f>
        <v>F</v>
      </c>
      <c r="AC32" s="22" t="str">
        <f t="shared" ref="AC32" si="103">E36</f>
        <v>*</v>
      </c>
      <c r="AD32" s="27" t="str">
        <f t="shared" ref="AD32" si="104">F36</f>
        <v>*</v>
      </c>
      <c r="AE32" s="25"/>
      <c r="AF32" s="26" t="str">
        <f>J34</f>
        <v>*</v>
      </c>
      <c r="AG32" s="22" t="str">
        <f t="shared" ref="AG32" si="105">K34</f>
        <v>*</v>
      </c>
      <c r="AH32" s="23" t="str">
        <f t="shared" ref="AH32" si="106">L34</f>
        <v>*</v>
      </c>
      <c r="AI32" s="22" t="str">
        <f>J35</f>
        <v>*</v>
      </c>
      <c r="AJ32" s="22" t="str">
        <f t="shared" ref="AJ32" si="107">K35</f>
        <v>*</v>
      </c>
      <c r="AK32" s="23" t="str">
        <f t="shared" ref="AK32" si="108">L35</f>
        <v>*</v>
      </c>
      <c r="AL32" s="22" t="str">
        <f>J36</f>
        <v>*</v>
      </c>
      <c r="AM32" s="22" t="str">
        <f t="shared" ref="AM32" si="109">K36</f>
        <v>*</v>
      </c>
      <c r="AN32" s="27" t="str">
        <f t="shared" ref="AN32" si="110">L36</f>
        <v>*</v>
      </c>
      <c r="AO32" s="25"/>
      <c r="AP32" s="26" t="str">
        <f>P34</f>
        <v>*</v>
      </c>
      <c r="AQ32" s="22" t="str">
        <f t="shared" ref="AQ32" si="111">Q34</f>
        <v>*</v>
      </c>
      <c r="AR32" s="23" t="str">
        <f t="shared" ref="AR32" si="112">R34</f>
        <v>*</v>
      </c>
      <c r="AS32" s="22" t="str">
        <f>P35</f>
        <v>*</v>
      </c>
      <c r="AT32" s="22" t="str">
        <f t="shared" ref="AT32" si="113">Q35</f>
        <v>*</v>
      </c>
      <c r="AU32" s="23" t="str">
        <f t="shared" ref="AU32" si="114">R35</f>
        <v>*</v>
      </c>
      <c r="AV32" s="22" t="str">
        <f>P36</f>
        <v>*</v>
      </c>
      <c r="AW32" s="22" t="str">
        <f t="shared" ref="AW32" si="115">Q36</f>
        <v>*</v>
      </c>
      <c r="AX32" s="27" t="str">
        <f t="shared" ref="AX32" si="116">R36</f>
        <v>*</v>
      </c>
      <c r="AY32" s="28"/>
      <c r="BA32" s="24" t="str">
        <f>T32</f>
        <v>Equals</v>
      </c>
      <c r="BB32" s="29" t="str">
        <f>CONCATENATE(V32,W32,X32,Y32,Z32,AA32,AB32,AC32,AD32)</f>
        <v>T*F*T*F**</v>
      </c>
      <c r="BC32" s="30" t="str">
        <f>CONCATENATE(AF32,AG32,AH32,AI32,AJ32,AK32,AL32,AM32,AN32)</f>
        <v>*********</v>
      </c>
      <c r="BD32" s="31" t="str">
        <f>CONCATENATE(AP32,AQ32,AR32,AS32,AT32,AU32,AV32,AW32,AX32)</f>
        <v>*********</v>
      </c>
    </row>
    <row r="33" spans="1:56" ht="15" customHeight="1" thickTop="1" x14ac:dyDescent="0.25">
      <c r="A33" s="225"/>
      <c r="B33" s="21"/>
      <c r="C33" s="16" t="s">
        <v>36</v>
      </c>
      <c r="D33" s="13" t="s">
        <v>37</v>
      </c>
      <c r="E33" s="13" t="s">
        <v>32</v>
      </c>
      <c r="F33" s="13" t="s">
        <v>38</v>
      </c>
      <c r="G33" s="17"/>
      <c r="I33" s="16" t="s">
        <v>36</v>
      </c>
      <c r="J33" s="13" t="s">
        <v>37</v>
      </c>
      <c r="K33" s="13" t="s">
        <v>32</v>
      </c>
      <c r="L33" s="13" t="s">
        <v>38</v>
      </c>
      <c r="M33" s="17"/>
      <c r="O33" s="16" t="s">
        <v>36</v>
      </c>
      <c r="P33" s="13" t="s">
        <v>37</v>
      </c>
      <c r="Q33" s="13" t="s">
        <v>32</v>
      </c>
      <c r="R33" s="13" t="s">
        <v>38</v>
      </c>
      <c r="U33"/>
      <c r="AE33"/>
      <c r="AO33"/>
      <c r="AY33"/>
    </row>
    <row r="34" spans="1:56" ht="15" customHeight="1" thickBot="1" x14ac:dyDescent="0.3">
      <c r="A34" s="225"/>
      <c r="B34" s="227" t="s">
        <v>39</v>
      </c>
      <c r="C34" s="13" t="s">
        <v>37</v>
      </c>
      <c r="D34" s="13" t="str">
        <f>'Descision Matrix'!BJ39</f>
        <v>T</v>
      </c>
      <c r="E34" s="13" t="str">
        <f>'Descision Matrix'!BK39</f>
        <v>*</v>
      </c>
      <c r="F34" s="13" t="str">
        <f>'Descision Matrix'!BL39</f>
        <v>F</v>
      </c>
      <c r="G34" s="17"/>
      <c r="H34" s="205" t="s">
        <v>39</v>
      </c>
      <c r="I34" s="13" t="s">
        <v>37</v>
      </c>
      <c r="J34" s="13" t="str">
        <f>'Descision Matrix'!BP39</f>
        <v>*</v>
      </c>
      <c r="K34" s="13" t="str">
        <f>'Descision Matrix'!BQ39</f>
        <v>*</v>
      </c>
      <c r="L34" s="13" t="str">
        <f>'Descision Matrix'!BR39</f>
        <v>*</v>
      </c>
      <c r="M34" s="17"/>
      <c r="N34" s="207" t="s">
        <v>39</v>
      </c>
      <c r="O34" s="13" t="s">
        <v>37</v>
      </c>
      <c r="P34" s="13" t="str">
        <f>'Descision Matrix'!BV39</f>
        <v>*</v>
      </c>
      <c r="Q34" s="13" t="str">
        <f>'Descision Matrix'!BW39</f>
        <v>*</v>
      </c>
      <c r="R34" s="13" t="str">
        <f>'Descision Matrix'!BX39</f>
        <v>*</v>
      </c>
      <c r="U34"/>
      <c r="AE34"/>
      <c r="AO34"/>
      <c r="AY34"/>
    </row>
    <row r="35" spans="1:56" ht="15" customHeight="1" thickTop="1" thickBot="1" x14ac:dyDescent="0.3">
      <c r="A35" s="225"/>
      <c r="B35" s="227"/>
      <c r="C35" s="13" t="s">
        <v>32</v>
      </c>
      <c r="D35" s="13" t="str">
        <f>'Descision Matrix'!BJ40</f>
        <v>*</v>
      </c>
      <c r="E35" s="13" t="str">
        <f>'Descision Matrix'!BK40</f>
        <v>T</v>
      </c>
      <c r="F35" s="13" t="str">
        <f>'Descision Matrix'!BL40</f>
        <v>*</v>
      </c>
      <c r="G35" s="17"/>
      <c r="H35" s="205"/>
      <c r="I35" s="13" t="s">
        <v>32</v>
      </c>
      <c r="J35" s="13" t="str">
        <f>'Descision Matrix'!BP40</f>
        <v>*</v>
      </c>
      <c r="K35" s="13" t="str">
        <f>'Descision Matrix'!BQ40</f>
        <v>*</v>
      </c>
      <c r="L35" s="13" t="str">
        <f>'Descision Matrix'!BR40</f>
        <v>*</v>
      </c>
      <c r="M35" s="17"/>
      <c r="N35" s="207"/>
      <c r="O35" s="13" t="s">
        <v>32</v>
      </c>
      <c r="P35" s="13" t="str">
        <f>'Descision Matrix'!BV40</f>
        <v>*</v>
      </c>
      <c r="Q35" s="13" t="str">
        <f>'Descision Matrix'!BW40</f>
        <v>*</v>
      </c>
      <c r="R35" s="13" t="str">
        <f>'Descision Matrix'!BX40</f>
        <v>*</v>
      </c>
      <c r="U35"/>
      <c r="AE35"/>
      <c r="AO35"/>
      <c r="AY35"/>
    </row>
    <row r="36" spans="1:56" ht="15" customHeight="1" thickTop="1" thickBot="1" x14ac:dyDescent="0.3">
      <c r="A36" s="230"/>
      <c r="B36" s="228"/>
      <c r="C36" s="13" t="s">
        <v>38</v>
      </c>
      <c r="D36" s="13" t="str">
        <f>'Descision Matrix'!BJ41</f>
        <v>F</v>
      </c>
      <c r="E36" s="13" t="str">
        <f>'Descision Matrix'!BK41</f>
        <v>*</v>
      </c>
      <c r="F36" s="13" t="str">
        <f>'Descision Matrix'!BL41</f>
        <v>*</v>
      </c>
      <c r="G36" s="19"/>
      <c r="H36" s="206"/>
      <c r="I36" s="13" t="s">
        <v>38</v>
      </c>
      <c r="J36" s="13" t="str">
        <f>'Descision Matrix'!BP41</f>
        <v>*</v>
      </c>
      <c r="K36" s="13" t="str">
        <f>'Descision Matrix'!BQ41</f>
        <v>*</v>
      </c>
      <c r="L36" s="13" t="str">
        <f>'Descision Matrix'!BR41</f>
        <v>*</v>
      </c>
      <c r="M36" s="19"/>
      <c r="N36" s="208"/>
      <c r="O36" s="13" t="s">
        <v>38</v>
      </c>
      <c r="P36" s="13" t="str">
        <f>'Descision Matrix'!BV41</f>
        <v>*</v>
      </c>
      <c r="Q36" s="13" t="str">
        <f>'Descision Matrix'!BW41</f>
        <v>*</v>
      </c>
      <c r="R36" s="13" t="str">
        <f>'Descision Matrix'!BX41</f>
        <v>*</v>
      </c>
      <c r="U36"/>
      <c r="AE36"/>
      <c r="AO36"/>
      <c r="AY36"/>
    </row>
    <row r="37" spans="1:56" ht="15" customHeight="1" thickTop="1" thickBot="1" x14ac:dyDescent="0.3">
      <c r="A37" s="224" t="s">
        <v>58</v>
      </c>
      <c r="B37" s="20"/>
      <c r="C37" s="11"/>
      <c r="D37" s="220" t="s">
        <v>32</v>
      </c>
      <c r="E37" s="220"/>
      <c r="F37" s="220"/>
      <c r="G37" s="12"/>
      <c r="H37" s="11"/>
      <c r="I37" s="11"/>
      <c r="J37" s="220" t="s">
        <v>32</v>
      </c>
      <c r="K37" s="220"/>
      <c r="L37" s="220"/>
      <c r="M37" s="12"/>
      <c r="N37" s="11"/>
      <c r="O37" s="11"/>
      <c r="P37" s="220" t="s">
        <v>32</v>
      </c>
      <c r="Q37" s="220"/>
      <c r="R37" s="220"/>
      <c r="T37" s="24" t="s">
        <v>75</v>
      </c>
      <c r="U37" s="25"/>
      <c r="V37" s="26" t="str">
        <f>D39</f>
        <v>T</v>
      </c>
      <c r="W37" s="22" t="str">
        <f t="shared" ref="W37" si="117">E39</f>
        <v>*</v>
      </c>
      <c r="X37" s="23" t="str">
        <f t="shared" ref="X37" si="118">F39</f>
        <v>T</v>
      </c>
      <c r="Y37" s="22" t="str">
        <f>D40</f>
        <v>*</v>
      </c>
      <c r="Z37" s="22" t="str">
        <f t="shared" ref="Z37" si="119">E40</f>
        <v>T</v>
      </c>
      <c r="AA37" s="23" t="str">
        <f t="shared" ref="AA37" si="120">F40</f>
        <v>*</v>
      </c>
      <c r="AB37" s="22" t="str">
        <f>D41</f>
        <v>F</v>
      </c>
      <c r="AC37" s="22" t="str">
        <f t="shared" ref="AC37" si="121">E41</f>
        <v>*</v>
      </c>
      <c r="AD37" s="27" t="str">
        <f t="shared" ref="AD37" si="122">F41</f>
        <v>*</v>
      </c>
      <c r="AE37" s="25"/>
      <c r="AF37" s="26" t="str">
        <f>J39</f>
        <v>*</v>
      </c>
      <c r="AG37" s="22" t="str">
        <f t="shared" ref="AG37" si="123">K39</f>
        <v>*</v>
      </c>
      <c r="AH37" s="23" t="str">
        <f t="shared" ref="AH37" si="124">L39</f>
        <v>*</v>
      </c>
      <c r="AI37" s="22" t="str">
        <f>J40</f>
        <v>*</v>
      </c>
      <c r="AJ37" s="22" t="str">
        <f t="shared" ref="AJ37" si="125">K40</f>
        <v>*</v>
      </c>
      <c r="AK37" s="23" t="str">
        <f t="shared" ref="AK37" si="126">L40</f>
        <v>*</v>
      </c>
      <c r="AL37" s="22" t="str">
        <f>J41</f>
        <v>*</v>
      </c>
      <c r="AM37" s="22" t="str">
        <f t="shared" ref="AM37" si="127">K41</f>
        <v>*</v>
      </c>
      <c r="AN37" s="27" t="str">
        <f t="shared" ref="AN37" si="128">L41</f>
        <v>*</v>
      </c>
      <c r="AO37" s="25"/>
      <c r="AP37" s="26" t="str">
        <f>P39</f>
        <v>*</v>
      </c>
      <c r="AQ37" s="22" t="str">
        <f t="shared" ref="AQ37" si="129">Q39</f>
        <v>*</v>
      </c>
      <c r="AR37" s="23" t="str">
        <f t="shared" ref="AR37" si="130">R39</f>
        <v>*</v>
      </c>
      <c r="AS37" s="22" t="str">
        <f>P40</f>
        <v>*</v>
      </c>
      <c r="AT37" s="22" t="str">
        <f t="shared" ref="AT37" si="131">Q40</f>
        <v>*</v>
      </c>
      <c r="AU37" s="23" t="str">
        <f t="shared" ref="AU37" si="132">R40</f>
        <v>*</v>
      </c>
      <c r="AV37" s="22" t="str">
        <f>P41</f>
        <v>*</v>
      </c>
      <c r="AW37" s="22" t="str">
        <f t="shared" ref="AW37" si="133">Q41</f>
        <v>*</v>
      </c>
      <c r="AX37" s="27" t="str">
        <f t="shared" ref="AX37" si="134">R41</f>
        <v>*</v>
      </c>
      <c r="AY37" s="28"/>
      <c r="BA37" s="24" t="str">
        <f>T37</f>
        <v>Is Partitioned by</v>
      </c>
      <c r="BB37" s="29" t="str">
        <f>CONCATENATE(V37,W37,X37,Y37,Z37,AA37,AB37,AC37,AD37)</f>
        <v>T*T*T*F**</v>
      </c>
      <c r="BC37" s="30" t="str">
        <f>CONCATENATE(AF37,AG37,AH37,AI37,AJ37,AK37,AL37,AM37,AN37)</f>
        <v>*********</v>
      </c>
      <c r="BD37" s="31" t="str">
        <f>CONCATENATE(AP37,AQ37,AR37,AS37,AT37,AU37,AV37,AW37,AX37)</f>
        <v>*********</v>
      </c>
    </row>
    <row r="38" spans="1:56" ht="15" customHeight="1" thickTop="1" x14ac:dyDescent="0.25">
      <c r="A38" s="225"/>
      <c r="B38" s="21"/>
      <c r="C38" s="16" t="s">
        <v>36</v>
      </c>
      <c r="D38" s="13" t="s">
        <v>37</v>
      </c>
      <c r="E38" s="13" t="s">
        <v>32</v>
      </c>
      <c r="F38" s="13" t="s">
        <v>38</v>
      </c>
      <c r="G38" s="17"/>
      <c r="I38" s="16" t="s">
        <v>36</v>
      </c>
      <c r="J38" s="13" t="s">
        <v>37</v>
      </c>
      <c r="K38" s="13" t="s">
        <v>32</v>
      </c>
      <c r="L38" s="13" t="s">
        <v>38</v>
      </c>
      <c r="M38" s="17"/>
      <c r="O38" s="16" t="s">
        <v>36</v>
      </c>
      <c r="P38" s="13" t="s">
        <v>37</v>
      </c>
      <c r="Q38" s="13" t="s">
        <v>32</v>
      </c>
      <c r="R38" s="13" t="s">
        <v>38</v>
      </c>
      <c r="U38"/>
      <c r="AE38"/>
      <c r="AO38"/>
      <c r="AY38"/>
    </row>
    <row r="39" spans="1:56" ht="15" customHeight="1" thickBot="1" x14ac:dyDescent="0.3">
      <c r="A39" s="225"/>
      <c r="B39" s="227" t="s">
        <v>39</v>
      </c>
      <c r="C39" s="13" t="s">
        <v>37</v>
      </c>
      <c r="D39" s="13" t="str">
        <f>'Descision Matrix'!BJ45</f>
        <v>T</v>
      </c>
      <c r="E39" s="13" t="str">
        <f>'Descision Matrix'!BK45</f>
        <v>*</v>
      </c>
      <c r="F39" s="13" t="str">
        <f>'Descision Matrix'!BL45</f>
        <v>T</v>
      </c>
      <c r="G39" s="17"/>
      <c r="H39" s="205" t="s">
        <v>39</v>
      </c>
      <c r="I39" s="13" t="s">
        <v>37</v>
      </c>
      <c r="J39" s="13" t="str">
        <f>'Descision Matrix'!BP45</f>
        <v>*</v>
      </c>
      <c r="K39" s="13" t="str">
        <f>'Descision Matrix'!BQ45</f>
        <v>*</v>
      </c>
      <c r="L39" s="13" t="str">
        <f>'Descision Matrix'!BR45</f>
        <v>*</v>
      </c>
      <c r="M39" s="17"/>
      <c r="N39" s="207" t="s">
        <v>39</v>
      </c>
      <c r="O39" s="13" t="s">
        <v>37</v>
      </c>
      <c r="P39" s="13" t="str">
        <f>'Descision Matrix'!BV45</f>
        <v>*</v>
      </c>
      <c r="Q39" s="13" t="str">
        <f>'Descision Matrix'!BW45</f>
        <v>*</v>
      </c>
      <c r="R39" s="13" t="str">
        <f>'Descision Matrix'!BX45</f>
        <v>*</v>
      </c>
      <c r="U39"/>
      <c r="AE39"/>
      <c r="AO39"/>
      <c r="AY39"/>
    </row>
    <row r="40" spans="1:56" ht="15" customHeight="1" thickTop="1" thickBot="1" x14ac:dyDescent="0.3">
      <c r="A40" s="225"/>
      <c r="B40" s="227"/>
      <c r="C40" s="13" t="s">
        <v>32</v>
      </c>
      <c r="D40" s="13" t="str">
        <f>'Descision Matrix'!BJ46</f>
        <v>*</v>
      </c>
      <c r="E40" s="13" t="str">
        <f>'Descision Matrix'!BK46</f>
        <v>T</v>
      </c>
      <c r="F40" s="13" t="str">
        <f>'Descision Matrix'!BL46</f>
        <v>*</v>
      </c>
      <c r="G40" s="17"/>
      <c r="H40" s="205"/>
      <c r="I40" s="13" t="s">
        <v>32</v>
      </c>
      <c r="J40" s="13" t="str">
        <f>'Descision Matrix'!BP46</f>
        <v>*</v>
      </c>
      <c r="K40" s="13" t="str">
        <f>'Descision Matrix'!BQ46</f>
        <v>*</v>
      </c>
      <c r="L40" s="13" t="str">
        <f>'Descision Matrix'!BR46</f>
        <v>*</v>
      </c>
      <c r="M40" s="17"/>
      <c r="N40" s="207"/>
      <c r="O40" s="13" t="s">
        <v>32</v>
      </c>
      <c r="P40" s="13" t="str">
        <f>'Descision Matrix'!BV46</f>
        <v>*</v>
      </c>
      <c r="Q40" s="13" t="str">
        <f>'Descision Matrix'!BW46</f>
        <v>*</v>
      </c>
      <c r="R40" s="13" t="str">
        <f>'Descision Matrix'!BX46</f>
        <v>*</v>
      </c>
      <c r="U40"/>
      <c r="AE40"/>
      <c r="AO40"/>
      <c r="AY40"/>
    </row>
    <row r="41" spans="1:56" ht="15" customHeight="1" thickTop="1" thickBot="1" x14ac:dyDescent="0.3">
      <c r="A41" s="226"/>
      <c r="B41" s="228"/>
      <c r="C41" s="13" t="s">
        <v>38</v>
      </c>
      <c r="D41" s="13" t="str">
        <f>'Descision Matrix'!BJ47</f>
        <v>F</v>
      </c>
      <c r="E41" s="13" t="str">
        <f>'Descision Matrix'!BK47</f>
        <v>*</v>
      </c>
      <c r="F41" s="13" t="str">
        <f>'Descision Matrix'!BL47</f>
        <v>*</v>
      </c>
      <c r="G41" s="19"/>
      <c r="H41" s="206"/>
      <c r="I41" s="13" t="s">
        <v>38</v>
      </c>
      <c r="J41" s="13" t="str">
        <f>'Descision Matrix'!BP47</f>
        <v>*</v>
      </c>
      <c r="K41" s="13" t="str">
        <f>'Descision Matrix'!BQ47</f>
        <v>*</v>
      </c>
      <c r="L41" s="13" t="str">
        <f>'Descision Matrix'!BR47</f>
        <v>*</v>
      </c>
      <c r="M41" s="19"/>
      <c r="N41" s="208"/>
      <c r="O41" s="13" t="s">
        <v>38</v>
      </c>
      <c r="P41" s="13" t="str">
        <f>'Descision Matrix'!BV47</f>
        <v>*</v>
      </c>
      <c r="Q41" s="13" t="str">
        <f>'Descision Matrix'!BW47</f>
        <v>*</v>
      </c>
      <c r="R41" s="13" t="str">
        <f>'Descision Matrix'!BX47</f>
        <v>*</v>
      </c>
      <c r="U41"/>
      <c r="AE41"/>
      <c r="AO41"/>
      <c r="AY41"/>
    </row>
    <row r="42" spans="1:56" ht="15" customHeight="1" thickTop="1" thickBot="1" x14ac:dyDescent="0.3">
      <c r="A42" s="224" t="s">
        <v>53</v>
      </c>
      <c r="B42" s="20"/>
      <c r="C42" s="11"/>
      <c r="D42" s="220" t="s">
        <v>32</v>
      </c>
      <c r="E42" s="220"/>
      <c r="F42" s="220"/>
      <c r="G42" s="12"/>
      <c r="H42" s="11"/>
      <c r="I42" s="11"/>
      <c r="J42" s="220" t="s">
        <v>32</v>
      </c>
      <c r="K42" s="220"/>
      <c r="L42" s="220"/>
      <c r="M42" s="12"/>
      <c r="N42" s="11"/>
      <c r="O42" s="11"/>
      <c r="P42" s="220" t="s">
        <v>32</v>
      </c>
      <c r="Q42" s="220"/>
      <c r="R42" s="220"/>
      <c r="T42" s="24" t="s">
        <v>18</v>
      </c>
      <c r="U42" s="25"/>
      <c r="V42" s="26" t="str">
        <f>D44</f>
        <v>T</v>
      </c>
      <c r="W42" s="22" t="str">
        <f t="shared" ref="W42" si="135">E44</f>
        <v>*</v>
      </c>
      <c r="X42" s="23" t="str">
        <f t="shared" ref="X42" si="136">F44</f>
        <v>T</v>
      </c>
      <c r="Y42" s="22" t="str">
        <f>D45</f>
        <v>*</v>
      </c>
      <c r="Z42" s="22" t="str">
        <f t="shared" ref="Z42" si="137">E45</f>
        <v>*</v>
      </c>
      <c r="AA42" s="23" t="str">
        <f t="shared" ref="AA42" si="138">F45</f>
        <v>*</v>
      </c>
      <c r="AB42" s="22" t="str">
        <f>D46</f>
        <v>T</v>
      </c>
      <c r="AC42" s="22" t="str">
        <f t="shared" ref="AC42" si="139">E46</f>
        <v>*</v>
      </c>
      <c r="AD42" s="27" t="str">
        <f t="shared" ref="AD42" si="140">F46</f>
        <v>*</v>
      </c>
      <c r="AE42" s="25"/>
      <c r="AF42" s="26" t="str">
        <f>J44</f>
        <v>T</v>
      </c>
      <c r="AG42" s="22" t="str">
        <f t="shared" ref="AG42" si="141">K44</f>
        <v>*</v>
      </c>
      <c r="AH42" s="23" t="str">
        <f t="shared" ref="AH42" si="142">L44</f>
        <v>*</v>
      </c>
      <c r="AI42" s="22" t="str">
        <f>J45</f>
        <v>*</v>
      </c>
      <c r="AJ42" s="22" t="str">
        <f t="shared" ref="AJ42" si="143">K45</f>
        <v>*</v>
      </c>
      <c r="AK42" s="23" t="str">
        <f t="shared" ref="AK42" si="144">L45</f>
        <v>*</v>
      </c>
      <c r="AL42" s="22" t="str">
        <f>J46</f>
        <v>*</v>
      </c>
      <c r="AM42" s="22" t="str">
        <f t="shared" ref="AM42" si="145">K46</f>
        <v>*</v>
      </c>
      <c r="AN42" s="27" t="str">
        <f t="shared" ref="AN42" si="146">L46</f>
        <v>*</v>
      </c>
      <c r="AO42" s="25"/>
      <c r="AP42" s="26" t="str">
        <f>P44</f>
        <v>T</v>
      </c>
      <c r="AQ42" s="22" t="str">
        <f t="shared" ref="AQ42" si="147">Q44</f>
        <v>*</v>
      </c>
      <c r="AR42" s="23" t="str">
        <f t="shared" ref="AR42" si="148">R44</f>
        <v>*</v>
      </c>
      <c r="AS42" s="22" t="str">
        <f>P45</f>
        <v>*</v>
      </c>
      <c r="AT42" s="22" t="str">
        <f t="shared" ref="AT42" si="149">Q45</f>
        <v>*</v>
      </c>
      <c r="AU42" s="23" t="str">
        <f t="shared" ref="AU42" si="150">R45</f>
        <v>*</v>
      </c>
      <c r="AV42" s="22" t="str">
        <f>P46</f>
        <v>*</v>
      </c>
      <c r="AW42" s="22" t="str">
        <f t="shared" ref="AW42" si="151">Q46</f>
        <v>*</v>
      </c>
      <c r="AX42" s="27" t="str">
        <f t="shared" ref="AX42" si="152">R46</f>
        <v>*</v>
      </c>
      <c r="AY42" s="28"/>
      <c r="BA42" s="24" t="str">
        <f>T42</f>
        <v>Overlaps</v>
      </c>
      <c r="BB42" s="29" t="str">
        <f>CONCATENATE(V42,W42,X42,Y42,Z42,AA42,AB42,AC42,AD42)</f>
        <v>T*T***T**</v>
      </c>
      <c r="BC42" s="30" t="str">
        <f>CONCATENATE(AF42,AG42,AH42,AI42,AJ42,AK42,AL42,AM42,AN42)</f>
        <v>T********</v>
      </c>
      <c r="BD42" s="31" t="str">
        <f>CONCATENATE(AP42,AQ42,AR42,AS42,AT42,AU42,AV42,AW42,AX42)</f>
        <v>T********</v>
      </c>
    </row>
    <row r="43" spans="1:56" ht="15" customHeight="1" thickTop="1" x14ac:dyDescent="0.25">
      <c r="A43" s="225"/>
      <c r="B43" s="21"/>
      <c r="C43" s="16" t="s">
        <v>36</v>
      </c>
      <c r="D43" s="13" t="s">
        <v>37</v>
      </c>
      <c r="E43" s="13" t="s">
        <v>32</v>
      </c>
      <c r="F43" s="13" t="s">
        <v>38</v>
      </c>
      <c r="G43" s="17"/>
      <c r="I43" s="16" t="s">
        <v>36</v>
      </c>
      <c r="J43" s="13" t="s">
        <v>37</v>
      </c>
      <c r="K43" s="13" t="s">
        <v>32</v>
      </c>
      <c r="L43" s="13" t="s">
        <v>38</v>
      </c>
      <c r="M43" s="17"/>
      <c r="O43" s="16" t="s">
        <v>36</v>
      </c>
      <c r="P43" s="13" t="s">
        <v>37</v>
      </c>
      <c r="Q43" s="13" t="s">
        <v>32</v>
      </c>
      <c r="R43" s="13" t="s">
        <v>38</v>
      </c>
      <c r="U43"/>
      <c r="AE43"/>
      <c r="AO43"/>
      <c r="AY43"/>
    </row>
    <row r="44" spans="1:56" ht="15" customHeight="1" thickBot="1" x14ac:dyDescent="0.3">
      <c r="A44" s="225"/>
      <c r="B44" s="227" t="s">
        <v>39</v>
      </c>
      <c r="C44" s="13" t="s">
        <v>37</v>
      </c>
      <c r="D44" s="13" t="str">
        <f>'Descision Matrix'!X51</f>
        <v>T</v>
      </c>
      <c r="E44" s="13" t="str">
        <f>'Descision Matrix'!Y51</f>
        <v>*</v>
      </c>
      <c r="F44" s="13" t="str">
        <f>'Descision Matrix'!Z51</f>
        <v>T</v>
      </c>
      <c r="G44" s="17"/>
      <c r="H44" s="205" t="s">
        <v>39</v>
      </c>
      <c r="I44" s="13" t="s">
        <v>37</v>
      </c>
      <c r="J44" s="13" t="str">
        <f>'Descision Matrix'!AD51</f>
        <v>T</v>
      </c>
      <c r="K44" s="13" t="str">
        <f>'Descision Matrix'!AE51</f>
        <v>*</v>
      </c>
      <c r="L44" s="13" t="str">
        <f>'Descision Matrix'!AF51</f>
        <v>*</v>
      </c>
      <c r="M44" s="17"/>
      <c r="N44" s="207" t="s">
        <v>39</v>
      </c>
      <c r="O44" s="13" t="s">
        <v>37</v>
      </c>
      <c r="P44" s="13" t="str">
        <f>'Descision Matrix'!AJ51</f>
        <v>T</v>
      </c>
      <c r="Q44" s="13" t="str">
        <f>'Descision Matrix'!AK51</f>
        <v>*</v>
      </c>
      <c r="R44" s="13" t="str">
        <f>'Descision Matrix'!AL51</f>
        <v>*</v>
      </c>
      <c r="U44"/>
      <c r="AE44"/>
      <c r="AO44"/>
      <c r="AY44"/>
    </row>
    <row r="45" spans="1:56" ht="15" customHeight="1" thickTop="1" thickBot="1" x14ac:dyDescent="0.3">
      <c r="A45" s="225"/>
      <c r="B45" s="227"/>
      <c r="C45" s="13" t="s">
        <v>32</v>
      </c>
      <c r="D45" s="13" t="str">
        <f>'Descision Matrix'!X52</f>
        <v>*</v>
      </c>
      <c r="E45" s="13" t="str">
        <f>'Descision Matrix'!Y52</f>
        <v>*</v>
      </c>
      <c r="F45" s="13" t="str">
        <f>'Descision Matrix'!Z52</f>
        <v>*</v>
      </c>
      <c r="G45" s="17"/>
      <c r="H45" s="205"/>
      <c r="I45" s="13" t="s">
        <v>32</v>
      </c>
      <c r="J45" s="13" t="str">
        <f>'Descision Matrix'!AD52</f>
        <v>*</v>
      </c>
      <c r="K45" s="13" t="str">
        <f>'Descision Matrix'!AE52</f>
        <v>*</v>
      </c>
      <c r="L45" s="13" t="str">
        <f>'Descision Matrix'!AF52</f>
        <v>*</v>
      </c>
      <c r="M45" s="17"/>
      <c r="N45" s="207"/>
      <c r="O45" s="13" t="s">
        <v>32</v>
      </c>
      <c r="P45" s="13" t="str">
        <f>'Descision Matrix'!AJ52</f>
        <v>*</v>
      </c>
      <c r="Q45" s="13" t="str">
        <f>'Descision Matrix'!AK52</f>
        <v>*</v>
      </c>
      <c r="R45" s="13" t="str">
        <f>'Descision Matrix'!AL52</f>
        <v>*</v>
      </c>
      <c r="U45"/>
      <c r="AE45"/>
      <c r="AO45"/>
      <c r="AY45"/>
    </row>
    <row r="46" spans="1:56" ht="15" customHeight="1" thickTop="1" thickBot="1" x14ac:dyDescent="0.3">
      <c r="A46" s="226"/>
      <c r="B46" s="228"/>
      <c r="C46" s="13" t="s">
        <v>38</v>
      </c>
      <c r="D46" s="13" t="str">
        <f>'Descision Matrix'!X53</f>
        <v>T</v>
      </c>
      <c r="E46" s="13" t="str">
        <f>'Descision Matrix'!Y53</f>
        <v>*</v>
      </c>
      <c r="F46" s="13" t="str">
        <f>'Descision Matrix'!Z53</f>
        <v>*</v>
      </c>
      <c r="G46" s="19"/>
      <c r="H46" s="206"/>
      <c r="I46" s="13" t="s">
        <v>38</v>
      </c>
      <c r="J46" s="13" t="str">
        <f>'Descision Matrix'!AD53</f>
        <v>*</v>
      </c>
      <c r="K46" s="13" t="str">
        <f>'Descision Matrix'!AE53</f>
        <v>*</v>
      </c>
      <c r="L46" s="13" t="str">
        <f>'Descision Matrix'!AF53</f>
        <v>*</v>
      </c>
      <c r="M46" s="19"/>
      <c r="N46" s="208"/>
      <c r="O46" s="13" t="s">
        <v>38</v>
      </c>
      <c r="P46" s="13" t="str">
        <f>'Descision Matrix'!AJ53</f>
        <v>*</v>
      </c>
      <c r="Q46" s="13" t="str">
        <f>'Descision Matrix'!AK53</f>
        <v>*</v>
      </c>
      <c r="R46" s="13" t="str">
        <f>'Descision Matrix'!AL53</f>
        <v>*</v>
      </c>
      <c r="U46"/>
      <c r="AE46"/>
      <c r="AO46"/>
      <c r="AY46"/>
    </row>
    <row r="47" spans="1:56" ht="15" customHeight="1" thickTop="1" thickBot="1" x14ac:dyDescent="0.3">
      <c r="C47" s="14"/>
      <c r="D47" s="14"/>
      <c r="E47" s="14"/>
      <c r="F47" s="14"/>
      <c r="G47" s="14"/>
      <c r="H47" s="14"/>
      <c r="I47" s="14"/>
      <c r="J47" s="14"/>
      <c r="K47" s="14"/>
      <c r="L47" s="14"/>
      <c r="M47" s="14"/>
      <c r="N47" s="14"/>
      <c r="O47" s="14"/>
      <c r="P47" s="14"/>
      <c r="Q47" s="14"/>
      <c r="R47" s="14"/>
      <c r="U47" s="14"/>
      <c r="AE47" s="14"/>
      <c r="AO47" s="14"/>
      <c r="AY47" s="14"/>
    </row>
    <row r="48" spans="1:56" ht="21.75" thickTop="1" x14ac:dyDescent="0.35">
      <c r="A48" s="232" t="s">
        <v>81</v>
      </c>
      <c r="B48" s="232"/>
      <c r="C48" s="232"/>
      <c r="D48" s="232"/>
      <c r="E48" s="232"/>
      <c r="F48" s="232"/>
      <c r="G48" s="232"/>
      <c r="H48" s="232"/>
      <c r="I48" s="232"/>
      <c r="J48" s="232"/>
      <c r="K48" s="232"/>
      <c r="L48" s="232"/>
      <c r="M48" s="232"/>
      <c r="N48" s="232"/>
      <c r="O48" s="232"/>
      <c r="P48" s="232"/>
      <c r="Q48" s="232"/>
      <c r="R48" s="232"/>
      <c r="S48" s="232"/>
      <c r="T48" s="232"/>
      <c r="U48" s="232"/>
      <c r="V48" s="232"/>
      <c r="W48" s="232"/>
      <c r="X48" s="232"/>
      <c r="Y48" s="232"/>
      <c r="Z48" s="232"/>
      <c r="AA48" s="232"/>
      <c r="AB48" s="232"/>
      <c r="AC48" s="232"/>
      <c r="AD48" s="232"/>
      <c r="AE48" s="232"/>
      <c r="AF48" s="232"/>
      <c r="AG48" s="232"/>
      <c r="AH48" s="232"/>
      <c r="AI48" s="232"/>
      <c r="AJ48" s="232"/>
      <c r="AK48" s="232"/>
      <c r="AL48" s="232"/>
      <c r="AM48" s="232"/>
      <c r="AN48" s="232"/>
      <c r="AO48" s="232"/>
      <c r="AP48" s="232"/>
      <c r="AQ48" s="232"/>
      <c r="AR48" s="232"/>
      <c r="AS48" s="232"/>
      <c r="AT48" s="232"/>
      <c r="AU48" s="232"/>
      <c r="AV48" s="232"/>
      <c r="AW48" s="232"/>
      <c r="AX48" s="232"/>
      <c r="AY48" s="232"/>
      <c r="AZ48" s="232"/>
      <c r="BA48" s="232"/>
      <c r="BB48" s="232"/>
      <c r="BC48" s="232"/>
      <c r="BD48" s="232"/>
    </row>
    <row r="49" spans="1:56" ht="15" customHeight="1" thickBot="1" x14ac:dyDescent="0.3">
      <c r="B49" s="172" t="s">
        <v>59</v>
      </c>
      <c r="C49" s="172"/>
      <c r="D49" s="172"/>
      <c r="E49" s="172"/>
      <c r="F49" s="172"/>
      <c r="G49" s="51"/>
      <c r="H49" s="231" t="s">
        <v>60</v>
      </c>
      <c r="I49" s="231"/>
      <c r="J49" s="231"/>
      <c r="K49" s="231"/>
      <c r="L49" s="231"/>
      <c r="N49" s="172" t="s">
        <v>61</v>
      </c>
      <c r="O49" s="172"/>
      <c r="P49" s="172"/>
      <c r="Q49" s="172"/>
      <c r="R49" s="172"/>
      <c r="U49" s="14"/>
      <c r="AE49" s="14"/>
      <c r="AO49" s="14"/>
      <c r="AY49" s="14"/>
    </row>
    <row r="50" spans="1:56" ht="15" customHeight="1" thickTop="1" thickBot="1" x14ac:dyDescent="0.3">
      <c r="A50" s="224" t="s">
        <v>57</v>
      </c>
      <c r="B50" s="20"/>
      <c r="C50" s="11"/>
      <c r="D50" s="220" t="s">
        <v>32</v>
      </c>
      <c r="E50" s="220"/>
      <c r="F50" s="220"/>
      <c r="G50" s="12"/>
      <c r="H50" s="11"/>
      <c r="I50" s="11"/>
      <c r="J50" s="220" t="s">
        <v>32</v>
      </c>
      <c r="K50" s="220"/>
      <c r="L50" s="220"/>
      <c r="M50" s="12"/>
      <c r="N50" s="11"/>
      <c r="O50" s="11"/>
      <c r="P50" s="220" t="s">
        <v>32</v>
      </c>
      <c r="Q50" s="220"/>
      <c r="R50" s="220"/>
      <c r="T50" s="24" t="s">
        <v>57</v>
      </c>
      <c r="U50" s="25"/>
      <c r="V50" s="26" t="str">
        <f>D52</f>
        <v>F</v>
      </c>
      <c r="W50" s="22" t="str">
        <f t="shared" ref="W50" si="153">E52</f>
        <v>F</v>
      </c>
      <c r="X50" s="23" t="str">
        <f t="shared" ref="X50" si="154">F52</f>
        <v>*</v>
      </c>
      <c r="Y50" s="22" t="str">
        <f>D53</f>
        <v>F</v>
      </c>
      <c r="Z50" s="22" t="str">
        <f t="shared" ref="Z50" si="155">E53</f>
        <v>F</v>
      </c>
      <c r="AA50" s="23" t="str">
        <f t="shared" ref="AA50" si="156">F53</f>
        <v>*</v>
      </c>
      <c r="AB50" s="22" t="str">
        <f>D54</f>
        <v>*</v>
      </c>
      <c r="AC50" s="22" t="str">
        <f t="shared" ref="AC50" si="157">E54</f>
        <v>*</v>
      </c>
      <c r="AD50" s="27" t="str">
        <f t="shared" ref="AD50" si="158">F54</f>
        <v>*</v>
      </c>
      <c r="AE50" s="25"/>
      <c r="AF50" s="26" t="str">
        <f>J52</f>
        <v>F</v>
      </c>
      <c r="AG50" s="22" t="str">
        <f t="shared" ref="AG50" si="159">K52</f>
        <v>*</v>
      </c>
      <c r="AH50" s="23" t="str">
        <f t="shared" ref="AH50" si="160">L52</f>
        <v>T</v>
      </c>
      <c r="AI50" s="22" t="str">
        <f>J53</f>
        <v>*</v>
      </c>
      <c r="AJ50" s="22" t="str">
        <f t="shared" ref="AJ50" si="161">K53</f>
        <v>F</v>
      </c>
      <c r="AK50" s="23" t="str">
        <f t="shared" ref="AK50" si="162">L53</f>
        <v>*</v>
      </c>
      <c r="AL50" s="22" t="str">
        <f>J54</f>
        <v>T</v>
      </c>
      <c r="AM50" s="22" t="str">
        <f t="shared" ref="AM50" si="163">K54</f>
        <v>*</v>
      </c>
      <c r="AN50" s="27" t="str">
        <f t="shared" ref="AN50" si="164">L54</f>
        <v>*</v>
      </c>
      <c r="AO50" s="25"/>
      <c r="AP50" s="26" t="str">
        <f>P52</f>
        <v>*</v>
      </c>
      <c r="AQ50" s="22" t="str">
        <f t="shared" ref="AQ50" si="165">Q52</f>
        <v>*</v>
      </c>
      <c r="AR50" s="23" t="str">
        <f t="shared" ref="AR50" si="166">R52</f>
        <v>T</v>
      </c>
      <c r="AS50" s="22" t="str">
        <f>P53</f>
        <v>*</v>
      </c>
      <c r="AT50" s="22" t="str">
        <f t="shared" ref="AT50" si="167">Q53</f>
        <v>F</v>
      </c>
      <c r="AU50" s="23" t="str">
        <f t="shared" ref="AU50" si="168">R53</f>
        <v>*</v>
      </c>
      <c r="AV50" s="22" t="str">
        <f>P54</f>
        <v>T</v>
      </c>
      <c r="AW50" s="22" t="str">
        <f t="shared" ref="AW50" si="169">Q54</f>
        <v>*</v>
      </c>
      <c r="AX50" s="27" t="str">
        <f t="shared" ref="AX50" si="170">R54</f>
        <v>*</v>
      </c>
      <c r="AY50" s="28"/>
      <c r="BA50" s="24" t="s">
        <v>9</v>
      </c>
      <c r="BB50" s="29" t="str">
        <f>CONCATENATE(V50,W50,X50,Y50,Z50,AA50,AB50,AC50,AD50)</f>
        <v>FF*FF****</v>
      </c>
      <c r="BC50" s="30" t="str">
        <f>CONCATENATE(AF50,AG50,AH50,AI50,AJ50,AK50,AL50,AM50,AN50)</f>
        <v>F*T*F*T**</v>
      </c>
      <c r="BD50" s="31" t="str">
        <f>CONCATENATE(AP50,AQ50,AR50,AS50,AT50,AU50,AV50,AW50,AX50)</f>
        <v>**T*F*T**</v>
      </c>
    </row>
    <row r="51" spans="1:56" ht="15" customHeight="1" thickTop="1" thickBot="1" x14ac:dyDescent="0.3">
      <c r="A51" s="225"/>
      <c r="B51" s="21"/>
      <c r="C51" s="16" t="s">
        <v>36</v>
      </c>
      <c r="D51" s="13" t="s">
        <v>37</v>
      </c>
      <c r="E51" s="13" t="s">
        <v>32</v>
      </c>
      <c r="F51" s="13" t="s">
        <v>38</v>
      </c>
      <c r="G51" s="17"/>
      <c r="I51" s="16" t="s">
        <v>36</v>
      </c>
      <c r="J51" s="13" t="s">
        <v>37</v>
      </c>
      <c r="K51" s="13" t="s">
        <v>32</v>
      </c>
      <c r="L51" s="13" t="s">
        <v>38</v>
      </c>
      <c r="M51" s="17"/>
      <c r="O51" s="16" t="s">
        <v>36</v>
      </c>
      <c r="P51" s="13" t="s">
        <v>37</v>
      </c>
      <c r="Q51" s="13" t="s">
        <v>32</v>
      </c>
      <c r="R51" s="13" t="s">
        <v>38</v>
      </c>
      <c r="U51"/>
      <c r="AE51"/>
      <c r="AO51"/>
      <c r="AY51"/>
    </row>
    <row r="52" spans="1:56" ht="15" customHeight="1" thickTop="1" thickBot="1" x14ac:dyDescent="0.3">
      <c r="A52" s="225"/>
      <c r="B52" s="227" t="s">
        <v>39</v>
      </c>
      <c r="C52" s="13" t="s">
        <v>37</v>
      </c>
      <c r="D52" s="89" t="str">
        <f>D4</f>
        <v>F</v>
      </c>
      <c r="E52" s="89" t="str">
        <f>D5</f>
        <v>F</v>
      </c>
      <c r="F52" s="89" t="str">
        <f>D6</f>
        <v>*</v>
      </c>
      <c r="G52" s="17"/>
      <c r="H52" s="205" t="s">
        <v>39</v>
      </c>
      <c r="I52" s="13" t="s">
        <v>37</v>
      </c>
      <c r="J52" s="89" t="str">
        <f>J4</f>
        <v>F</v>
      </c>
      <c r="K52" s="89" t="str">
        <f>J5</f>
        <v>*</v>
      </c>
      <c r="L52" s="89" t="str">
        <f>J6</f>
        <v>T</v>
      </c>
      <c r="M52" s="17"/>
      <c r="N52" s="207" t="s">
        <v>39</v>
      </c>
      <c r="O52" s="13" t="s">
        <v>37</v>
      </c>
      <c r="P52" s="89" t="str">
        <f>P4</f>
        <v>*</v>
      </c>
      <c r="Q52" s="89" t="str">
        <f>P5</f>
        <v>*</v>
      </c>
      <c r="R52" s="89" t="str">
        <f>P6</f>
        <v>T</v>
      </c>
      <c r="U52"/>
      <c r="AE52"/>
      <c r="AO52"/>
      <c r="AY52"/>
    </row>
    <row r="53" spans="1:56" ht="15" customHeight="1" thickTop="1" thickBot="1" x14ac:dyDescent="0.3">
      <c r="A53" s="225"/>
      <c r="B53" s="227"/>
      <c r="C53" s="13" t="s">
        <v>32</v>
      </c>
      <c r="D53" s="91" t="str">
        <f>E4</f>
        <v>F</v>
      </c>
      <c r="E53" s="91" t="str">
        <f>E5</f>
        <v>F</v>
      </c>
      <c r="F53" s="91" t="str">
        <f>E6</f>
        <v>*</v>
      </c>
      <c r="G53" s="17"/>
      <c r="H53" s="205"/>
      <c r="I53" s="13" t="s">
        <v>32</v>
      </c>
      <c r="J53" s="91" t="str">
        <f>K4</f>
        <v>*</v>
      </c>
      <c r="K53" s="91" t="str">
        <f>K5</f>
        <v>F</v>
      </c>
      <c r="L53" s="91" t="str">
        <f>K6</f>
        <v>*</v>
      </c>
      <c r="M53" s="17"/>
      <c r="N53" s="207"/>
      <c r="O53" s="13" t="s">
        <v>32</v>
      </c>
      <c r="P53" s="91" t="str">
        <f>Q4</f>
        <v>*</v>
      </c>
      <c r="Q53" s="91" t="str">
        <f>Q5</f>
        <v>F</v>
      </c>
      <c r="R53" s="91" t="str">
        <f>Q6</f>
        <v>*</v>
      </c>
      <c r="U53"/>
      <c r="AE53"/>
      <c r="AO53"/>
      <c r="AY53"/>
    </row>
    <row r="54" spans="1:56" ht="15" customHeight="1" thickTop="1" thickBot="1" x14ac:dyDescent="0.3">
      <c r="A54" s="226"/>
      <c r="B54" s="228"/>
      <c r="C54" s="18" t="s">
        <v>38</v>
      </c>
      <c r="D54" s="93" t="str">
        <f>F4</f>
        <v>*</v>
      </c>
      <c r="E54" s="93" t="str">
        <f>F5</f>
        <v>*</v>
      </c>
      <c r="F54" s="93" t="str">
        <f>F6</f>
        <v>*</v>
      </c>
      <c r="G54" s="19"/>
      <c r="H54" s="206"/>
      <c r="I54" s="18" t="s">
        <v>38</v>
      </c>
      <c r="J54" s="93" t="str">
        <f>L4</f>
        <v>T</v>
      </c>
      <c r="K54" s="93" t="str">
        <f>L5</f>
        <v>*</v>
      </c>
      <c r="L54" s="93" t="str">
        <f>L6</f>
        <v>*</v>
      </c>
      <c r="M54" s="19"/>
      <c r="N54" s="208"/>
      <c r="O54" s="18" t="s">
        <v>38</v>
      </c>
      <c r="P54" s="93" t="str">
        <f>R4</f>
        <v>T</v>
      </c>
      <c r="Q54" s="93" t="str">
        <f>R5</f>
        <v>*</v>
      </c>
      <c r="R54" s="93" t="str">
        <f>R6</f>
        <v>*</v>
      </c>
      <c r="U54"/>
      <c r="AE54"/>
      <c r="AO54"/>
      <c r="AY54"/>
    </row>
    <row r="55" spans="1:56" ht="15" customHeight="1" thickTop="1" thickBot="1" x14ac:dyDescent="0.3">
      <c r="A55" s="224" t="s">
        <v>62</v>
      </c>
      <c r="B55" s="20"/>
      <c r="C55" s="11"/>
      <c r="D55" s="220" t="s">
        <v>32</v>
      </c>
      <c r="E55" s="220"/>
      <c r="F55" s="220"/>
      <c r="G55" s="12"/>
      <c r="H55" s="11"/>
      <c r="I55" s="11"/>
      <c r="J55" s="220" t="s">
        <v>32</v>
      </c>
      <c r="K55" s="220"/>
      <c r="L55" s="220"/>
      <c r="M55" s="12"/>
      <c r="N55" s="11"/>
      <c r="O55" s="11"/>
      <c r="P55" s="220" t="s">
        <v>32</v>
      </c>
      <c r="Q55" s="220"/>
      <c r="R55" s="220"/>
      <c r="T55" s="24" t="s">
        <v>62</v>
      </c>
      <c r="U55" s="25"/>
      <c r="V55" s="26" t="str">
        <f>D57</f>
        <v>F</v>
      </c>
      <c r="W55" s="22" t="str">
        <f t="shared" ref="W55" si="171">E57</f>
        <v>F</v>
      </c>
      <c r="X55" s="23" t="str">
        <f t="shared" ref="X55" si="172">F57</f>
        <v>*</v>
      </c>
      <c r="Y55" s="22" t="str">
        <f>D58</f>
        <v>F</v>
      </c>
      <c r="Z55" s="22" t="str">
        <f t="shared" ref="Z55" si="173">E58</f>
        <v>F</v>
      </c>
      <c r="AA55" s="23" t="str">
        <f t="shared" ref="AA55" si="174">F58</f>
        <v>*</v>
      </c>
      <c r="AB55" s="22" t="str">
        <f>D59</f>
        <v>*</v>
      </c>
      <c r="AC55" s="22" t="str">
        <f t="shared" ref="AC55" si="175">E59</f>
        <v>*</v>
      </c>
      <c r="AD55" s="27" t="str">
        <f t="shared" ref="AD55" si="176">F59</f>
        <v>*</v>
      </c>
      <c r="AE55" s="25"/>
      <c r="AF55" s="26" t="str">
        <f>J57</f>
        <v>F</v>
      </c>
      <c r="AG55" s="22" t="str">
        <f t="shared" ref="AG55" si="177">K57</f>
        <v>*</v>
      </c>
      <c r="AH55" s="23" t="str">
        <f t="shared" ref="AH55" si="178">L57</f>
        <v>T</v>
      </c>
      <c r="AI55" s="22" t="str">
        <f>J58</f>
        <v>*</v>
      </c>
      <c r="AJ55" s="22" t="str">
        <f t="shared" ref="AJ55" si="179">K58</f>
        <v>F</v>
      </c>
      <c r="AK55" s="23" t="str">
        <f t="shared" ref="AK55" si="180">L58</f>
        <v>*</v>
      </c>
      <c r="AL55" s="22" t="str">
        <f>J59</f>
        <v>T</v>
      </c>
      <c r="AM55" s="22" t="str">
        <f t="shared" ref="AM55" si="181">K59</f>
        <v>*</v>
      </c>
      <c r="AN55" s="27" t="str">
        <f t="shared" ref="AN55" si="182">L59</f>
        <v>*</v>
      </c>
      <c r="AO55" s="25"/>
      <c r="AP55" s="26" t="str">
        <f>P57</f>
        <v>T</v>
      </c>
      <c r="AQ55" s="22" t="str">
        <f t="shared" ref="AQ55" si="183">Q57</f>
        <v>*</v>
      </c>
      <c r="AR55" s="23" t="str">
        <f t="shared" ref="AR55" si="184">R57</f>
        <v>F</v>
      </c>
      <c r="AS55" s="22" t="str">
        <f>P58</f>
        <v>*</v>
      </c>
      <c r="AT55" s="22" t="str">
        <f t="shared" ref="AT55" si="185">Q58</f>
        <v>F</v>
      </c>
      <c r="AU55" s="23" t="str">
        <f t="shared" ref="AU55" si="186">R58</f>
        <v>*</v>
      </c>
      <c r="AV55" s="22" t="str">
        <f>P59</f>
        <v>T</v>
      </c>
      <c r="AW55" s="22" t="str">
        <f t="shared" ref="AW55" si="187">Q59</f>
        <v>*</v>
      </c>
      <c r="AX55" s="27" t="str">
        <f t="shared" ref="AX55" si="188">R59</f>
        <v>*</v>
      </c>
      <c r="AY55" s="28"/>
      <c r="BA55" s="24" t="s">
        <v>6</v>
      </c>
      <c r="BB55" s="29" t="str">
        <f>CONCATENATE(V55,W55,X55,Y55,Z55,AA55,AB55,AC55,AD55)</f>
        <v>FF*FF****</v>
      </c>
      <c r="BC55" s="30" t="str">
        <f>CONCATENATE(AF55,AG55,AH55,AI55,AJ55,AK55,AL55,AM55,AN55)</f>
        <v>F*T*F*T**</v>
      </c>
      <c r="BD55" s="31" t="str">
        <f>CONCATENATE(AP55,AQ55,AR55,AS55,AT55,AU55,AV55,AW55,AX55)</f>
        <v>T*F*F*T**</v>
      </c>
    </row>
    <row r="56" spans="1:56" ht="15" customHeight="1" thickTop="1" thickBot="1" x14ac:dyDescent="0.3">
      <c r="A56" s="225"/>
      <c r="B56" s="21"/>
      <c r="C56" s="16" t="s">
        <v>36</v>
      </c>
      <c r="D56" s="13" t="s">
        <v>37</v>
      </c>
      <c r="E56" s="13" t="s">
        <v>32</v>
      </c>
      <c r="F56" s="13" t="s">
        <v>38</v>
      </c>
      <c r="G56" s="17"/>
      <c r="I56" s="16" t="s">
        <v>36</v>
      </c>
      <c r="J56" s="13" t="s">
        <v>37</v>
      </c>
      <c r="K56" s="13" t="s">
        <v>32</v>
      </c>
      <c r="L56" s="13" t="s">
        <v>38</v>
      </c>
      <c r="M56" s="17"/>
      <c r="O56" s="16" t="s">
        <v>36</v>
      </c>
      <c r="P56" s="13" t="s">
        <v>37</v>
      </c>
      <c r="Q56" s="13" t="s">
        <v>32</v>
      </c>
      <c r="R56" s="13" t="s">
        <v>38</v>
      </c>
      <c r="U56"/>
      <c r="AE56"/>
      <c r="AO56"/>
      <c r="AY56"/>
    </row>
    <row r="57" spans="1:56" ht="15" customHeight="1" thickTop="1" thickBot="1" x14ac:dyDescent="0.3">
      <c r="A57" s="225"/>
      <c r="B57" s="227" t="s">
        <v>39</v>
      </c>
      <c r="C57" s="13" t="s">
        <v>37</v>
      </c>
      <c r="D57" s="89" t="str">
        <f>D9</f>
        <v>F</v>
      </c>
      <c r="E57" s="89" t="str">
        <f>D10</f>
        <v>F</v>
      </c>
      <c r="F57" s="89" t="str">
        <f>D11</f>
        <v>*</v>
      </c>
      <c r="G57" s="17"/>
      <c r="H57" s="205" t="s">
        <v>39</v>
      </c>
      <c r="I57" s="13" t="s">
        <v>37</v>
      </c>
      <c r="J57" s="89" t="str">
        <f>J9</f>
        <v>F</v>
      </c>
      <c r="K57" s="89" t="str">
        <f>J10</f>
        <v>*</v>
      </c>
      <c r="L57" s="89" t="str">
        <f>J11</f>
        <v>T</v>
      </c>
      <c r="M57" s="17"/>
      <c r="N57" s="207" t="s">
        <v>39</v>
      </c>
      <c r="O57" s="13" t="s">
        <v>37</v>
      </c>
      <c r="P57" s="89" t="str">
        <f>P9</f>
        <v>T</v>
      </c>
      <c r="Q57" s="89" t="str">
        <f>P10</f>
        <v>*</v>
      </c>
      <c r="R57" s="89" t="str">
        <f>P11</f>
        <v>F</v>
      </c>
      <c r="U57"/>
      <c r="AE57"/>
      <c r="AO57"/>
      <c r="AY57"/>
    </row>
    <row r="58" spans="1:56" ht="15" customHeight="1" thickTop="1" thickBot="1" x14ac:dyDescent="0.3">
      <c r="A58" s="225"/>
      <c r="B58" s="227"/>
      <c r="C58" s="13" t="s">
        <v>32</v>
      </c>
      <c r="D58" s="91" t="str">
        <f>E9</f>
        <v>F</v>
      </c>
      <c r="E58" s="91" t="str">
        <f>E10</f>
        <v>F</v>
      </c>
      <c r="F58" s="91" t="str">
        <f>E11</f>
        <v>*</v>
      </c>
      <c r="G58" s="17"/>
      <c r="H58" s="205"/>
      <c r="I58" s="13" t="s">
        <v>32</v>
      </c>
      <c r="J58" s="91" t="str">
        <f>K9</f>
        <v>*</v>
      </c>
      <c r="K58" s="91" t="str">
        <f>K10</f>
        <v>F</v>
      </c>
      <c r="L58" s="91" t="str">
        <f>K11</f>
        <v>*</v>
      </c>
      <c r="M58" s="17"/>
      <c r="N58" s="207"/>
      <c r="O58" s="13" t="s">
        <v>32</v>
      </c>
      <c r="P58" s="91" t="str">
        <f>Q9</f>
        <v>*</v>
      </c>
      <c r="Q58" s="91" t="str">
        <f>Q10</f>
        <v>F</v>
      </c>
      <c r="R58" s="91" t="str">
        <f>Q11</f>
        <v>*</v>
      </c>
      <c r="U58"/>
      <c r="AE58"/>
      <c r="AO58"/>
      <c r="AY58"/>
    </row>
    <row r="59" spans="1:56" ht="15" customHeight="1" thickTop="1" thickBot="1" x14ac:dyDescent="0.3">
      <c r="A59" s="226"/>
      <c r="B59" s="228"/>
      <c r="C59" s="13" t="s">
        <v>38</v>
      </c>
      <c r="D59" s="93" t="str">
        <f>F9</f>
        <v>*</v>
      </c>
      <c r="E59" s="93" t="str">
        <f>F10</f>
        <v>*</v>
      </c>
      <c r="F59" s="93" t="str">
        <f>F11</f>
        <v>*</v>
      </c>
      <c r="G59" s="19"/>
      <c r="H59" s="206"/>
      <c r="I59" s="13" t="s">
        <v>38</v>
      </c>
      <c r="J59" s="93" t="str">
        <f>L9</f>
        <v>T</v>
      </c>
      <c r="K59" s="93" t="str">
        <f>L10</f>
        <v>*</v>
      </c>
      <c r="L59" s="93" t="str">
        <f>L11</f>
        <v>*</v>
      </c>
      <c r="M59" s="19"/>
      <c r="N59" s="208"/>
      <c r="O59" s="13" t="s">
        <v>38</v>
      </c>
      <c r="P59" s="93" t="str">
        <f>R9</f>
        <v>T</v>
      </c>
      <c r="Q59" s="93" t="str">
        <f>R10</f>
        <v>*</v>
      </c>
      <c r="R59" s="93" t="str">
        <f>R11</f>
        <v>*</v>
      </c>
      <c r="U59"/>
      <c r="AE59"/>
      <c r="AO59"/>
      <c r="AY59"/>
    </row>
    <row r="60" spans="1:56" ht="15" customHeight="1" thickTop="1" thickBot="1" x14ac:dyDescent="0.3">
      <c r="A60" s="224" t="s">
        <v>63</v>
      </c>
      <c r="B60" s="20"/>
      <c r="C60" s="11"/>
      <c r="D60" s="220" t="s">
        <v>32</v>
      </c>
      <c r="E60" s="220"/>
      <c r="F60" s="220"/>
      <c r="G60" s="12"/>
      <c r="H60" s="11"/>
      <c r="I60" s="11"/>
      <c r="J60" s="220" t="s">
        <v>32</v>
      </c>
      <c r="K60" s="220"/>
      <c r="L60" s="220"/>
      <c r="M60" s="12"/>
      <c r="N60" s="11"/>
      <c r="O60" s="11"/>
      <c r="P60" s="220" t="s">
        <v>32</v>
      </c>
      <c r="Q60" s="220"/>
      <c r="R60" s="220"/>
      <c r="T60" s="24" t="s">
        <v>63</v>
      </c>
      <c r="U60" s="25"/>
      <c r="V60" s="26" t="str">
        <f>D62</f>
        <v>F</v>
      </c>
      <c r="W60" s="22" t="str">
        <f t="shared" ref="W60" si="189">E62</f>
        <v>F</v>
      </c>
      <c r="X60" s="23" t="str">
        <f t="shared" ref="X60" si="190">F62</f>
        <v>*</v>
      </c>
      <c r="Y60" s="22" t="str">
        <f>D63</f>
        <v>F</v>
      </c>
      <c r="Z60" s="22" t="str">
        <f t="shared" ref="Z60" si="191">E63</f>
        <v>F</v>
      </c>
      <c r="AA60" s="23" t="str">
        <f t="shared" ref="AA60" si="192">F63</f>
        <v>*</v>
      </c>
      <c r="AB60" s="22" t="str">
        <f>D64</f>
        <v>*</v>
      </c>
      <c r="AC60" s="22" t="str">
        <f t="shared" ref="AC60" si="193">E64</f>
        <v>*</v>
      </c>
      <c r="AD60" s="27" t="str">
        <f t="shared" ref="AD60" si="194">F64</f>
        <v>*</v>
      </c>
      <c r="AE60" s="25"/>
      <c r="AF60" s="26" t="str">
        <f>J62</f>
        <v>T</v>
      </c>
      <c r="AG60" s="22" t="str">
        <f t="shared" ref="AG60" si="195">K62</f>
        <v>*</v>
      </c>
      <c r="AH60" s="23" t="str">
        <f t="shared" ref="AH60" si="196">L62</f>
        <v>F</v>
      </c>
      <c r="AI60" s="22" t="str">
        <f>J63</f>
        <v>*</v>
      </c>
      <c r="AJ60" s="22" t="str">
        <f t="shared" ref="AJ60" si="197">K63</f>
        <v>F</v>
      </c>
      <c r="AK60" s="23" t="str">
        <f t="shared" ref="AK60" si="198">L63</f>
        <v>*</v>
      </c>
      <c r="AL60" s="22" t="str">
        <f>J64</f>
        <v>T</v>
      </c>
      <c r="AM60" s="22" t="str">
        <f t="shared" ref="AM60" si="199">K64</f>
        <v>*</v>
      </c>
      <c r="AN60" s="27" t="str">
        <f t="shared" ref="AN60" si="200">L64</f>
        <v>*</v>
      </c>
      <c r="AO60" s="25"/>
      <c r="AP60" s="26" t="str">
        <f>P62</f>
        <v>*</v>
      </c>
      <c r="AQ60" s="22" t="str">
        <f t="shared" ref="AQ60" si="201">Q62</f>
        <v>*</v>
      </c>
      <c r="AR60" s="23" t="str">
        <f t="shared" ref="AR60" si="202">R62</f>
        <v>*</v>
      </c>
      <c r="AS60" s="22" t="str">
        <f>P63</f>
        <v>*</v>
      </c>
      <c r="AT60" s="22" t="str">
        <f t="shared" ref="AT60" si="203">Q63</f>
        <v>*</v>
      </c>
      <c r="AU60" s="23" t="str">
        <f t="shared" ref="AU60" si="204">R63</f>
        <v>*</v>
      </c>
      <c r="AV60" s="22" t="str">
        <f>P64</f>
        <v>*</v>
      </c>
      <c r="AW60" s="22" t="str">
        <f t="shared" ref="AW60" si="205">Q64</f>
        <v>*</v>
      </c>
      <c r="AX60" s="27" t="str">
        <f t="shared" ref="AX60" si="206">R64</f>
        <v>*</v>
      </c>
      <c r="AY60" s="28"/>
      <c r="BA60" s="24" t="s">
        <v>1</v>
      </c>
      <c r="BB60" s="29" t="str">
        <f>CONCATENATE(V60,W60,X60,Y60,Z60,AA60,AB60,AC60,AD60)</f>
        <v>FF*FF****</v>
      </c>
      <c r="BC60" s="30" t="str">
        <f>CONCATENATE(AF60,AG60,AH60,AI60,AJ60,AK60,AL60,AM60,AN60)</f>
        <v>T*F*F*T**</v>
      </c>
      <c r="BD60" s="31" t="str">
        <f>CONCATENATE(AP60,AQ60,AR60,AS60,AT60,AU60,AV60,AW60,AX60)</f>
        <v>*********</v>
      </c>
    </row>
    <row r="61" spans="1:56" ht="15" customHeight="1" thickTop="1" thickBot="1" x14ac:dyDescent="0.3">
      <c r="A61" s="225"/>
      <c r="B61" s="21"/>
      <c r="C61" s="16" t="s">
        <v>36</v>
      </c>
      <c r="D61" s="13" t="s">
        <v>37</v>
      </c>
      <c r="E61" s="13" t="s">
        <v>32</v>
      </c>
      <c r="F61" s="13" t="s">
        <v>38</v>
      </c>
      <c r="G61" s="17"/>
      <c r="I61" s="16" t="s">
        <v>36</v>
      </c>
      <c r="J61" s="13" t="s">
        <v>37</v>
      </c>
      <c r="K61" s="13" t="s">
        <v>32</v>
      </c>
      <c r="L61" s="13" t="s">
        <v>38</v>
      </c>
      <c r="M61" s="17"/>
      <c r="O61" s="16" t="s">
        <v>36</v>
      </c>
      <c r="P61" s="13" t="s">
        <v>37</v>
      </c>
      <c r="Q61" s="13" t="s">
        <v>32</v>
      </c>
      <c r="R61" s="13" t="s">
        <v>38</v>
      </c>
      <c r="U61"/>
      <c r="AE61"/>
      <c r="AO61"/>
      <c r="AY61"/>
    </row>
    <row r="62" spans="1:56" ht="15" customHeight="1" thickTop="1" thickBot="1" x14ac:dyDescent="0.3">
      <c r="A62" s="225"/>
      <c r="B62" s="227" t="s">
        <v>39</v>
      </c>
      <c r="C62" s="13" t="s">
        <v>37</v>
      </c>
      <c r="D62" s="89" t="str">
        <f>D14</f>
        <v>F</v>
      </c>
      <c r="E62" s="89" t="str">
        <f>D15</f>
        <v>F</v>
      </c>
      <c r="F62" s="89" t="str">
        <f>D16</f>
        <v>*</v>
      </c>
      <c r="G62" s="17"/>
      <c r="H62" s="205" t="s">
        <v>39</v>
      </c>
      <c r="I62" s="13" t="s">
        <v>37</v>
      </c>
      <c r="J62" s="89" t="str">
        <f>J14</f>
        <v>T</v>
      </c>
      <c r="K62" s="89" t="str">
        <f>J15</f>
        <v>*</v>
      </c>
      <c r="L62" s="89" t="str">
        <f>J16</f>
        <v>F</v>
      </c>
      <c r="M62" s="17"/>
      <c r="N62" s="207" t="s">
        <v>39</v>
      </c>
      <c r="O62" s="13" t="s">
        <v>37</v>
      </c>
      <c r="P62" s="89" t="str">
        <f>P14</f>
        <v>*</v>
      </c>
      <c r="Q62" s="89" t="str">
        <f>P15</f>
        <v>*</v>
      </c>
      <c r="R62" s="89" t="str">
        <f>P16</f>
        <v>*</v>
      </c>
      <c r="U62"/>
      <c r="AE62"/>
      <c r="AO62"/>
      <c r="AY62"/>
    </row>
    <row r="63" spans="1:56" ht="15" customHeight="1" thickTop="1" thickBot="1" x14ac:dyDescent="0.3">
      <c r="A63" s="225"/>
      <c r="B63" s="227"/>
      <c r="C63" s="13" t="s">
        <v>32</v>
      </c>
      <c r="D63" s="91" t="str">
        <f>E14</f>
        <v>F</v>
      </c>
      <c r="E63" s="91" t="str">
        <f>E15</f>
        <v>F</v>
      </c>
      <c r="F63" s="91" t="str">
        <f>E16</f>
        <v>*</v>
      </c>
      <c r="G63" s="17"/>
      <c r="H63" s="205"/>
      <c r="I63" s="13" t="s">
        <v>32</v>
      </c>
      <c r="J63" s="91" t="str">
        <f>K14</f>
        <v>*</v>
      </c>
      <c r="K63" s="91" t="str">
        <f>K15</f>
        <v>F</v>
      </c>
      <c r="L63" s="91" t="str">
        <f>K16</f>
        <v>*</v>
      </c>
      <c r="M63" s="17"/>
      <c r="N63" s="207"/>
      <c r="O63" s="13" t="s">
        <v>32</v>
      </c>
      <c r="P63" s="91" t="str">
        <f>Q14</f>
        <v>*</v>
      </c>
      <c r="Q63" s="91" t="str">
        <f>Q15</f>
        <v>*</v>
      </c>
      <c r="R63" s="91" t="str">
        <f>Q16</f>
        <v>*</v>
      </c>
      <c r="U63"/>
      <c r="AE63"/>
      <c r="AO63"/>
      <c r="AY63"/>
    </row>
    <row r="64" spans="1:56" ht="15" customHeight="1" thickTop="1" thickBot="1" x14ac:dyDescent="0.3">
      <c r="A64" s="226"/>
      <c r="B64" s="228"/>
      <c r="C64" s="13" t="s">
        <v>38</v>
      </c>
      <c r="D64" s="93" t="str">
        <f>F14</f>
        <v>*</v>
      </c>
      <c r="E64" s="93" t="str">
        <f>F15</f>
        <v>*</v>
      </c>
      <c r="F64" s="93" t="str">
        <f>F16</f>
        <v>*</v>
      </c>
      <c r="G64" s="19"/>
      <c r="H64" s="206"/>
      <c r="I64" s="13" t="s">
        <v>38</v>
      </c>
      <c r="J64" s="93" t="str">
        <f>L14</f>
        <v>T</v>
      </c>
      <c r="K64" s="93" t="str">
        <f>L15</f>
        <v>*</v>
      </c>
      <c r="L64" s="93" t="str">
        <f>L16</f>
        <v>*</v>
      </c>
      <c r="M64" s="19"/>
      <c r="N64" s="208"/>
      <c r="O64" s="13" t="s">
        <v>38</v>
      </c>
      <c r="P64" s="93" t="str">
        <f>R14</f>
        <v>*</v>
      </c>
      <c r="Q64" s="93" t="str">
        <f>R15</f>
        <v>*</v>
      </c>
      <c r="R64" s="93" t="str">
        <f>R16</f>
        <v>*</v>
      </c>
      <c r="U64"/>
      <c r="AE64"/>
      <c r="AO64"/>
      <c r="AY64"/>
    </row>
    <row r="65" spans="1:56" ht="15" customHeight="1" thickTop="1" thickBot="1" x14ac:dyDescent="0.3">
      <c r="A65" s="224" t="s">
        <v>46</v>
      </c>
      <c r="B65" s="20"/>
      <c r="C65" s="11"/>
      <c r="D65" s="220" t="s">
        <v>32</v>
      </c>
      <c r="E65" s="220"/>
      <c r="F65" s="220"/>
      <c r="G65" s="12"/>
      <c r="H65" s="11"/>
      <c r="I65" s="11"/>
      <c r="J65" s="220" t="s">
        <v>32</v>
      </c>
      <c r="K65" s="220"/>
      <c r="L65" s="220"/>
      <c r="M65" s="12"/>
      <c r="N65" s="11"/>
      <c r="O65" s="11"/>
      <c r="P65" s="220" t="s">
        <v>32</v>
      </c>
      <c r="Q65" s="220"/>
      <c r="R65" s="220"/>
      <c r="T65" s="24" t="s">
        <v>46</v>
      </c>
      <c r="U65" s="25"/>
      <c r="V65" s="26" t="str">
        <f>D67</f>
        <v>F</v>
      </c>
      <c r="W65" s="22" t="str">
        <f t="shared" ref="W65" si="207">E67</f>
        <v>*</v>
      </c>
      <c r="X65" s="23" t="str">
        <f t="shared" ref="X65" si="208">F67</f>
        <v>*</v>
      </c>
      <c r="Y65" s="22" t="str">
        <f>D68</f>
        <v>*</v>
      </c>
      <c r="Z65" s="22" t="str">
        <f t="shared" ref="Z65" si="209">E68</f>
        <v>T</v>
      </c>
      <c r="AA65" s="23" t="str">
        <f t="shared" ref="AA65" si="210">F68</f>
        <v>*</v>
      </c>
      <c r="AB65" s="22" t="str">
        <f>D69</f>
        <v>*</v>
      </c>
      <c r="AC65" s="22" t="str">
        <f t="shared" ref="AC65" si="211">E69</f>
        <v>*</v>
      </c>
      <c r="AD65" s="27" t="str">
        <f t="shared" ref="AD65" si="212">F69</f>
        <v>*</v>
      </c>
      <c r="AE65" s="25"/>
      <c r="AF65" s="26" t="str">
        <f>J67</f>
        <v>F</v>
      </c>
      <c r="AG65" s="22" t="str">
        <f t="shared" ref="AG65" si="213">K67</f>
        <v>*</v>
      </c>
      <c r="AH65" s="23" t="str">
        <f>L67</f>
        <v>T</v>
      </c>
      <c r="AI65" s="22" t="str">
        <f>J68</f>
        <v>*</v>
      </c>
      <c r="AJ65" s="22" t="str">
        <f t="shared" ref="AJ65" si="214">K68</f>
        <v>*</v>
      </c>
      <c r="AK65" s="23" t="str">
        <f t="shared" ref="AK65" si="215">L68</f>
        <v>*</v>
      </c>
      <c r="AL65" s="22" t="str">
        <f>J69</f>
        <v>T</v>
      </c>
      <c r="AM65" s="22" t="str">
        <f t="shared" ref="AM65" si="216">K69</f>
        <v>*</v>
      </c>
      <c r="AN65" s="27" t="str">
        <f t="shared" ref="AN65" si="217">L69</f>
        <v>*</v>
      </c>
      <c r="AO65" s="25"/>
      <c r="AP65" s="26" t="str">
        <f>P67</f>
        <v>*</v>
      </c>
      <c r="AQ65" s="22" t="str">
        <f t="shared" ref="AQ65" si="218">Q67</f>
        <v>*</v>
      </c>
      <c r="AR65" s="23" t="str">
        <f t="shared" ref="AR65" si="219">R67</f>
        <v>*</v>
      </c>
      <c r="AS65" s="22" t="str">
        <f>P68</f>
        <v>*</v>
      </c>
      <c r="AT65" s="22" t="str">
        <f t="shared" ref="AT65" si="220">Q68</f>
        <v>*</v>
      </c>
      <c r="AU65" s="23" t="str">
        <f t="shared" ref="AU65" si="221">R68</f>
        <v>*</v>
      </c>
      <c r="AV65" s="22" t="str">
        <f>P69</f>
        <v>*</v>
      </c>
      <c r="AW65" s="22" t="str">
        <f t="shared" ref="AW65" si="222">Q69</f>
        <v>*</v>
      </c>
      <c r="AX65" s="27" t="str">
        <f t="shared" ref="AX65" si="223">R69</f>
        <v>*</v>
      </c>
      <c r="AY65" s="28"/>
      <c r="BA65" s="24" t="s">
        <v>13</v>
      </c>
      <c r="BB65" s="29" t="str">
        <f>CONCATENATE(V65,W65,X65,Y65,Z65,AA65,AB65,AC65,AD65)</f>
        <v>F***T****</v>
      </c>
      <c r="BC65" s="30" t="str">
        <f>CONCATENATE(AF65,AG65,AH65,AI65,AJ65,AK65,AL65,AM65,AN65)</f>
        <v>F*T***T**</v>
      </c>
      <c r="BD65" s="31" t="str">
        <f>CONCATENATE(AP65,AQ65,AR65,AS65,AT65,AU65,AV65,AW65,AX65)</f>
        <v>*********</v>
      </c>
    </row>
    <row r="66" spans="1:56" ht="15" customHeight="1" thickTop="1" thickBot="1" x14ac:dyDescent="0.3">
      <c r="A66" s="225"/>
      <c r="B66" s="21"/>
      <c r="C66" s="16" t="s">
        <v>36</v>
      </c>
      <c r="D66" s="13" t="s">
        <v>37</v>
      </c>
      <c r="E66" s="13" t="s">
        <v>32</v>
      </c>
      <c r="F66" s="13" t="s">
        <v>38</v>
      </c>
      <c r="G66" s="17"/>
      <c r="I66" s="16" t="s">
        <v>36</v>
      </c>
      <c r="J66" s="13" t="s">
        <v>37</v>
      </c>
      <c r="K66" s="13" t="s">
        <v>32</v>
      </c>
      <c r="L66" s="13" t="s">
        <v>38</v>
      </c>
      <c r="M66" s="17"/>
      <c r="O66" s="16" t="s">
        <v>36</v>
      </c>
      <c r="P66" s="13" t="s">
        <v>37</v>
      </c>
      <c r="Q66" s="13" t="s">
        <v>32</v>
      </c>
      <c r="R66" s="13" t="s">
        <v>38</v>
      </c>
      <c r="U66"/>
      <c r="AE66"/>
      <c r="AO66"/>
      <c r="AY66"/>
    </row>
    <row r="67" spans="1:56" ht="15" customHeight="1" thickTop="1" thickBot="1" x14ac:dyDescent="0.3">
      <c r="A67" s="225"/>
      <c r="B67" s="227" t="s">
        <v>39</v>
      </c>
      <c r="C67" s="13" t="s">
        <v>37</v>
      </c>
      <c r="D67" s="89" t="str">
        <f>D19</f>
        <v>F</v>
      </c>
      <c r="E67" s="89" t="str">
        <f>D20</f>
        <v>*</v>
      </c>
      <c r="F67" s="89" t="str">
        <f>D21</f>
        <v>*</v>
      </c>
      <c r="G67" s="17"/>
      <c r="H67" s="205" t="s">
        <v>39</v>
      </c>
      <c r="I67" s="13" t="s">
        <v>37</v>
      </c>
      <c r="J67" s="89" t="str">
        <f>J19</f>
        <v>F</v>
      </c>
      <c r="K67" s="89" t="str">
        <f>J20</f>
        <v>*</v>
      </c>
      <c r="L67" s="89" t="str">
        <f>J21</f>
        <v>T</v>
      </c>
      <c r="M67" s="17"/>
      <c r="N67" s="207" t="s">
        <v>39</v>
      </c>
      <c r="O67" s="13" t="s">
        <v>37</v>
      </c>
      <c r="P67" s="89" t="str">
        <f>P19</f>
        <v>*</v>
      </c>
      <c r="Q67" s="89" t="str">
        <f>P20</f>
        <v>*</v>
      </c>
      <c r="R67" s="89" t="str">
        <f>P21</f>
        <v>*</v>
      </c>
      <c r="U67"/>
      <c r="AE67"/>
      <c r="AO67"/>
      <c r="AY67"/>
    </row>
    <row r="68" spans="1:56" ht="15" customHeight="1" thickTop="1" thickBot="1" x14ac:dyDescent="0.3">
      <c r="A68" s="225"/>
      <c r="B68" s="227"/>
      <c r="C68" s="13" t="s">
        <v>32</v>
      </c>
      <c r="D68" s="91" t="str">
        <f>E19</f>
        <v>*</v>
      </c>
      <c r="E68" s="91" t="str">
        <f>E20</f>
        <v>T</v>
      </c>
      <c r="F68" s="91" t="str">
        <f>E21</f>
        <v>*</v>
      </c>
      <c r="G68" s="17"/>
      <c r="H68" s="205"/>
      <c r="I68" s="13" t="s">
        <v>32</v>
      </c>
      <c r="J68" s="91" t="str">
        <f>K19</f>
        <v>*</v>
      </c>
      <c r="K68" s="91" t="str">
        <f>K20</f>
        <v>*</v>
      </c>
      <c r="L68" s="91" t="str">
        <f>K21</f>
        <v>*</v>
      </c>
      <c r="M68" s="17"/>
      <c r="N68" s="207"/>
      <c r="O68" s="13" t="s">
        <v>32</v>
      </c>
      <c r="P68" s="91" t="str">
        <f>Q19</f>
        <v>*</v>
      </c>
      <c r="Q68" s="91" t="str">
        <f>Q20</f>
        <v>*</v>
      </c>
      <c r="R68" s="91" t="str">
        <f>Q21</f>
        <v>*</v>
      </c>
      <c r="U68"/>
      <c r="AE68"/>
      <c r="AO68"/>
      <c r="AY68"/>
    </row>
    <row r="69" spans="1:56" ht="15" customHeight="1" thickTop="1" thickBot="1" x14ac:dyDescent="0.3">
      <c r="A69" s="226"/>
      <c r="B69" s="228"/>
      <c r="C69" s="13" t="s">
        <v>38</v>
      </c>
      <c r="D69" s="93" t="str">
        <f>F19</f>
        <v>*</v>
      </c>
      <c r="E69" s="93" t="str">
        <f>F20</f>
        <v>*</v>
      </c>
      <c r="F69" s="93" t="str">
        <f>F21</f>
        <v>*</v>
      </c>
      <c r="G69" s="19"/>
      <c r="H69" s="206"/>
      <c r="I69" s="13" t="s">
        <v>38</v>
      </c>
      <c r="J69" s="93" t="str">
        <f>L19</f>
        <v>T</v>
      </c>
      <c r="K69" s="93" t="str">
        <f>L20</f>
        <v>*</v>
      </c>
      <c r="L69" s="93" t="str">
        <f>L21</f>
        <v>*</v>
      </c>
      <c r="M69" s="19"/>
      <c r="N69" s="208"/>
      <c r="O69" s="13" t="s">
        <v>38</v>
      </c>
      <c r="P69" s="93" t="str">
        <f>R19</f>
        <v>*</v>
      </c>
      <c r="Q69" s="93" t="str">
        <f>R20</f>
        <v>*</v>
      </c>
      <c r="R69" s="93" t="str">
        <f>R21</f>
        <v>*</v>
      </c>
      <c r="U69"/>
      <c r="AE69"/>
      <c r="AO69"/>
      <c r="AY69"/>
    </row>
    <row r="70" spans="1:56" ht="15" customHeight="1" thickTop="1" thickBot="1" x14ac:dyDescent="0.3">
      <c r="A70" s="224" t="s">
        <v>64</v>
      </c>
      <c r="B70" s="20"/>
      <c r="C70" s="11"/>
      <c r="D70" s="220" t="s">
        <v>32</v>
      </c>
      <c r="E70" s="220"/>
      <c r="F70" s="220"/>
      <c r="G70" s="12"/>
      <c r="H70" s="11"/>
      <c r="I70" s="11"/>
      <c r="J70" s="220" t="s">
        <v>32</v>
      </c>
      <c r="K70" s="220"/>
      <c r="L70" s="220"/>
      <c r="M70" s="12"/>
      <c r="N70" s="11"/>
      <c r="O70" s="11"/>
      <c r="P70" s="220" t="s">
        <v>32</v>
      </c>
      <c r="Q70" s="220"/>
      <c r="R70" s="220"/>
      <c r="T70" s="24" t="s">
        <v>64</v>
      </c>
      <c r="U70" s="25"/>
      <c r="V70" s="26" t="str">
        <f>D72</f>
        <v>F</v>
      </c>
      <c r="W70" s="22" t="str">
        <f t="shared" ref="W70" si="224">E72</f>
        <v>*</v>
      </c>
      <c r="X70" s="23" t="str">
        <f t="shared" ref="X70" si="225">F72</f>
        <v>*</v>
      </c>
      <c r="Y70" s="22" t="str">
        <f>D73</f>
        <v>*</v>
      </c>
      <c r="Z70" s="22" t="str">
        <f t="shared" ref="Z70" si="226">E73</f>
        <v>T</v>
      </c>
      <c r="AA70" s="23" t="str">
        <f t="shared" ref="AA70" si="227">F73</f>
        <v>*</v>
      </c>
      <c r="AB70" s="22" t="str">
        <f>D74</f>
        <v>*</v>
      </c>
      <c r="AC70" s="22" t="str">
        <f t="shared" ref="AC70" si="228">E74</f>
        <v>*</v>
      </c>
      <c r="AD70" s="27" t="str">
        <f t="shared" ref="AD70" si="229">F74</f>
        <v>*</v>
      </c>
      <c r="AE70" s="25"/>
      <c r="AF70" s="26" t="str">
        <f>J72</f>
        <v>T</v>
      </c>
      <c r="AG70" s="22" t="str">
        <f t="shared" ref="AG70" si="230">K72</f>
        <v>*</v>
      </c>
      <c r="AH70" s="23" t="str">
        <f t="shared" ref="AH70" si="231">L72</f>
        <v>F</v>
      </c>
      <c r="AI70" s="22" t="str">
        <f>J73</f>
        <v>*</v>
      </c>
      <c r="AJ70" s="22" t="str">
        <f t="shared" ref="AJ70" si="232">K73</f>
        <v>*</v>
      </c>
      <c r="AK70" s="23" t="str">
        <f t="shared" ref="AK70" si="233">L73</f>
        <v>*</v>
      </c>
      <c r="AL70" s="22" t="str">
        <f>J74</f>
        <v>T</v>
      </c>
      <c r="AM70" s="22" t="str">
        <f t="shared" ref="AM70" si="234">K74</f>
        <v>*</v>
      </c>
      <c r="AN70" s="27" t="str">
        <f t="shared" ref="AN70" si="235">L74</f>
        <v>*</v>
      </c>
      <c r="AO70" s="25"/>
      <c r="AP70" s="26" t="str">
        <f>P72</f>
        <v>*</v>
      </c>
      <c r="AQ70" s="22" t="str">
        <f t="shared" ref="AQ70" si="236">Q72</f>
        <v>*</v>
      </c>
      <c r="AR70" s="23" t="str">
        <f t="shared" ref="AR70" si="237">R72</f>
        <v>*</v>
      </c>
      <c r="AS70" s="22" t="str">
        <f>P73</f>
        <v>*</v>
      </c>
      <c r="AT70" s="22" t="str">
        <f t="shared" ref="AT70" si="238">Q73</f>
        <v>*</v>
      </c>
      <c r="AU70" s="23" t="str">
        <f t="shared" ref="AU70" si="239">R73</f>
        <v>*</v>
      </c>
      <c r="AV70" s="22" t="str">
        <f>P74</f>
        <v>*</v>
      </c>
      <c r="AW70" s="22" t="str">
        <f t="shared" ref="AW70" si="240">Q74</f>
        <v>*</v>
      </c>
      <c r="AX70" s="27" t="str">
        <f t="shared" ref="AX70" si="241">R74</f>
        <v>*</v>
      </c>
      <c r="AY70" s="28"/>
      <c r="BA70" s="24" t="s">
        <v>16</v>
      </c>
      <c r="BB70" s="29" t="str">
        <f>CONCATENATE(V70,W70,X70,Y70,Z70,AA70,AB70,AC70,AD70)</f>
        <v>F***T****</v>
      </c>
      <c r="BC70" s="30" t="str">
        <f>CONCATENATE(AF70,AG70,AH70,AI70,AJ70,AK70,AL70,AM70,AN70)</f>
        <v>T*F***T**</v>
      </c>
      <c r="BD70" s="31" t="str">
        <f>CONCATENATE(AP70,AQ70,AR70,AS70,AT70,AU70,AV70,AW70,AX70)</f>
        <v>*********</v>
      </c>
    </row>
    <row r="71" spans="1:56" ht="15" customHeight="1" thickTop="1" thickBot="1" x14ac:dyDescent="0.3">
      <c r="A71" s="225"/>
      <c r="B71" s="21"/>
      <c r="C71" s="16" t="s">
        <v>36</v>
      </c>
      <c r="D71" s="13" t="s">
        <v>37</v>
      </c>
      <c r="E71" s="13" t="s">
        <v>32</v>
      </c>
      <c r="F71" s="13" t="s">
        <v>38</v>
      </c>
      <c r="G71" s="17"/>
      <c r="I71" s="16" t="s">
        <v>36</v>
      </c>
      <c r="J71" s="13" t="s">
        <v>37</v>
      </c>
      <c r="K71" s="13" t="s">
        <v>32</v>
      </c>
      <c r="L71" s="13" t="s">
        <v>38</v>
      </c>
      <c r="M71" s="17"/>
      <c r="O71" s="16" t="s">
        <v>36</v>
      </c>
      <c r="P71" s="13" t="s">
        <v>37</v>
      </c>
      <c r="Q71" s="13" t="s">
        <v>32</v>
      </c>
      <c r="R71" s="13" t="s">
        <v>38</v>
      </c>
      <c r="U71"/>
      <c r="AE71"/>
      <c r="AO71"/>
      <c r="AY71"/>
    </row>
    <row r="72" spans="1:56" ht="15" customHeight="1" thickTop="1" thickBot="1" x14ac:dyDescent="0.3">
      <c r="A72" s="225"/>
      <c r="B72" s="227" t="s">
        <v>39</v>
      </c>
      <c r="C72" s="13" t="s">
        <v>37</v>
      </c>
      <c r="D72" s="89" t="str">
        <f>D24</f>
        <v>F</v>
      </c>
      <c r="E72" s="89" t="str">
        <f>D25</f>
        <v>*</v>
      </c>
      <c r="F72" s="89" t="str">
        <f>D26</f>
        <v>*</v>
      </c>
      <c r="G72" s="17"/>
      <c r="H72" s="205" t="s">
        <v>39</v>
      </c>
      <c r="I72" s="13" t="s">
        <v>37</v>
      </c>
      <c r="J72" s="89" t="str">
        <f>J24</f>
        <v>T</v>
      </c>
      <c r="K72" s="89" t="str">
        <f>J25</f>
        <v>*</v>
      </c>
      <c r="L72" s="89" t="str">
        <f>J26</f>
        <v>F</v>
      </c>
      <c r="M72" s="17"/>
      <c r="N72" s="207" t="s">
        <v>39</v>
      </c>
      <c r="O72" s="13" t="s">
        <v>37</v>
      </c>
      <c r="P72" s="89" t="str">
        <f>P24</f>
        <v>*</v>
      </c>
      <c r="Q72" s="89" t="str">
        <f>P25</f>
        <v>*</v>
      </c>
      <c r="R72" s="89" t="str">
        <f>P26</f>
        <v>*</v>
      </c>
      <c r="U72"/>
      <c r="AE72"/>
      <c r="AO72"/>
      <c r="AY72"/>
    </row>
    <row r="73" spans="1:56" ht="15" customHeight="1" thickTop="1" thickBot="1" x14ac:dyDescent="0.3">
      <c r="A73" s="225"/>
      <c r="B73" s="227"/>
      <c r="C73" s="13" t="s">
        <v>32</v>
      </c>
      <c r="D73" s="91" t="str">
        <f>E24</f>
        <v>*</v>
      </c>
      <c r="E73" s="91" t="str">
        <f>E25</f>
        <v>T</v>
      </c>
      <c r="F73" s="91" t="str">
        <f>E26</f>
        <v>*</v>
      </c>
      <c r="G73" s="17"/>
      <c r="H73" s="205"/>
      <c r="I73" s="13" t="s">
        <v>32</v>
      </c>
      <c r="J73" s="91" t="str">
        <f>K24</f>
        <v>*</v>
      </c>
      <c r="K73" s="91" t="str">
        <f>K25</f>
        <v>*</v>
      </c>
      <c r="L73" s="91" t="str">
        <f>K26</f>
        <v>*</v>
      </c>
      <c r="M73" s="17"/>
      <c r="N73" s="207"/>
      <c r="O73" s="13" t="s">
        <v>32</v>
      </c>
      <c r="P73" s="91" t="str">
        <f>Q24</f>
        <v>*</v>
      </c>
      <c r="Q73" s="91" t="str">
        <f>Q25</f>
        <v>*</v>
      </c>
      <c r="R73" s="91" t="str">
        <f>Q26</f>
        <v>*</v>
      </c>
      <c r="U73"/>
      <c r="AE73"/>
      <c r="AO73"/>
      <c r="AY73"/>
    </row>
    <row r="74" spans="1:56" ht="15" customHeight="1" thickTop="1" thickBot="1" x14ac:dyDescent="0.3">
      <c r="A74" s="226"/>
      <c r="B74" s="228"/>
      <c r="C74" s="13" t="s">
        <v>38</v>
      </c>
      <c r="D74" s="93" t="str">
        <f>F24</f>
        <v>*</v>
      </c>
      <c r="E74" s="93" t="str">
        <f>F25</f>
        <v>*</v>
      </c>
      <c r="F74" s="93" t="str">
        <f>F26</f>
        <v>*</v>
      </c>
      <c r="G74" s="19"/>
      <c r="H74" s="206"/>
      <c r="I74" s="13" t="s">
        <v>38</v>
      </c>
      <c r="J74" s="93" t="str">
        <f>L24</f>
        <v>T</v>
      </c>
      <c r="K74" s="93" t="str">
        <f>L25</f>
        <v>*</v>
      </c>
      <c r="L74" s="93" t="str">
        <f>L26</f>
        <v>*</v>
      </c>
      <c r="M74" s="19"/>
      <c r="N74" s="208"/>
      <c r="O74" s="13" t="s">
        <v>38</v>
      </c>
      <c r="P74" s="93" t="str">
        <f>R24</f>
        <v>*</v>
      </c>
      <c r="Q74" s="93" t="str">
        <f>R25</f>
        <v>*</v>
      </c>
      <c r="R74" s="93" t="str">
        <f>R26</f>
        <v>*</v>
      </c>
      <c r="U74"/>
      <c r="AE74"/>
      <c r="AO74"/>
      <c r="AY74"/>
    </row>
    <row r="75" spans="1:56" ht="15" customHeight="1" thickTop="1" thickBot="1" x14ac:dyDescent="0.3">
      <c r="A75" s="224" t="s">
        <v>65</v>
      </c>
      <c r="B75" s="20"/>
      <c r="C75" s="11"/>
      <c r="D75" s="220" t="s">
        <v>32</v>
      </c>
      <c r="E75" s="220"/>
      <c r="F75" s="220"/>
      <c r="G75" s="12"/>
      <c r="H75" s="11"/>
      <c r="I75" s="11"/>
      <c r="J75" s="220" t="s">
        <v>32</v>
      </c>
      <c r="K75" s="220"/>
      <c r="L75" s="220"/>
      <c r="M75" s="12"/>
      <c r="N75" s="11"/>
      <c r="O75" s="11"/>
      <c r="P75" s="220" t="s">
        <v>32</v>
      </c>
      <c r="Q75" s="220"/>
      <c r="R75" s="220"/>
      <c r="T75" s="24" t="s">
        <v>65</v>
      </c>
      <c r="U75" s="25"/>
      <c r="V75" s="26" t="str">
        <f>D77</f>
        <v>T</v>
      </c>
      <c r="W75" s="22" t="str">
        <f t="shared" ref="W75" si="242">E77</f>
        <v>F</v>
      </c>
      <c r="X75" s="23" t="str">
        <f t="shared" ref="X75" si="243">F77</f>
        <v>F</v>
      </c>
      <c r="Y75" s="22" t="str">
        <f>D78</f>
        <v>T</v>
      </c>
      <c r="Z75" s="22" t="str">
        <f t="shared" ref="Z75" si="244">E78</f>
        <v>F</v>
      </c>
      <c r="AA75" s="23" t="str">
        <f t="shared" ref="AA75" si="245">F78</f>
        <v>*</v>
      </c>
      <c r="AB75" s="22" t="str">
        <f>D79</f>
        <v>T</v>
      </c>
      <c r="AC75" s="22" t="str">
        <f t="shared" ref="AC75" si="246">E79</f>
        <v>*</v>
      </c>
      <c r="AD75" s="27" t="str">
        <f t="shared" ref="AD75" si="247">F79</f>
        <v>*</v>
      </c>
      <c r="AE75" s="25"/>
      <c r="AF75" s="26" t="str">
        <f>J77</f>
        <v>T</v>
      </c>
      <c r="AG75" s="22" t="str">
        <f t="shared" ref="AG75" si="248">K77</f>
        <v>*</v>
      </c>
      <c r="AH75" s="23" t="str">
        <f t="shared" ref="AH75" si="249">L77</f>
        <v>*</v>
      </c>
      <c r="AI75" s="22" t="str">
        <f>J78</f>
        <v>*</v>
      </c>
      <c r="AJ75" s="22" t="str">
        <f t="shared" ref="AJ75" si="250">K78</f>
        <v>*</v>
      </c>
      <c r="AK75" s="23" t="str">
        <f t="shared" ref="AK75" si="251">L78</f>
        <v>*</v>
      </c>
      <c r="AL75" s="22" t="str">
        <f>J79</f>
        <v>*</v>
      </c>
      <c r="AM75" s="22" t="str">
        <f t="shared" ref="AM75" si="252">K79</f>
        <v>*</v>
      </c>
      <c r="AN75" s="27" t="str">
        <f t="shared" ref="AN75" si="253">L79</f>
        <v>*</v>
      </c>
      <c r="AO75" s="25"/>
      <c r="AP75" s="26" t="str">
        <f>P77</f>
        <v>T</v>
      </c>
      <c r="AQ75" s="22" t="str">
        <f t="shared" ref="AQ75" si="254">Q77</f>
        <v>*</v>
      </c>
      <c r="AR75" s="23" t="str">
        <f t="shared" ref="AR75" si="255">R77</f>
        <v>*</v>
      </c>
      <c r="AS75" s="22" t="str">
        <f>P78</f>
        <v>*</v>
      </c>
      <c r="AT75" s="22" t="str">
        <f t="shared" ref="AT75" si="256">Q78</f>
        <v>*</v>
      </c>
      <c r="AU75" s="23" t="str">
        <f t="shared" ref="AU75" si="257">R78</f>
        <v>*</v>
      </c>
      <c r="AV75" s="22" t="str">
        <f>P79</f>
        <v>*</v>
      </c>
      <c r="AW75" s="22" t="str">
        <f t="shared" ref="AW75" si="258">Q79</f>
        <v>*</v>
      </c>
      <c r="AX75" s="27" t="str">
        <f t="shared" ref="AX75" si="259">R79</f>
        <v>*</v>
      </c>
      <c r="AY75" s="28"/>
      <c r="BA75" s="24" t="s">
        <v>25</v>
      </c>
      <c r="BB75" s="29" t="str">
        <f>CONCATENATE(V75,W75,X75,Y75,Z75,AA75,AB75,AC75,AD75)</f>
        <v>TFFTF*T**</v>
      </c>
      <c r="BC75" s="30" t="str">
        <f>CONCATENATE(AF75,AG75,AH75,AI75,AJ75,AK75,AL75,AM75,AN75)</f>
        <v>T********</v>
      </c>
      <c r="BD75" s="31" t="str">
        <f>CONCATENATE(AP75,AQ75,AR75,AS75,AT75,AU75,AV75,AW75,AX75)</f>
        <v>T********</v>
      </c>
    </row>
    <row r="76" spans="1:56" ht="15" customHeight="1" thickTop="1" thickBot="1" x14ac:dyDescent="0.3">
      <c r="A76" s="225"/>
      <c r="B76" s="21"/>
      <c r="C76" s="16" t="s">
        <v>36</v>
      </c>
      <c r="D76" s="13" t="s">
        <v>37</v>
      </c>
      <c r="E76" s="13" t="s">
        <v>32</v>
      </c>
      <c r="F76" s="13" t="s">
        <v>38</v>
      </c>
      <c r="G76" s="17"/>
      <c r="I76" s="16" t="s">
        <v>36</v>
      </c>
      <c r="J76" s="13" t="s">
        <v>37</v>
      </c>
      <c r="K76" s="13" t="s">
        <v>32</v>
      </c>
      <c r="L76" s="13" t="s">
        <v>38</v>
      </c>
      <c r="M76" s="17"/>
      <c r="O76" s="16" t="s">
        <v>36</v>
      </c>
      <c r="P76" s="13" t="s">
        <v>37</v>
      </c>
      <c r="Q76" s="13" t="s">
        <v>32</v>
      </c>
      <c r="R76" s="13" t="s">
        <v>38</v>
      </c>
      <c r="U76"/>
      <c r="AE76"/>
      <c r="AO76"/>
      <c r="AY76"/>
    </row>
    <row r="77" spans="1:56" ht="15" customHeight="1" thickTop="1" thickBot="1" x14ac:dyDescent="0.3">
      <c r="A77" s="225"/>
      <c r="B77" s="227" t="s">
        <v>39</v>
      </c>
      <c r="C77" s="13" t="s">
        <v>37</v>
      </c>
      <c r="D77" s="89" t="str">
        <f>D29</f>
        <v>T</v>
      </c>
      <c r="E77" s="89" t="str">
        <f>D30</f>
        <v>F</v>
      </c>
      <c r="F77" s="89" t="str">
        <f>D31</f>
        <v>F</v>
      </c>
      <c r="G77" s="17"/>
      <c r="H77" s="205" t="s">
        <v>39</v>
      </c>
      <c r="I77" s="13" t="s">
        <v>37</v>
      </c>
      <c r="J77" s="89" t="str">
        <f>J29</f>
        <v>T</v>
      </c>
      <c r="K77" s="89" t="str">
        <f>J30</f>
        <v>*</v>
      </c>
      <c r="L77" s="89" t="str">
        <f>J31</f>
        <v>*</v>
      </c>
      <c r="M77" s="17"/>
      <c r="N77" s="207" t="s">
        <v>39</v>
      </c>
      <c r="O77" s="13" t="s">
        <v>37</v>
      </c>
      <c r="P77" s="89" t="str">
        <f>P29</f>
        <v>T</v>
      </c>
      <c r="Q77" s="89" t="str">
        <f>P30</f>
        <v>*</v>
      </c>
      <c r="R77" s="89" t="str">
        <f>P31</f>
        <v>*</v>
      </c>
      <c r="U77"/>
      <c r="AE77"/>
      <c r="AO77"/>
      <c r="AY77"/>
    </row>
    <row r="78" spans="1:56" ht="15" customHeight="1" thickTop="1" thickBot="1" x14ac:dyDescent="0.3">
      <c r="A78" s="225"/>
      <c r="B78" s="227"/>
      <c r="C78" s="13" t="s">
        <v>32</v>
      </c>
      <c r="D78" s="91" t="str">
        <f>E29</f>
        <v>T</v>
      </c>
      <c r="E78" s="91" t="str">
        <f>E30</f>
        <v>F</v>
      </c>
      <c r="F78" s="91" t="str">
        <f>E31</f>
        <v>*</v>
      </c>
      <c r="G78" s="17"/>
      <c r="H78" s="205"/>
      <c r="I78" s="13" t="s">
        <v>32</v>
      </c>
      <c r="J78" s="91" t="str">
        <f>K29</f>
        <v>*</v>
      </c>
      <c r="K78" s="91" t="str">
        <f>K30</f>
        <v>*</v>
      </c>
      <c r="L78" s="91" t="str">
        <f>K31</f>
        <v>*</v>
      </c>
      <c r="M78" s="17"/>
      <c r="N78" s="207"/>
      <c r="O78" s="13" t="s">
        <v>32</v>
      </c>
      <c r="P78" s="91" t="str">
        <f>Q29</f>
        <v>*</v>
      </c>
      <c r="Q78" s="91" t="str">
        <f>Q30</f>
        <v>*</v>
      </c>
      <c r="R78" s="91" t="str">
        <f>Q31</f>
        <v>*</v>
      </c>
      <c r="U78"/>
      <c r="AE78"/>
      <c r="AO78"/>
      <c r="AY78"/>
    </row>
    <row r="79" spans="1:56" ht="15" customHeight="1" thickTop="1" thickBot="1" x14ac:dyDescent="0.3">
      <c r="A79" s="226"/>
      <c r="B79" s="228"/>
      <c r="C79" s="13" t="s">
        <v>38</v>
      </c>
      <c r="D79" s="93" t="str">
        <f>F29</f>
        <v>T</v>
      </c>
      <c r="E79" s="93" t="str">
        <f>F30</f>
        <v>*</v>
      </c>
      <c r="F79" s="93" t="str">
        <f>F31</f>
        <v>*</v>
      </c>
      <c r="G79" s="19"/>
      <c r="H79" s="206"/>
      <c r="I79" s="13" t="s">
        <v>38</v>
      </c>
      <c r="J79" s="93" t="str">
        <f>L29</f>
        <v>*</v>
      </c>
      <c r="K79" s="93" t="str">
        <f>L30</f>
        <v>*</v>
      </c>
      <c r="L79" s="93" t="str">
        <f>L31</f>
        <v>*</v>
      </c>
      <c r="M79" s="19"/>
      <c r="N79" s="208"/>
      <c r="O79" s="13" t="s">
        <v>38</v>
      </c>
      <c r="P79" s="93" t="str">
        <f>R29</f>
        <v>*</v>
      </c>
      <c r="Q79" s="93" t="str">
        <f>R30</f>
        <v>*</v>
      </c>
      <c r="R79" s="93" t="str">
        <f>R31</f>
        <v>*</v>
      </c>
      <c r="U79"/>
      <c r="AE79"/>
      <c r="AO79"/>
      <c r="AY79"/>
    </row>
    <row r="80" spans="1:56" ht="15" customHeight="1" thickTop="1" thickBot="1" x14ac:dyDescent="0.3">
      <c r="A80" s="224" t="s">
        <v>51</v>
      </c>
      <c r="B80" s="20"/>
      <c r="C80" s="11"/>
      <c r="D80" s="220" t="s">
        <v>32</v>
      </c>
      <c r="E80" s="220"/>
      <c r="F80" s="220"/>
      <c r="G80" s="12"/>
      <c r="H80" s="11"/>
      <c r="I80" s="11"/>
      <c r="J80" s="220" t="s">
        <v>32</v>
      </c>
      <c r="K80" s="220"/>
      <c r="L80" s="220"/>
      <c r="M80" s="12"/>
      <c r="N80" s="11"/>
      <c r="O80" s="11"/>
      <c r="P80" s="220" t="s">
        <v>32</v>
      </c>
      <c r="Q80" s="220"/>
      <c r="R80" s="220"/>
      <c r="T80" s="24" t="s">
        <v>51</v>
      </c>
      <c r="U80" s="25"/>
      <c r="V80" s="26" t="str">
        <f>D82</f>
        <v>T</v>
      </c>
      <c r="W80" s="22" t="str">
        <f t="shared" ref="W80" si="260">E82</f>
        <v>*</v>
      </c>
      <c r="X80" s="23" t="str">
        <f t="shared" ref="X80" si="261">F82</f>
        <v>F</v>
      </c>
      <c r="Y80" s="22" t="str">
        <f>D83</f>
        <v>*</v>
      </c>
      <c r="Z80" s="22" t="str">
        <f t="shared" ref="Z80" si="262">E83</f>
        <v>T</v>
      </c>
      <c r="AA80" s="23" t="str">
        <f t="shared" ref="AA80" si="263">F83</f>
        <v>*</v>
      </c>
      <c r="AB80" s="22" t="str">
        <f>D84</f>
        <v>F</v>
      </c>
      <c r="AC80" s="22" t="str">
        <f t="shared" ref="AC80" si="264">E84</f>
        <v>*</v>
      </c>
      <c r="AD80" s="27" t="str">
        <f t="shared" ref="AD80" si="265">F84</f>
        <v>*</v>
      </c>
      <c r="AE80" s="25"/>
      <c r="AF80" s="26" t="str">
        <f>J82</f>
        <v>*</v>
      </c>
      <c r="AG80" s="22" t="str">
        <f t="shared" ref="AG80" si="266">K82</f>
        <v>*</v>
      </c>
      <c r="AH80" s="23" t="str">
        <f t="shared" ref="AH80" si="267">L82</f>
        <v>*</v>
      </c>
      <c r="AI80" s="22" t="str">
        <f>J83</f>
        <v>*</v>
      </c>
      <c r="AJ80" s="22" t="str">
        <f t="shared" ref="AJ80" si="268">K83</f>
        <v>*</v>
      </c>
      <c r="AK80" s="23" t="str">
        <f t="shared" ref="AK80" si="269">L83</f>
        <v>*</v>
      </c>
      <c r="AL80" s="22" t="str">
        <f>J84</f>
        <v>*</v>
      </c>
      <c r="AM80" s="22" t="str">
        <f t="shared" ref="AM80" si="270">K84</f>
        <v>*</v>
      </c>
      <c r="AN80" s="27" t="str">
        <f t="shared" ref="AN80" si="271">L84</f>
        <v>*</v>
      </c>
      <c r="AO80" s="25"/>
      <c r="AP80" s="26" t="str">
        <f>P82</f>
        <v>*</v>
      </c>
      <c r="AQ80" s="22" t="str">
        <f t="shared" ref="AQ80" si="272">Q82</f>
        <v>*</v>
      </c>
      <c r="AR80" s="23" t="str">
        <f t="shared" ref="AR80" si="273">R82</f>
        <v>*</v>
      </c>
      <c r="AS80" s="22" t="str">
        <f>P83</f>
        <v>*</v>
      </c>
      <c r="AT80" s="22" t="str">
        <f t="shared" ref="AT80" si="274">Q83</f>
        <v>*</v>
      </c>
      <c r="AU80" s="23" t="str">
        <f t="shared" ref="AU80" si="275">R83</f>
        <v>*</v>
      </c>
      <c r="AV80" s="22" t="str">
        <f>P84</f>
        <v>*</v>
      </c>
      <c r="AW80" s="22" t="str">
        <f t="shared" ref="AW80" si="276">Q84</f>
        <v>*</v>
      </c>
      <c r="AX80" s="27" t="str">
        <f t="shared" ref="AX80" si="277">R84</f>
        <v>*</v>
      </c>
      <c r="AY80" s="28"/>
      <c r="BA80" s="24" t="s">
        <v>27</v>
      </c>
      <c r="BB80" s="29" t="str">
        <f>CONCATENATE(V80,W80,X80,Y80,Z80,AA80,AB80,AC80,AD80)</f>
        <v>T*F*T*F**</v>
      </c>
      <c r="BC80" s="30" t="str">
        <f>CONCATENATE(AF80,AG80,AH80,AI80,AJ80,AK80,AL80,AM80,AN80)</f>
        <v>*********</v>
      </c>
      <c r="BD80" s="31" t="str">
        <f>CONCATENATE(AP80,AQ80,AR80,AS80,AT80,AU80,AV80,AW80,AX80)</f>
        <v>*********</v>
      </c>
    </row>
    <row r="81" spans="1:56" ht="15" customHeight="1" thickTop="1" thickBot="1" x14ac:dyDescent="0.3">
      <c r="A81" s="225"/>
      <c r="B81" s="21"/>
      <c r="C81" s="16" t="s">
        <v>36</v>
      </c>
      <c r="D81" s="13" t="s">
        <v>37</v>
      </c>
      <c r="E81" s="13" t="s">
        <v>32</v>
      </c>
      <c r="F81" s="13" t="s">
        <v>38</v>
      </c>
      <c r="G81" s="17"/>
      <c r="I81" s="16" t="s">
        <v>36</v>
      </c>
      <c r="J81" s="13" t="s">
        <v>37</v>
      </c>
      <c r="K81" s="13" t="s">
        <v>32</v>
      </c>
      <c r="L81" s="13" t="s">
        <v>38</v>
      </c>
      <c r="M81" s="17"/>
      <c r="O81" s="16" t="s">
        <v>36</v>
      </c>
      <c r="P81" s="13" t="s">
        <v>37</v>
      </c>
      <c r="Q81" s="13" t="s">
        <v>32</v>
      </c>
      <c r="R81" s="13" t="s">
        <v>38</v>
      </c>
      <c r="U81"/>
      <c r="AE81"/>
      <c r="AO81"/>
      <c r="AY81"/>
    </row>
    <row r="82" spans="1:56" ht="15" customHeight="1" thickTop="1" thickBot="1" x14ac:dyDescent="0.3">
      <c r="A82" s="225"/>
      <c r="B82" s="227" t="s">
        <v>39</v>
      </c>
      <c r="C82" s="13" t="s">
        <v>37</v>
      </c>
      <c r="D82" s="89" t="str">
        <f>D34</f>
        <v>T</v>
      </c>
      <c r="E82" s="89" t="str">
        <f>D35</f>
        <v>*</v>
      </c>
      <c r="F82" s="89" t="str">
        <f>D36</f>
        <v>F</v>
      </c>
      <c r="G82" s="17"/>
      <c r="H82" s="205" t="s">
        <v>39</v>
      </c>
      <c r="I82" s="13" t="s">
        <v>37</v>
      </c>
      <c r="J82" s="89" t="str">
        <f>J34</f>
        <v>*</v>
      </c>
      <c r="K82" s="89" t="str">
        <f>J35</f>
        <v>*</v>
      </c>
      <c r="L82" s="89" t="str">
        <f>J36</f>
        <v>*</v>
      </c>
      <c r="M82" s="17"/>
      <c r="N82" s="207" t="s">
        <v>39</v>
      </c>
      <c r="O82" s="13" t="s">
        <v>37</v>
      </c>
      <c r="P82" s="89" t="str">
        <f>P34</f>
        <v>*</v>
      </c>
      <c r="Q82" s="89" t="str">
        <f>P35</f>
        <v>*</v>
      </c>
      <c r="R82" s="89" t="str">
        <f>P36</f>
        <v>*</v>
      </c>
      <c r="U82"/>
      <c r="AE82"/>
      <c r="AO82"/>
      <c r="AY82"/>
    </row>
    <row r="83" spans="1:56" ht="15" customHeight="1" thickTop="1" thickBot="1" x14ac:dyDescent="0.3">
      <c r="A83" s="225"/>
      <c r="B83" s="227"/>
      <c r="C83" s="13" t="s">
        <v>32</v>
      </c>
      <c r="D83" s="91" t="str">
        <f>E34</f>
        <v>*</v>
      </c>
      <c r="E83" s="91" t="str">
        <f>E35</f>
        <v>T</v>
      </c>
      <c r="F83" s="91" t="str">
        <f>E36</f>
        <v>*</v>
      </c>
      <c r="G83" s="17"/>
      <c r="H83" s="205"/>
      <c r="I83" s="13" t="s">
        <v>32</v>
      </c>
      <c r="J83" s="91" t="str">
        <f>K34</f>
        <v>*</v>
      </c>
      <c r="K83" s="91" t="str">
        <f>K35</f>
        <v>*</v>
      </c>
      <c r="L83" s="91" t="str">
        <f>K36</f>
        <v>*</v>
      </c>
      <c r="M83" s="17"/>
      <c r="N83" s="207"/>
      <c r="O83" s="13" t="s">
        <v>32</v>
      </c>
      <c r="P83" s="91" t="str">
        <f>Q34</f>
        <v>*</v>
      </c>
      <c r="Q83" s="91" t="str">
        <f>Q35</f>
        <v>*</v>
      </c>
      <c r="R83" s="91" t="str">
        <f>Q36</f>
        <v>*</v>
      </c>
      <c r="U83"/>
      <c r="AE83"/>
      <c r="AO83"/>
      <c r="AY83"/>
    </row>
    <row r="84" spans="1:56" ht="15" customHeight="1" thickTop="1" thickBot="1" x14ac:dyDescent="0.3">
      <c r="A84" s="230"/>
      <c r="B84" s="228"/>
      <c r="C84" s="13" t="s">
        <v>38</v>
      </c>
      <c r="D84" s="93" t="str">
        <f>F34</f>
        <v>F</v>
      </c>
      <c r="E84" s="93" t="str">
        <f>F35</f>
        <v>*</v>
      </c>
      <c r="F84" s="93" t="str">
        <f>F36</f>
        <v>*</v>
      </c>
      <c r="G84" s="19"/>
      <c r="H84" s="206"/>
      <c r="I84" s="13" t="s">
        <v>38</v>
      </c>
      <c r="J84" s="93" t="str">
        <f>L34</f>
        <v>*</v>
      </c>
      <c r="K84" s="93" t="str">
        <f>L35</f>
        <v>*</v>
      </c>
      <c r="L84" s="93" t="str">
        <f>L36</f>
        <v>*</v>
      </c>
      <c r="M84" s="19"/>
      <c r="N84" s="208"/>
      <c r="O84" s="13" t="s">
        <v>38</v>
      </c>
      <c r="P84" s="93" t="str">
        <f>R34</f>
        <v>*</v>
      </c>
      <c r="Q84" s="93" t="str">
        <f>R35</f>
        <v>*</v>
      </c>
      <c r="R84" s="93" t="str">
        <f>R36</f>
        <v>*</v>
      </c>
      <c r="U84"/>
      <c r="AE84"/>
      <c r="AO84"/>
      <c r="AY84"/>
    </row>
    <row r="85" spans="1:56" ht="15" customHeight="1" thickTop="1" thickBot="1" x14ac:dyDescent="0.3">
      <c r="A85" s="224" t="s">
        <v>66</v>
      </c>
      <c r="B85" s="20"/>
      <c r="C85" s="11"/>
      <c r="D85" s="220" t="s">
        <v>32</v>
      </c>
      <c r="E85" s="220"/>
      <c r="F85" s="220"/>
      <c r="G85" s="12"/>
      <c r="H85" s="11"/>
      <c r="I85" s="11"/>
      <c r="J85" s="220" t="s">
        <v>32</v>
      </c>
      <c r="K85" s="220"/>
      <c r="L85" s="220"/>
      <c r="M85" s="12"/>
      <c r="N85" s="11"/>
      <c r="O85" s="11"/>
      <c r="P85" s="220" t="s">
        <v>32</v>
      </c>
      <c r="Q85" s="220"/>
      <c r="R85" s="220"/>
      <c r="T85" s="24" t="s">
        <v>66</v>
      </c>
      <c r="U85" s="25"/>
      <c r="V85" s="26" t="str">
        <f>D87</f>
        <v>T</v>
      </c>
      <c r="W85" s="22" t="str">
        <f t="shared" ref="W85" si="278">E87</f>
        <v>*</v>
      </c>
      <c r="X85" s="23" t="str">
        <f t="shared" ref="X85" si="279">F87</f>
        <v>F</v>
      </c>
      <c r="Y85" s="22" t="str">
        <f>D88</f>
        <v>*</v>
      </c>
      <c r="Z85" s="22" t="str">
        <f t="shared" ref="Z85" si="280">E88</f>
        <v>T</v>
      </c>
      <c r="AA85" s="23" t="str">
        <f t="shared" ref="AA85" si="281">F88</f>
        <v>*</v>
      </c>
      <c r="AB85" s="22" t="str">
        <f>D89</f>
        <v>T</v>
      </c>
      <c r="AC85" s="22" t="str">
        <f t="shared" ref="AC85" si="282">E89</f>
        <v>*</v>
      </c>
      <c r="AD85" s="27" t="str">
        <f t="shared" ref="AD85" si="283">F89</f>
        <v>*</v>
      </c>
      <c r="AE85" s="25"/>
      <c r="AF85" s="26" t="str">
        <f>J87</f>
        <v>*</v>
      </c>
      <c r="AG85" s="22" t="str">
        <f t="shared" ref="AG85" si="284">K87</f>
        <v>*</v>
      </c>
      <c r="AH85" s="23" t="str">
        <f t="shared" ref="AH85" si="285">L87</f>
        <v>*</v>
      </c>
      <c r="AI85" s="22" t="str">
        <f>J88</f>
        <v>*</v>
      </c>
      <c r="AJ85" s="22" t="str">
        <f t="shared" ref="AJ85" si="286">K88</f>
        <v>*</v>
      </c>
      <c r="AK85" s="23" t="str">
        <f t="shared" ref="AK85" si="287">L88</f>
        <v>*</v>
      </c>
      <c r="AL85" s="22" t="str">
        <f>J89</f>
        <v>*</v>
      </c>
      <c r="AM85" s="22" t="str">
        <f t="shared" ref="AM85" si="288">K89</f>
        <v>*</v>
      </c>
      <c r="AN85" s="27" t="str">
        <f t="shared" ref="AN85" si="289">L89</f>
        <v>*</v>
      </c>
      <c r="AO85" s="25"/>
      <c r="AP85" s="26" t="str">
        <f>P87</f>
        <v>*</v>
      </c>
      <c r="AQ85" s="22" t="str">
        <f t="shared" ref="AQ85" si="290">Q87</f>
        <v>*</v>
      </c>
      <c r="AR85" s="23" t="str">
        <f t="shared" ref="AR85" si="291">R87</f>
        <v>*</v>
      </c>
      <c r="AS85" s="22" t="str">
        <f>P88</f>
        <v>*</v>
      </c>
      <c r="AT85" s="22" t="str">
        <f t="shared" ref="AT85" si="292">Q88</f>
        <v>*</v>
      </c>
      <c r="AU85" s="23" t="str">
        <f t="shared" ref="AU85" si="293">R88</f>
        <v>*</v>
      </c>
      <c r="AV85" s="22" t="str">
        <f>P89</f>
        <v>*</v>
      </c>
      <c r="AW85" s="22" t="str">
        <f t="shared" ref="AW85" si="294">Q89</f>
        <v>*</v>
      </c>
      <c r="AX85" s="27" t="str">
        <f t="shared" ref="AX85" si="295">R89</f>
        <v>*</v>
      </c>
      <c r="AY85" s="28"/>
      <c r="BA85" s="24" t="s">
        <v>21</v>
      </c>
      <c r="BB85" s="29" t="str">
        <f>CONCATENATE(V85,W85,X85,Y85,Z85,AA85,AB85,AC85,AD85)</f>
        <v>T*F*T*T**</v>
      </c>
      <c r="BC85" s="30" t="str">
        <f>CONCATENATE(AF85,AG85,AH85,AI85,AJ85,AK85,AL85,AM85,AN85)</f>
        <v>*********</v>
      </c>
      <c r="BD85" s="31" t="str">
        <f>CONCATENATE(AP85,AQ85,AR85,AS85,AT85,AU85,AV85,AW85,AX85)</f>
        <v>*********</v>
      </c>
    </row>
    <row r="86" spans="1:56" ht="15" customHeight="1" thickTop="1" thickBot="1" x14ac:dyDescent="0.3">
      <c r="A86" s="225"/>
      <c r="B86" s="21"/>
      <c r="C86" s="86" t="s">
        <v>36</v>
      </c>
      <c r="D86" s="87" t="s">
        <v>37</v>
      </c>
      <c r="E86" s="87" t="s">
        <v>32</v>
      </c>
      <c r="F86" s="87" t="s">
        <v>38</v>
      </c>
      <c r="G86" s="17"/>
      <c r="I86" s="86" t="s">
        <v>36</v>
      </c>
      <c r="J86" s="87" t="s">
        <v>37</v>
      </c>
      <c r="K86" s="87" t="s">
        <v>32</v>
      </c>
      <c r="L86" s="87" t="s">
        <v>38</v>
      </c>
      <c r="M86" s="17"/>
      <c r="O86" s="86" t="s">
        <v>36</v>
      </c>
      <c r="P86" s="87" t="s">
        <v>37</v>
      </c>
      <c r="Q86" s="87" t="s">
        <v>32</v>
      </c>
      <c r="R86" s="87" t="s">
        <v>38</v>
      </c>
      <c r="U86"/>
      <c r="AE86"/>
      <c r="AO86"/>
      <c r="AY86"/>
    </row>
    <row r="87" spans="1:56" ht="15" customHeight="1" thickTop="1" thickBot="1" x14ac:dyDescent="0.3">
      <c r="A87" s="225"/>
      <c r="B87" s="227" t="s">
        <v>39</v>
      </c>
      <c r="C87" s="88" t="s">
        <v>37</v>
      </c>
      <c r="D87" s="89" t="str">
        <f>D39</f>
        <v>T</v>
      </c>
      <c r="E87" s="89" t="str">
        <f>D40</f>
        <v>*</v>
      </c>
      <c r="F87" s="89" t="str">
        <f>D41</f>
        <v>F</v>
      </c>
      <c r="G87" s="17"/>
      <c r="H87" s="205" t="s">
        <v>39</v>
      </c>
      <c r="I87" s="88" t="s">
        <v>37</v>
      </c>
      <c r="J87" s="89" t="str">
        <f>J39</f>
        <v>*</v>
      </c>
      <c r="K87" s="89" t="str">
        <f>J40</f>
        <v>*</v>
      </c>
      <c r="L87" s="89" t="str">
        <f>J41</f>
        <v>*</v>
      </c>
      <c r="M87" s="17"/>
      <c r="N87" s="205" t="s">
        <v>39</v>
      </c>
      <c r="O87" s="88" t="s">
        <v>37</v>
      </c>
      <c r="P87" s="89" t="str">
        <f>P39</f>
        <v>*</v>
      </c>
      <c r="Q87" s="89" t="str">
        <f>P40</f>
        <v>*</v>
      </c>
      <c r="R87" s="89" t="str">
        <f>P41</f>
        <v>*</v>
      </c>
      <c r="U87"/>
      <c r="AE87"/>
      <c r="AO87"/>
      <c r="AY87"/>
    </row>
    <row r="88" spans="1:56" ht="15" customHeight="1" thickTop="1" thickBot="1" x14ac:dyDescent="0.3">
      <c r="A88" s="225"/>
      <c r="B88" s="227"/>
      <c r="C88" s="90" t="s">
        <v>32</v>
      </c>
      <c r="D88" s="91" t="str">
        <f>E39</f>
        <v>*</v>
      </c>
      <c r="E88" s="91" t="str">
        <f>E40</f>
        <v>T</v>
      </c>
      <c r="F88" s="91" t="str">
        <f>E41</f>
        <v>*</v>
      </c>
      <c r="G88" s="17"/>
      <c r="H88" s="205"/>
      <c r="I88" s="90" t="s">
        <v>32</v>
      </c>
      <c r="J88" s="91" t="str">
        <f>K39</f>
        <v>*</v>
      </c>
      <c r="K88" s="91" t="str">
        <f>K40</f>
        <v>*</v>
      </c>
      <c r="L88" s="91" t="str">
        <f>K41</f>
        <v>*</v>
      </c>
      <c r="M88" s="17"/>
      <c r="N88" s="205"/>
      <c r="O88" s="90" t="s">
        <v>32</v>
      </c>
      <c r="P88" s="91" t="str">
        <f>Q39</f>
        <v>*</v>
      </c>
      <c r="Q88" s="91" t="str">
        <f>Q40</f>
        <v>*</v>
      </c>
      <c r="R88" s="91" t="str">
        <f>Q41</f>
        <v>*</v>
      </c>
      <c r="U88"/>
      <c r="AE88"/>
      <c r="AO88"/>
      <c r="AY88"/>
    </row>
    <row r="89" spans="1:56" ht="15" customHeight="1" thickTop="1" thickBot="1" x14ac:dyDescent="0.3">
      <c r="A89" s="226"/>
      <c r="B89" s="228"/>
      <c r="C89" s="92" t="s">
        <v>38</v>
      </c>
      <c r="D89" s="93" t="str">
        <f>F39</f>
        <v>T</v>
      </c>
      <c r="E89" s="93" t="str">
        <f>F40</f>
        <v>*</v>
      </c>
      <c r="F89" s="93" t="str">
        <f>F41</f>
        <v>*</v>
      </c>
      <c r="G89" s="19"/>
      <c r="H89" s="206"/>
      <c r="I89" s="92" t="s">
        <v>38</v>
      </c>
      <c r="J89" s="93" t="str">
        <f>L39</f>
        <v>*</v>
      </c>
      <c r="K89" s="93" t="str">
        <f>L40</f>
        <v>*</v>
      </c>
      <c r="L89" s="93" t="str">
        <f>L41</f>
        <v>*</v>
      </c>
      <c r="M89" s="19"/>
      <c r="N89" s="206"/>
      <c r="O89" s="92" t="s">
        <v>38</v>
      </c>
      <c r="P89" s="93" t="str">
        <f>R39</f>
        <v>*</v>
      </c>
      <c r="Q89" s="93" t="str">
        <f>R40</f>
        <v>*</v>
      </c>
      <c r="R89" s="93" t="str">
        <f>R41</f>
        <v>*</v>
      </c>
      <c r="U89"/>
      <c r="AE89"/>
      <c r="AO89"/>
      <c r="AY89"/>
    </row>
    <row r="90" spans="1:56" ht="15" customHeight="1" thickTop="1" thickBot="1" x14ac:dyDescent="0.3">
      <c r="A90" s="224" t="s">
        <v>53</v>
      </c>
      <c r="B90" s="20"/>
      <c r="C90" s="11"/>
      <c r="D90" s="220" t="s">
        <v>32</v>
      </c>
      <c r="E90" s="220"/>
      <c r="F90" s="220"/>
      <c r="G90" s="12"/>
      <c r="H90" s="11"/>
      <c r="I90" s="11"/>
      <c r="J90" s="220" t="s">
        <v>32</v>
      </c>
      <c r="K90" s="220"/>
      <c r="L90" s="220"/>
      <c r="M90" s="12"/>
      <c r="N90" s="11"/>
      <c r="O90" s="11"/>
      <c r="P90" s="220" t="s">
        <v>32</v>
      </c>
      <c r="Q90" s="220"/>
      <c r="R90" s="220"/>
      <c r="T90" s="24" t="s">
        <v>53</v>
      </c>
      <c r="U90" s="25"/>
      <c r="V90" s="26" t="str">
        <f>D92</f>
        <v>T</v>
      </c>
      <c r="W90" s="22" t="str">
        <f t="shared" ref="W90" si="296">E92</f>
        <v>*</v>
      </c>
      <c r="X90" s="23" t="str">
        <f t="shared" ref="X90" si="297">F92</f>
        <v>T</v>
      </c>
      <c r="Y90" s="22" t="str">
        <f>D93</f>
        <v>*</v>
      </c>
      <c r="Z90" s="22" t="str">
        <f t="shared" ref="Z90" si="298">E93</f>
        <v>*</v>
      </c>
      <c r="AA90" s="23" t="str">
        <f t="shared" ref="AA90" si="299">F93</f>
        <v>*</v>
      </c>
      <c r="AB90" s="22" t="str">
        <f>D94</f>
        <v>T</v>
      </c>
      <c r="AC90" s="22" t="str">
        <f t="shared" ref="AC90" si="300">E94</f>
        <v>*</v>
      </c>
      <c r="AD90" s="27" t="str">
        <f t="shared" ref="AD90" si="301">F94</f>
        <v>*</v>
      </c>
      <c r="AE90" s="25"/>
      <c r="AF90" s="26" t="str">
        <f>J92</f>
        <v>T</v>
      </c>
      <c r="AG90" s="22" t="str">
        <f t="shared" ref="AG90" si="302">K92</f>
        <v>*</v>
      </c>
      <c r="AH90" s="23" t="str">
        <f t="shared" ref="AH90" si="303">L92</f>
        <v>*</v>
      </c>
      <c r="AI90" s="22" t="str">
        <f>J93</f>
        <v>*</v>
      </c>
      <c r="AJ90" s="22" t="str">
        <f t="shared" ref="AJ90" si="304">K93</f>
        <v>*</v>
      </c>
      <c r="AK90" s="23" t="str">
        <f t="shared" ref="AK90" si="305">L93</f>
        <v>*</v>
      </c>
      <c r="AL90" s="22" t="str">
        <f>J94</f>
        <v>*</v>
      </c>
      <c r="AM90" s="22" t="str">
        <f t="shared" ref="AM90" si="306">K94</f>
        <v>*</v>
      </c>
      <c r="AN90" s="27" t="str">
        <f t="shared" ref="AN90" si="307">L94</f>
        <v>*</v>
      </c>
      <c r="AO90" s="25"/>
      <c r="AP90" s="26" t="str">
        <f>P92</f>
        <v>T</v>
      </c>
      <c r="AQ90" s="22" t="str">
        <f t="shared" ref="AQ90" si="308">Q92</f>
        <v>*</v>
      </c>
      <c r="AR90" s="23" t="str">
        <f t="shared" ref="AR90" si="309">R92</f>
        <v>*</v>
      </c>
      <c r="AS90" s="22" t="str">
        <f>P93</f>
        <v>*</v>
      </c>
      <c r="AT90" s="22" t="str">
        <f t="shared" ref="AT90" si="310">Q93</f>
        <v>*</v>
      </c>
      <c r="AU90" s="23" t="str">
        <f t="shared" ref="AU90" si="311">R93</f>
        <v>*</v>
      </c>
      <c r="AV90" s="22" t="str">
        <f>P94</f>
        <v>*</v>
      </c>
      <c r="AW90" s="22" t="str">
        <f t="shared" ref="AW90" si="312">Q94</f>
        <v>*</v>
      </c>
      <c r="AX90" s="27" t="str">
        <f t="shared" ref="AX90" si="313">R94</f>
        <v>*</v>
      </c>
      <c r="AY90" s="28"/>
      <c r="BA90" s="24" t="s">
        <v>18</v>
      </c>
      <c r="BB90" s="29" t="str">
        <f>CONCATENATE(V90,W90,X90,Y90,Z90,AA90,AB90,AC90,AD90)</f>
        <v>T*T***T**</v>
      </c>
      <c r="BC90" s="30" t="str">
        <f>CONCATENATE(AF90,AG90,AH90,AI90,AJ90,AK90,AL90,AM90,AN90)</f>
        <v>T********</v>
      </c>
      <c r="BD90" s="31" t="str">
        <f>CONCATENATE(AP90,AQ90,AR90,AS90,AT90,AU90,AV90,AW90,AX90)</f>
        <v>T********</v>
      </c>
    </row>
    <row r="91" spans="1:56" ht="15" customHeight="1" thickTop="1" thickBot="1" x14ac:dyDescent="0.3">
      <c r="A91" s="225"/>
      <c r="B91" s="21"/>
      <c r="C91" s="16" t="s">
        <v>36</v>
      </c>
      <c r="D91" s="13" t="s">
        <v>37</v>
      </c>
      <c r="E91" s="13" t="s">
        <v>32</v>
      </c>
      <c r="F91" s="13" t="s">
        <v>38</v>
      </c>
      <c r="G91" s="17"/>
      <c r="I91" s="16" t="s">
        <v>36</v>
      </c>
      <c r="J91" s="13" t="s">
        <v>37</v>
      </c>
      <c r="K91" s="13" t="s">
        <v>32</v>
      </c>
      <c r="L91" s="13" t="s">
        <v>38</v>
      </c>
      <c r="M91" s="17"/>
      <c r="O91" s="16" t="s">
        <v>36</v>
      </c>
      <c r="P91" s="13" t="s">
        <v>37</v>
      </c>
      <c r="Q91" s="13" t="s">
        <v>32</v>
      </c>
      <c r="R91" s="13" t="s">
        <v>38</v>
      </c>
      <c r="U91"/>
      <c r="AE91"/>
      <c r="AO91"/>
      <c r="AY91"/>
    </row>
    <row r="92" spans="1:56" ht="15" customHeight="1" thickTop="1" thickBot="1" x14ac:dyDescent="0.3">
      <c r="A92" s="225"/>
      <c r="B92" s="227" t="s">
        <v>39</v>
      </c>
      <c r="C92" s="13" t="s">
        <v>37</v>
      </c>
      <c r="D92" s="89" t="str">
        <f>D44</f>
        <v>T</v>
      </c>
      <c r="E92" s="89" t="str">
        <f>D45</f>
        <v>*</v>
      </c>
      <c r="F92" s="89" t="str">
        <f>D46</f>
        <v>T</v>
      </c>
      <c r="G92" s="17"/>
      <c r="H92" s="205" t="s">
        <v>39</v>
      </c>
      <c r="I92" s="13" t="s">
        <v>37</v>
      </c>
      <c r="J92" s="89" t="str">
        <f>J44</f>
        <v>T</v>
      </c>
      <c r="K92" s="89" t="str">
        <f>J45</f>
        <v>*</v>
      </c>
      <c r="L92" s="89" t="str">
        <f>J46</f>
        <v>*</v>
      </c>
      <c r="M92" s="17"/>
      <c r="N92" s="207" t="s">
        <v>39</v>
      </c>
      <c r="O92" s="13" t="s">
        <v>37</v>
      </c>
      <c r="P92" s="89" t="str">
        <f>P44</f>
        <v>T</v>
      </c>
      <c r="Q92" s="89" t="str">
        <f>P45</f>
        <v>*</v>
      </c>
      <c r="R92" s="89" t="str">
        <f>P46</f>
        <v>*</v>
      </c>
      <c r="U92"/>
      <c r="AE92"/>
      <c r="AO92"/>
      <c r="AY92"/>
    </row>
    <row r="93" spans="1:56" ht="15" customHeight="1" thickTop="1" thickBot="1" x14ac:dyDescent="0.3">
      <c r="A93" s="225"/>
      <c r="B93" s="227"/>
      <c r="C93" s="13" t="s">
        <v>32</v>
      </c>
      <c r="D93" s="91" t="str">
        <f>E44</f>
        <v>*</v>
      </c>
      <c r="E93" s="91" t="str">
        <f>E45</f>
        <v>*</v>
      </c>
      <c r="F93" s="91" t="str">
        <f>E46</f>
        <v>*</v>
      </c>
      <c r="G93" s="17"/>
      <c r="H93" s="205"/>
      <c r="I93" s="13" t="s">
        <v>32</v>
      </c>
      <c r="J93" s="91" t="str">
        <f>K44</f>
        <v>*</v>
      </c>
      <c r="K93" s="91" t="str">
        <f>K45</f>
        <v>*</v>
      </c>
      <c r="L93" s="91" t="str">
        <f>K46</f>
        <v>*</v>
      </c>
      <c r="M93" s="17"/>
      <c r="N93" s="207"/>
      <c r="O93" s="13" t="s">
        <v>32</v>
      </c>
      <c r="P93" s="91" t="str">
        <f>Q44</f>
        <v>*</v>
      </c>
      <c r="Q93" s="91" t="str">
        <f>Q45</f>
        <v>*</v>
      </c>
      <c r="R93" s="91" t="str">
        <f>Q46</f>
        <v>*</v>
      </c>
      <c r="U93"/>
      <c r="AE93"/>
      <c r="AO93"/>
      <c r="AY93"/>
    </row>
    <row r="94" spans="1:56" ht="15" customHeight="1" thickTop="1" thickBot="1" x14ac:dyDescent="0.3">
      <c r="A94" s="226"/>
      <c r="B94" s="228"/>
      <c r="C94" s="13" t="s">
        <v>38</v>
      </c>
      <c r="D94" s="93" t="str">
        <f>F44</f>
        <v>T</v>
      </c>
      <c r="E94" s="93" t="str">
        <f>F45</f>
        <v>*</v>
      </c>
      <c r="F94" s="93" t="str">
        <f>F46</f>
        <v>*</v>
      </c>
      <c r="G94" s="19"/>
      <c r="H94" s="206"/>
      <c r="I94" s="13" t="s">
        <v>38</v>
      </c>
      <c r="J94" s="93" t="str">
        <f>L44</f>
        <v>*</v>
      </c>
      <c r="K94" s="93" t="str">
        <f>L45</f>
        <v>*</v>
      </c>
      <c r="L94" s="93" t="str">
        <f>L46</f>
        <v>*</v>
      </c>
      <c r="M94" s="19"/>
      <c r="N94" s="208"/>
      <c r="O94" s="13" t="s">
        <v>38</v>
      </c>
      <c r="P94" s="93" t="str">
        <f>R44</f>
        <v>*</v>
      </c>
      <c r="Q94" s="93" t="str">
        <f>R45</f>
        <v>*</v>
      </c>
      <c r="R94" s="93" t="str">
        <f>R46</f>
        <v>*</v>
      </c>
      <c r="U94"/>
      <c r="AE94"/>
      <c r="AO94"/>
      <c r="AY94"/>
    </row>
    <row r="95" spans="1:56" ht="15" customHeight="1" thickTop="1" x14ac:dyDescent="0.25">
      <c r="C95" s="14"/>
      <c r="D95" s="14"/>
      <c r="E95" s="14"/>
      <c r="F95" s="14"/>
      <c r="G95" s="14"/>
      <c r="H95" s="14"/>
      <c r="I95" s="14"/>
      <c r="J95" s="14"/>
      <c r="K95" s="14"/>
      <c r="L95" s="14"/>
      <c r="M95" s="14"/>
      <c r="N95" s="14"/>
      <c r="O95" s="14"/>
      <c r="P95" s="14"/>
      <c r="Q95" s="14"/>
      <c r="R95" s="14"/>
      <c r="U95" s="14"/>
      <c r="AE95" s="14"/>
      <c r="AO95" s="14"/>
      <c r="AY95" s="14"/>
    </row>
    <row r="96" spans="1:56" ht="15" customHeight="1" x14ac:dyDescent="0.25">
      <c r="C96" s="14"/>
      <c r="D96" s="14"/>
      <c r="E96" s="14"/>
      <c r="F96" s="14"/>
      <c r="G96" s="14"/>
      <c r="H96" s="14"/>
      <c r="I96" s="14"/>
      <c r="J96" s="14"/>
      <c r="K96" s="14"/>
      <c r="L96" s="14"/>
      <c r="M96" s="14"/>
      <c r="N96" s="14"/>
      <c r="O96" s="14"/>
      <c r="P96" s="14"/>
      <c r="Q96" s="14"/>
      <c r="R96" s="14"/>
      <c r="U96" s="14"/>
      <c r="AE96" s="14"/>
      <c r="AO96" s="14"/>
      <c r="AY96" s="14"/>
    </row>
    <row r="97" spans="3:51" ht="15" customHeight="1" x14ac:dyDescent="0.25">
      <c r="C97" s="14"/>
      <c r="D97" s="14"/>
      <c r="E97" s="14"/>
      <c r="F97" s="14"/>
      <c r="G97" s="14"/>
      <c r="H97" s="14"/>
      <c r="I97" s="14"/>
      <c r="J97" s="14"/>
      <c r="K97" s="14"/>
      <c r="L97" s="14"/>
      <c r="M97" s="14"/>
      <c r="N97" s="14"/>
      <c r="O97" s="14"/>
      <c r="P97" s="14"/>
      <c r="Q97" s="14"/>
      <c r="R97" s="14"/>
      <c r="U97" s="14"/>
      <c r="AE97" s="14"/>
      <c r="AO97" s="14"/>
      <c r="AY97" s="14"/>
    </row>
    <row r="98" spans="3:51" ht="15" customHeight="1" x14ac:dyDescent="0.25">
      <c r="C98" s="14"/>
      <c r="D98" s="14"/>
      <c r="E98" s="14"/>
      <c r="F98" s="14"/>
      <c r="G98" s="14"/>
      <c r="H98" s="14"/>
      <c r="I98" s="14"/>
      <c r="J98" s="14"/>
      <c r="K98" s="14"/>
      <c r="L98" s="14"/>
      <c r="M98" s="14"/>
      <c r="N98" s="14"/>
      <c r="O98" s="14"/>
      <c r="P98" s="14"/>
      <c r="Q98" s="14"/>
      <c r="R98" s="14"/>
      <c r="U98" s="14"/>
      <c r="AE98" s="14"/>
      <c r="AO98" s="14"/>
      <c r="AY98" s="14"/>
    </row>
    <row r="99" spans="3:51" ht="15" customHeight="1" x14ac:dyDescent="0.25">
      <c r="C99" s="14"/>
      <c r="D99" s="14"/>
      <c r="E99" s="14"/>
      <c r="F99" s="14"/>
      <c r="G99" s="14"/>
      <c r="H99" s="14"/>
      <c r="I99" s="14"/>
      <c r="J99" s="14"/>
      <c r="K99" s="14"/>
      <c r="L99" s="14"/>
      <c r="M99" s="14"/>
      <c r="N99" s="14"/>
      <c r="O99" s="14"/>
      <c r="P99" s="14"/>
      <c r="Q99" s="14"/>
      <c r="R99" s="14"/>
      <c r="U99" s="14"/>
      <c r="AE99" s="14"/>
      <c r="AO99" s="14"/>
      <c r="AY99" s="14"/>
    </row>
    <row r="100" spans="3:51" ht="15" customHeight="1" x14ac:dyDescent="0.25">
      <c r="C100" s="14"/>
      <c r="D100" s="14"/>
      <c r="E100" s="14"/>
      <c r="F100" s="14"/>
      <c r="G100" s="14"/>
      <c r="H100" s="14"/>
      <c r="I100" s="14"/>
      <c r="J100" s="14"/>
      <c r="K100" s="14"/>
      <c r="L100" s="14"/>
      <c r="M100" s="14"/>
      <c r="N100" s="14"/>
      <c r="O100" s="14"/>
      <c r="P100" s="14"/>
      <c r="Q100" s="14"/>
      <c r="R100" s="14"/>
      <c r="U100" s="14"/>
      <c r="AE100" s="14"/>
      <c r="AO100" s="14"/>
      <c r="AY100" s="14"/>
    </row>
    <row r="101" spans="3:51" ht="15" customHeight="1" x14ac:dyDescent="0.25">
      <c r="C101" s="14"/>
      <c r="D101" s="14"/>
      <c r="E101" s="14"/>
      <c r="F101" s="14"/>
      <c r="G101" s="14"/>
      <c r="H101" s="14"/>
      <c r="I101" s="14"/>
      <c r="J101" s="14"/>
      <c r="K101" s="14"/>
      <c r="L101" s="14"/>
      <c r="M101" s="14"/>
      <c r="N101" s="14"/>
      <c r="O101" s="14"/>
      <c r="P101" s="14"/>
      <c r="Q101" s="14"/>
      <c r="R101" s="14"/>
      <c r="U101" s="14"/>
      <c r="AE101" s="14"/>
      <c r="AO101" s="14"/>
      <c r="AY101" s="14"/>
    </row>
    <row r="102" spans="3:51" ht="15" customHeight="1" x14ac:dyDescent="0.25">
      <c r="C102" s="14"/>
      <c r="D102" s="14"/>
      <c r="E102" s="14"/>
      <c r="F102" s="14"/>
      <c r="G102" s="14"/>
      <c r="H102" s="14"/>
      <c r="I102" s="14"/>
      <c r="J102" s="14"/>
      <c r="K102" s="14"/>
      <c r="L102" s="14"/>
      <c r="M102" s="14"/>
      <c r="N102" s="14"/>
      <c r="O102" s="14"/>
      <c r="P102" s="14"/>
      <c r="Q102" s="14"/>
      <c r="R102" s="14"/>
      <c r="U102" s="14"/>
      <c r="AE102" s="14"/>
      <c r="AO102" s="14"/>
      <c r="AY102" s="14"/>
    </row>
    <row r="103" spans="3:51" ht="15" customHeight="1" x14ac:dyDescent="0.25">
      <c r="C103" s="14"/>
      <c r="D103" s="14"/>
      <c r="E103" s="14"/>
      <c r="F103" s="14"/>
      <c r="G103" s="14"/>
      <c r="H103" s="14"/>
      <c r="I103" s="14"/>
      <c r="J103" s="14"/>
      <c r="K103" s="14"/>
      <c r="L103" s="14"/>
      <c r="M103" s="14"/>
      <c r="N103" s="14"/>
      <c r="O103" s="14"/>
      <c r="P103" s="14"/>
      <c r="Q103" s="14"/>
      <c r="R103" s="14"/>
      <c r="U103" s="14"/>
      <c r="AE103" s="14"/>
      <c r="AO103" s="14"/>
      <c r="AY103" s="14"/>
    </row>
    <row r="104" spans="3:51" ht="15" customHeight="1" x14ac:dyDescent="0.25">
      <c r="C104" s="14"/>
      <c r="D104" s="14"/>
      <c r="E104" s="14"/>
      <c r="F104" s="14"/>
      <c r="G104" s="14"/>
      <c r="H104" s="14"/>
      <c r="I104" s="14"/>
      <c r="J104" s="14"/>
      <c r="K104" s="14"/>
      <c r="L104" s="14"/>
      <c r="M104" s="14"/>
      <c r="N104" s="14"/>
      <c r="O104" s="14"/>
      <c r="P104" s="14"/>
      <c r="Q104" s="14"/>
      <c r="R104" s="14"/>
      <c r="U104" s="14"/>
      <c r="AE104" s="14"/>
      <c r="AO104" s="14"/>
      <c r="AY104" s="14"/>
    </row>
    <row r="105" spans="3:51" ht="15" customHeight="1" x14ac:dyDescent="0.25">
      <c r="C105" s="14"/>
      <c r="D105" s="14"/>
      <c r="E105" s="14"/>
      <c r="F105" s="14"/>
      <c r="G105" s="14"/>
      <c r="H105" s="14"/>
      <c r="I105" s="14"/>
      <c r="J105" s="14"/>
      <c r="K105" s="14"/>
      <c r="L105" s="14"/>
      <c r="M105" s="14"/>
      <c r="N105" s="14"/>
      <c r="O105" s="14"/>
      <c r="P105" s="14"/>
      <c r="Q105" s="14"/>
      <c r="R105" s="14"/>
      <c r="U105" s="14"/>
      <c r="AE105" s="14"/>
      <c r="AO105" s="14"/>
      <c r="AY105" s="14"/>
    </row>
    <row r="106" spans="3:51" ht="15" customHeight="1" x14ac:dyDescent="0.25">
      <c r="C106" s="14"/>
      <c r="D106" s="14"/>
      <c r="E106" s="14"/>
      <c r="F106" s="14"/>
      <c r="G106" s="14"/>
      <c r="H106" s="14"/>
      <c r="I106" s="14"/>
      <c r="J106" s="14"/>
      <c r="K106" s="14"/>
      <c r="L106" s="14"/>
      <c r="M106" s="14"/>
      <c r="N106" s="14"/>
      <c r="O106" s="14"/>
      <c r="P106" s="14"/>
      <c r="Q106" s="14"/>
      <c r="R106" s="14"/>
      <c r="U106" s="14"/>
      <c r="AE106" s="14"/>
      <c r="AO106" s="14"/>
      <c r="AY106" s="14"/>
    </row>
    <row r="107" spans="3:51" ht="15" customHeight="1" x14ac:dyDescent="0.25">
      <c r="C107" s="14"/>
      <c r="D107" s="14"/>
      <c r="E107" s="14"/>
      <c r="F107" s="14"/>
      <c r="G107" s="14"/>
      <c r="H107" s="14"/>
      <c r="I107" s="14"/>
      <c r="J107" s="14"/>
      <c r="K107" s="14"/>
      <c r="L107" s="14"/>
      <c r="M107" s="14"/>
      <c r="N107" s="14"/>
      <c r="O107" s="14"/>
      <c r="P107" s="14"/>
      <c r="Q107" s="14"/>
      <c r="R107" s="14"/>
      <c r="U107" s="14"/>
      <c r="AE107" s="14"/>
      <c r="AO107" s="14"/>
      <c r="AY107" s="14"/>
    </row>
    <row r="108" spans="3:51" ht="15" customHeight="1" x14ac:dyDescent="0.25">
      <c r="C108" s="14"/>
      <c r="D108" s="14"/>
      <c r="E108" s="14"/>
      <c r="F108" s="14"/>
      <c r="G108" s="14"/>
      <c r="H108" s="14"/>
      <c r="I108" s="14"/>
      <c r="J108" s="14"/>
      <c r="K108" s="14"/>
      <c r="L108" s="14"/>
      <c r="M108" s="14"/>
      <c r="N108" s="14"/>
      <c r="O108" s="14"/>
      <c r="P108" s="14"/>
      <c r="Q108" s="14"/>
      <c r="R108" s="14"/>
      <c r="U108" s="14"/>
      <c r="AE108" s="14"/>
      <c r="AO108" s="14"/>
      <c r="AY108" s="14"/>
    </row>
    <row r="109" spans="3:51" ht="15" customHeight="1" x14ac:dyDescent="0.25">
      <c r="C109" s="14"/>
      <c r="D109" s="14"/>
      <c r="E109" s="14"/>
      <c r="F109" s="14"/>
      <c r="G109" s="14"/>
      <c r="H109" s="14"/>
      <c r="I109" s="14"/>
      <c r="J109" s="14"/>
      <c r="K109" s="14"/>
      <c r="L109" s="14"/>
      <c r="M109" s="14"/>
      <c r="N109" s="14"/>
      <c r="O109" s="14"/>
      <c r="P109" s="14"/>
      <c r="Q109" s="14"/>
      <c r="R109" s="14"/>
      <c r="U109" s="14"/>
      <c r="AE109" s="14"/>
      <c r="AO109" s="14"/>
      <c r="AY109" s="14"/>
    </row>
    <row r="110" spans="3:51" ht="15" customHeight="1" x14ac:dyDescent="0.25">
      <c r="C110" s="14"/>
      <c r="D110" s="14"/>
      <c r="E110" s="14"/>
      <c r="F110" s="14"/>
      <c r="G110" s="14"/>
      <c r="H110" s="14"/>
      <c r="I110" s="14"/>
      <c r="J110" s="14"/>
      <c r="K110" s="14"/>
      <c r="L110" s="14"/>
      <c r="M110" s="14"/>
      <c r="N110" s="14"/>
      <c r="O110" s="14"/>
      <c r="P110" s="14"/>
      <c r="Q110" s="14"/>
      <c r="R110" s="14"/>
      <c r="U110" s="14"/>
      <c r="AE110" s="14"/>
      <c r="AO110" s="14"/>
      <c r="AY110" s="14"/>
    </row>
    <row r="111" spans="3:51" ht="15" customHeight="1" x14ac:dyDescent="0.25">
      <c r="C111" s="14"/>
      <c r="D111" s="14"/>
      <c r="E111" s="14"/>
      <c r="F111" s="14"/>
      <c r="G111" s="14"/>
      <c r="H111" s="14"/>
      <c r="I111" s="14"/>
      <c r="J111" s="14"/>
      <c r="K111" s="14"/>
      <c r="L111" s="14"/>
      <c r="M111" s="14"/>
      <c r="N111" s="14"/>
      <c r="O111" s="14"/>
      <c r="P111" s="14"/>
      <c r="Q111" s="14"/>
      <c r="R111" s="14"/>
      <c r="U111" s="14"/>
      <c r="AE111" s="14"/>
      <c r="AO111" s="14"/>
      <c r="AY111" s="14"/>
    </row>
    <row r="112" spans="3:51" ht="15" customHeight="1" x14ac:dyDescent="0.25">
      <c r="C112" s="14"/>
      <c r="D112" s="14"/>
      <c r="E112" s="14"/>
      <c r="F112" s="14"/>
      <c r="G112" s="14"/>
      <c r="H112" s="14"/>
      <c r="I112" s="14"/>
      <c r="J112" s="14"/>
      <c r="K112" s="14"/>
      <c r="L112" s="14"/>
      <c r="M112" s="14"/>
      <c r="N112" s="14"/>
      <c r="O112" s="14"/>
      <c r="P112" s="14"/>
      <c r="Q112" s="14"/>
      <c r="R112" s="14"/>
      <c r="U112" s="14"/>
      <c r="AE112" s="14"/>
      <c r="AO112" s="14"/>
      <c r="AY112" s="14"/>
    </row>
    <row r="113" spans="3:51" ht="15" customHeight="1" x14ac:dyDescent="0.25">
      <c r="C113" s="14"/>
      <c r="D113" s="14"/>
      <c r="E113" s="14"/>
      <c r="F113" s="14"/>
      <c r="G113" s="14"/>
      <c r="H113" s="14"/>
      <c r="I113" s="14"/>
      <c r="J113" s="14"/>
      <c r="K113" s="14"/>
      <c r="L113" s="14"/>
      <c r="M113" s="14"/>
      <c r="N113" s="14"/>
      <c r="O113" s="14"/>
      <c r="P113" s="14"/>
      <c r="Q113" s="14"/>
      <c r="R113" s="14"/>
      <c r="U113" s="14"/>
      <c r="AE113" s="14"/>
      <c r="AO113" s="14"/>
      <c r="AY113" s="14"/>
    </row>
    <row r="114" spans="3:51" ht="15" customHeight="1" x14ac:dyDescent="0.25">
      <c r="C114" s="14"/>
      <c r="D114" s="14"/>
      <c r="E114" s="14"/>
      <c r="F114" s="14"/>
      <c r="G114" s="14"/>
      <c r="H114" s="14"/>
      <c r="I114" s="14"/>
      <c r="J114" s="14"/>
      <c r="K114" s="14"/>
      <c r="L114" s="14"/>
      <c r="M114" s="14"/>
      <c r="N114" s="14"/>
      <c r="O114" s="14"/>
      <c r="P114" s="14"/>
      <c r="Q114" s="14"/>
      <c r="R114" s="14"/>
      <c r="U114" s="14"/>
      <c r="AE114" s="14"/>
      <c r="AO114" s="14"/>
      <c r="AY114" s="14"/>
    </row>
    <row r="115" spans="3:51" ht="15" customHeight="1" x14ac:dyDescent="0.25">
      <c r="C115" s="14"/>
      <c r="D115" s="14"/>
      <c r="E115" s="14"/>
      <c r="F115" s="14"/>
      <c r="G115" s="14"/>
      <c r="H115" s="14"/>
      <c r="I115" s="14"/>
      <c r="J115" s="14"/>
      <c r="K115" s="14"/>
      <c r="L115" s="14"/>
      <c r="M115" s="14"/>
      <c r="N115" s="14"/>
      <c r="O115" s="14"/>
      <c r="P115" s="14"/>
      <c r="Q115" s="14"/>
      <c r="R115" s="14"/>
      <c r="U115" s="14"/>
      <c r="AE115" s="14"/>
      <c r="AO115" s="14"/>
      <c r="AY115" s="14"/>
    </row>
  </sheetData>
  <mergeCells count="133">
    <mergeCell ref="A55:A59"/>
    <mergeCell ref="D55:F55"/>
    <mergeCell ref="J55:L55"/>
    <mergeCell ref="D65:F65"/>
    <mergeCell ref="J65:L65"/>
    <mergeCell ref="P65:R65"/>
    <mergeCell ref="B67:B69"/>
    <mergeCell ref="H67:H69"/>
    <mergeCell ref="N67:N69"/>
    <mergeCell ref="A60:A64"/>
    <mergeCell ref="D60:F60"/>
    <mergeCell ref="J60:L60"/>
    <mergeCell ref="P60:R60"/>
    <mergeCell ref="B62:B64"/>
    <mergeCell ref="H62:H64"/>
    <mergeCell ref="N62:N64"/>
    <mergeCell ref="A80:A84"/>
    <mergeCell ref="D80:F80"/>
    <mergeCell ref="J80:L80"/>
    <mergeCell ref="P80:R80"/>
    <mergeCell ref="B82:B84"/>
    <mergeCell ref="H82:H84"/>
    <mergeCell ref="N82:N84"/>
    <mergeCell ref="A90:A94"/>
    <mergeCell ref="D90:F90"/>
    <mergeCell ref="J90:L90"/>
    <mergeCell ref="P90:R90"/>
    <mergeCell ref="B92:B94"/>
    <mergeCell ref="H92:H94"/>
    <mergeCell ref="N92:N94"/>
    <mergeCell ref="A85:A89"/>
    <mergeCell ref="D85:F85"/>
    <mergeCell ref="J85:L85"/>
    <mergeCell ref="P85:R85"/>
    <mergeCell ref="B87:B89"/>
    <mergeCell ref="H87:H89"/>
    <mergeCell ref="N87:N89"/>
    <mergeCell ref="D37:F37"/>
    <mergeCell ref="J37:L37"/>
    <mergeCell ref="A75:A79"/>
    <mergeCell ref="D75:F75"/>
    <mergeCell ref="J75:L75"/>
    <mergeCell ref="P75:R75"/>
    <mergeCell ref="B77:B79"/>
    <mergeCell ref="H77:H79"/>
    <mergeCell ref="N77:N79"/>
    <mergeCell ref="A70:A74"/>
    <mergeCell ref="D70:F70"/>
    <mergeCell ref="J70:L70"/>
    <mergeCell ref="P70:R70"/>
    <mergeCell ref="B72:B74"/>
    <mergeCell ref="H72:H74"/>
    <mergeCell ref="N72:N74"/>
    <mergeCell ref="A50:A54"/>
    <mergeCell ref="D50:F50"/>
    <mergeCell ref="J50:L50"/>
    <mergeCell ref="P50:R50"/>
    <mergeCell ref="B52:B54"/>
    <mergeCell ref="H52:H54"/>
    <mergeCell ref="N52:N54"/>
    <mergeCell ref="A65:A69"/>
    <mergeCell ref="A42:A46"/>
    <mergeCell ref="B44:B46"/>
    <mergeCell ref="P55:R55"/>
    <mergeCell ref="B57:B59"/>
    <mergeCell ref="H57:H59"/>
    <mergeCell ref="N57:N59"/>
    <mergeCell ref="P7:R7"/>
    <mergeCell ref="N19:N21"/>
    <mergeCell ref="P37:R37"/>
    <mergeCell ref="D22:F22"/>
    <mergeCell ref="J22:L22"/>
    <mergeCell ref="P22:R22"/>
    <mergeCell ref="H24:H26"/>
    <mergeCell ref="N24:N26"/>
    <mergeCell ref="P27:R27"/>
    <mergeCell ref="P32:R32"/>
    <mergeCell ref="B39:B41"/>
    <mergeCell ref="H39:H41"/>
    <mergeCell ref="N29:N31"/>
    <mergeCell ref="D27:F27"/>
    <mergeCell ref="J27:L27"/>
    <mergeCell ref="N39:N41"/>
    <mergeCell ref="H44:H46"/>
    <mergeCell ref="N44:N46"/>
    <mergeCell ref="A22:A26"/>
    <mergeCell ref="B24:B26"/>
    <mergeCell ref="AP1:AX1"/>
    <mergeCell ref="B49:F49"/>
    <mergeCell ref="N49:R49"/>
    <mergeCell ref="H49:L49"/>
    <mergeCell ref="P17:R17"/>
    <mergeCell ref="N14:N16"/>
    <mergeCell ref="D17:F17"/>
    <mergeCell ref="J17:L17"/>
    <mergeCell ref="N9:N11"/>
    <mergeCell ref="D2:F2"/>
    <mergeCell ref="J2:L2"/>
    <mergeCell ref="J12:L12"/>
    <mergeCell ref="P12:R12"/>
    <mergeCell ref="V1:AD1"/>
    <mergeCell ref="AF1:AN1"/>
    <mergeCell ref="P2:R2"/>
    <mergeCell ref="A48:BD48"/>
    <mergeCell ref="A32:A36"/>
    <mergeCell ref="B34:B36"/>
    <mergeCell ref="H34:H36"/>
    <mergeCell ref="N34:N36"/>
    <mergeCell ref="P42:R42"/>
    <mergeCell ref="D42:F42"/>
    <mergeCell ref="J42:L42"/>
    <mergeCell ref="D32:F32"/>
    <mergeCell ref="J32:L32"/>
    <mergeCell ref="A37:A41"/>
    <mergeCell ref="A2:A6"/>
    <mergeCell ref="B4:B6"/>
    <mergeCell ref="H4:H6"/>
    <mergeCell ref="N4:N6"/>
    <mergeCell ref="D7:F7"/>
    <mergeCell ref="J7:L7"/>
    <mergeCell ref="A27:A31"/>
    <mergeCell ref="B29:B31"/>
    <mergeCell ref="H29:H31"/>
    <mergeCell ref="A7:A11"/>
    <mergeCell ref="B9:B11"/>
    <mergeCell ref="H9:H11"/>
    <mergeCell ref="A12:A16"/>
    <mergeCell ref="B14:B16"/>
    <mergeCell ref="H14:H16"/>
    <mergeCell ref="D12:F12"/>
    <mergeCell ref="A17:A21"/>
    <mergeCell ref="B19:B21"/>
    <mergeCell ref="H19:H21"/>
  </mergeCells>
  <conditionalFormatting sqref="V50:AY54 AY55 V56:AY59 AY60 V61:AY69 AY70 V71:AY74 V76:AY84 AY85 V86:AY90">
    <cfRule type="expression" priority="1" stopIfTrue="1">
      <formula>ISBLANK(V2)</formula>
    </cfRule>
    <cfRule type="cellIs" dxfId="8" priority="2" operator="notEqual">
      <formula>V2</formula>
    </cfRule>
    <cfRule type="cellIs" priority="3" stopIfTrue="1" operator="equal">
      <formula>"*"</formula>
    </cfRule>
    <cfRule type="cellIs" dxfId="7" priority="4" operator="equal">
      <formula>V2</formula>
    </cfRule>
  </conditionalFormatting>
  <pageMargins left="0.7" right="0.7" top="0.75" bottom="0.75" header="0.3" footer="0.3"/>
  <tableParts count="5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18C4D4-FED8-4915-BD8B-ED8157CA87FE}">
  <dimension ref="A1:AG86"/>
  <sheetViews>
    <sheetView tabSelected="1" topLeftCell="A54" zoomScaleNormal="100" workbookViewId="0">
      <selection activeCell="R88" sqref="R88"/>
    </sheetView>
  </sheetViews>
  <sheetFormatPr defaultRowHeight="15.75" x14ac:dyDescent="0.25"/>
  <cols>
    <col min="1" max="1" width="23.28515625" customWidth="1"/>
    <col min="2" max="2" width="1.7109375" style="13" customWidth="1"/>
    <col min="3" max="11" width="2.7109375" customWidth="1"/>
    <col min="12" max="12" width="0.85546875" style="13" customWidth="1"/>
    <col min="13" max="21" width="2.7109375" customWidth="1"/>
    <col min="22" max="22" width="0.85546875" style="13" customWidth="1"/>
    <col min="23" max="31" width="2.7109375" customWidth="1"/>
    <col min="32" max="32" width="0.85546875" style="13" customWidth="1"/>
    <col min="33" max="33" width="20" customWidth="1"/>
    <col min="35" max="35" width="22.7109375" customWidth="1"/>
    <col min="37" max="37" width="19" customWidth="1"/>
  </cols>
  <sheetData>
    <row r="1" spans="1:32" ht="19.5" thickBot="1" x14ac:dyDescent="0.3">
      <c r="C1" s="172" t="s">
        <v>54</v>
      </c>
      <c r="D1" s="172"/>
      <c r="E1" s="172"/>
      <c r="F1" s="172"/>
      <c r="G1" s="172"/>
      <c r="H1" s="172"/>
      <c r="I1" s="172"/>
      <c r="J1" s="172"/>
      <c r="K1" s="172"/>
      <c r="M1" s="172" t="s">
        <v>55</v>
      </c>
      <c r="N1" s="172"/>
      <c r="O1" s="172"/>
      <c r="P1" s="172"/>
      <c r="Q1" s="172"/>
      <c r="R1" s="172"/>
      <c r="S1" s="172"/>
      <c r="T1" s="172"/>
      <c r="U1" s="172"/>
      <c r="W1" s="172" t="s">
        <v>56</v>
      </c>
      <c r="X1" s="172"/>
      <c r="Y1" s="172"/>
      <c r="Z1" s="172"/>
      <c r="AA1" s="172"/>
      <c r="AB1" s="172"/>
      <c r="AC1" s="172"/>
      <c r="AD1" s="172"/>
      <c r="AE1" s="172"/>
    </row>
    <row r="2" spans="1:32" ht="16.5" thickBot="1" x14ac:dyDescent="0.3">
      <c r="A2" s="24" t="s">
        <v>62</v>
      </c>
      <c r="B2" s="25"/>
      <c r="C2" s="95" t="str">
        <f>'DE-9IM Matrixes'!V55</f>
        <v>F</v>
      </c>
      <c r="D2" s="111" t="str">
        <f>'DE-9IM Matrixes'!W55</f>
        <v>F</v>
      </c>
      <c r="E2" s="107" t="str">
        <f>'DE-9IM Matrixes'!X55</f>
        <v>*</v>
      </c>
      <c r="F2" s="111" t="str">
        <f>'DE-9IM Matrixes'!Y55</f>
        <v>F</v>
      </c>
      <c r="G2" s="101" t="str">
        <f>'DE-9IM Matrixes'!Z55</f>
        <v>F</v>
      </c>
      <c r="H2" s="110" t="str">
        <f>'DE-9IM Matrixes'!AA55</f>
        <v>*</v>
      </c>
      <c r="I2" s="107" t="str">
        <f>'DE-9IM Matrixes'!AB55</f>
        <v>*</v>
      </c>
      <c r="J2" s="107" t="str">
        <f>'DE-9IM Matrixes'!AC55</f>
        <v>*</v>
      </c>
      <c r="K2" s="108" t="str">
        <f>'DE-9IM Matrixes'!AD55</f>
        <v>*</v>
      </c>
      <c r="L2" s="25"/>
      <c r="M2" s="95" t="str">
        <f>'DE-9IM Matrixes'!AF55</f>
        <v>F</v>
      </c>
      <c r="N2" s="107" t="str">
        <f>'DE-9IM Matrixes'!AG55</f>
        <v>*</v>
      </c>
      <c r="O2" s="99" t="str">
        <f>'DE-9IM Matrixes'!AH55</f>
        <v>T</v>
      </c>
      <c r="P2" s="107" t="str">
        <f>'DE-9IM Matrixes'!AI55</f>
        <v>*</v>
      </c>
      <c r="Q2" s="106" t="str">
        <f>'DE-9IM Matrixes'!AJ55</f>
        <v>F</v>
      </c>
      <c r="R2" s="110" t="str">
        <f>'DE-9IM Matrixes'!AK55</f>
        <v>*</v>
      </c>
      <c r="S2" s="105" t="str">
        <f>'DE-9IM Matrixes'!AL55</f>
        <v>T</v>
      </c>
      <c r="T2" s="107" t="str">
        <f>'DE-9IM Matrixes'!AM55</f>
        <v>*</v>
      </c>
      <c r="U2" s="108" t="str">
        <f>'DE-9IM Matrixes'!AN55</f>
        <v>*</v>
      </c>
      <c r="V2" s="25"/>
      <c r="W2" s="106" t="str">
        <f>'DE-9IM Matrixes'!AP55</f>
        <v>T</v>
      </c>
      <c r="X2" s="107" t="str">
        <f>'DE-9IM Matrixes'!AQ55</f>
        <v>*</v>
      </c>
      <c r="Y2" s="98" t="str">
        <f>'DE-9IM Matrixes'!AR55</f>
        <v>F</v>
      </c>
      <c r="Z2" s="107" t="str">
        <f>'DE-9IM Matrixes'!AS55</f>
        <v>*</v>
      </c>
      <c r="AA2" s="106" t="str">
        <f>'DE-9IM Matrixes'!AT55</f>
        <v>F</v>
      </c>
      <c r="AB2" s="110" t="str">
        <f>'DE-9IM Matrixes'!AU55</f>
        <v>*</v>
      </c>
      <c r="AC2" s="105" t="str">
        <f>'DE-9IM Matrixes'!AV55</f>
        <v>T</v>
      </c>
      <c r="AD2" s="107" t="str">
        <f>'DE-9IM Matrixes'!AW55</f>
        <v>*</v>
      </c>
      <c r="AE2" s="108" t="str">
        <f>'DE-9IM Matrixes'!AX55</f>
        <v>*</v>
      </c>
      <c r="AF2" s="28"/>
    </row>
    <row r="3" spans="1:32" thickBot="1" x14ac:dyDescent="0.3">
      <c r="A3" s="103"/>
      <c r="B3" s="103"/>
      <c r="C3" s="103"/>
      <c r="D3" s="103"/>
      <c r="E3" s="103"/>
      <c r="F3" s="103"/>
      <c r="G3" s="103"/>
      <c r="H3" s="103"/>
      <c r="I3" s="103"/>
      <c r="J3" s="103"/>
      <c r="K3" s="103"/>
      <c r="L3" s="103"/>
      <c r="M3" s="103"/>
      <c r="N3" s="103"/>
      <c r="O3" s="103"/>
      <c r="P3" s="103"/>
      <c r="Q3" s="103"/>
      <c r="R3" s="103"/>
      <c r="S3" s="103"/>
      <c r="T3" s="103"/>
      <c r="U3" s="103"/>
      <c r="V3" s="103"/>
      <c r="W3" s="103"/>
      <c r="X3" s="103"/>
      <c r="Y3" s="103"/>
      <c r="Z3" s="103"/>
      <c r="AA3" s="103"/>
      <c r="AB3" s="103"/>
      <c r="AC3" s="103"/>
      <c r="AD3" s="103"/>
      <c r="AE3" s="103"/>
      <c r="AF3" s="103"/>
    </row>
    <row r="4" spans="1:32" ht="16.5" thickBot="1" x14ac:dyDescent="0.3">
      <c r="A4" s="24" t="str">
        <f>'DE-9IM Matrixes'!T7</f>
        <v>Shelters</v>
      </c>
      <c r="B4" s="25"/>
      <c r="C4" s="95" t="str">
        <f>'DE-9IM Matrixes'!V7</f>
        <v>F</v>
      </c>
      <c r="D4" s="111" t="str">
        <f>'DE-9IM Matrixes'!W7</f>
        <v>F</v>
      </c>
      <c r="E4" s="107" t="str">
        <f>'DE-9IM Matrixes'!X7</f>
        <v>*</v>
      </c>
      <c r="F4" s="111" t="str">
        <f>'DE-9IM Matrixes'!Y7</f>
        <v>F</v>
      </c>
      <c r="G4" s="101" t="str">
        <f>'DE-9IM Matrixes'!Z7</f>
        <v>F</v>
      </c>
      <c r="H4" s="110" t="str">
        <f>'DE-9IM Matrixes'!AA7</f>
        <v>*</v>
      </c>
      <c r="I4" s="107" t="str">
        <f>'DE-9IM Matrixes'!AB7</f>
        <v>*</v>
      </c>
      <c r="J4" s="107" t="str">
        <f>'DE-9IM Matrixes'!AC7</f>
        <v>*</v>
      </c>
      <c r="K4" s="108" t="str">
        <f>'DE-9IM Matrixes'!AD7</f>
        <v>*</v>
      </c>
      <c r="L4" s="25"/>
      <c r="M4" s="95" t="str">
        <f>'DE-9IM Matrixes'!AF7</f>
        <v>F</v>
      </c>
      <c r="N4" s="107" t="str">
        <f>'DE-9IM Matrixes'!AG7</f>
        <v>*</v>
      </c>
      <c r="O4" s="99" t="str">
        <f>'DE-9IM Matrixes'!AH7</f>
        <v>T</v>
      </c>
      <c r="P4" s="107" t="str">
        <f>'DE-9IM Matrixes'!AI7</f>
        <v>*</v>
      </c>
      <c r="Q4" s="106" t="str">
        <f>'DE-9IM Matrixes'!AJ7</f>
        <v>F</v>
      </c>
      <c r="R4" s="110" t="str">
        <f>'DE-9IM Matrixes'!AK7</f>
        <v>*</v>
      </c>
      <c r="S4" s="105" t="str">
        <f>'DE-9IM Matrixes'!AL7</f>
        <v>T</v>
      </c>
      <c r="T4" s="107" t="str">
        <f>'DE-9IM Matrixes'!AM7</f>
        <v>*</v>
      </c>
      <c r="U4" s="108" t="str">
        <f>'DE-9IM Matrixes'!AN7</f>
        <v>*</v>
      </c>
      <c r="V4" s="25"/>
      <c r="W4" s="106" t="str">
        <f>'DE-9IM Matrixes'!AP7</f>
        <v>T</v>
      </c>
      <c r="X4" s="107" t="str">
        <f>'DE-9IM Matrixes'!AQ7</f>
        <v>*</v>
      </c>
      <c r="Y4" s="99" t="str">
        <f>'DE-9IM Matrixes'!AR7</f>
        <v>T</v>
      </c>
      <c r="Z4" s="107" t="str">
        <f>'DE-9IM Matrixes'!AS7</f>
        <v>*</v>
      </c>
      <c r="AA4" s="106" t="str">
        <f>'DE-9IM Matrixes'!AT7</f>
        <v>F</v>
      </c>
      <c r="AB4" s="110" t="str">
        <f>'DE-9IM Matrixes'!AU7</f>
        <v>*</v>
      </c>
      <c r="AC4" s="22" t="str">
        <f>'DE-9IM Matrixes'!AV7</f>
        <v>F</v>
      </c>
      <c r="AD4" s="107" t="str">
        <f>'DE-9IM Matrixes'!AW7</f>
        <v>*</v>
      </c>
      <c r="AE4" s="108" t="str">
        <f>'DE-9IM Matrixes'!AX7</f>
        <v>*</v>
      </c>
      <c r="AF4" s="28"/>
    </row>
    <row r="5" spans="1:32" thickBot="1" x14ac:dyDescent="0.3">
      <c r="A5" s="103"/>
      <c r="B5" s="103"/>
      <c r="C5" s="103"/>
      <c r="D5" s="103"/>
      <c r="E5" s="103"/>
      <c r="F5" s="103"/>
      <c r="G5" s="103"/>
      <c r="H5" s="103"/>
      <c r="I5" s="103"/>
      <c r="J5" s="103"/>
      <c r="K5" s="103"/>
      <c r="L5" s="103"/>
      <c r="M5" s="103"/>
      <c r="N5" s="103"/>
      <c r="O5" s="103"/>
      <c r="P5" s="103"/>
      <c r="Q5" s="103"/>
      <c r="R5" s="103"/>
      <c r="S5" s="103"/>
      <c r="T5" s="103"/>
      <c r="U5" s="103"/>
      <c r="V5" s="103"/>
      <c r="W5" s="103"/>
      <c r="X5" s="103"/>
      <c r="Y5" s="103"/>
      <c r="Z5" s="103"/>
      <c r="AA5" s="103"/>
      <c r="AB5" s="103"/>
      <c r="AC5" s="103"/>
      <c r="AD5" s="103"/>
      <c r="AE5" s="103"/>
      <c r="AF5" s="103"/>
    </row>
    <row r="6" spans="1:32" ht="16.5" thickBot="1" x14ac:dyDescent="0.3">
      <c r="A6" s="24" t="str">
        <f>'DE-9IM Matrixes'!T2</f>
        <v>Disjoint</v>
      </c>
      <c r="B6" s="25"/>
      <c r="C6" s="95" t="str">
        <f>'DE-9IM Matrixes'!V2</f>
        <v>F</v>
      </c>
      <c r="D6" s="111" t="str">
        <f>'DE-9IM Matrixes'!W2</f>
        <v>F</v>
      </c>
      <c r="E6" s="107" t="str">
        <f>'DE-9IM Matrixes'!X2</f>
        <v>*</v>
      </c>
      <c r="F6" s="111" t="str">
        <f>'DE-9IM Matrixes'!Y2</f>
        <v>F</v>
      </c>
      <c r="G6" s="101" t="str">
        <f>'DE-9IM Matrixes'!Z2</f>
        <v>F</v>
      </c>
      <c r="H6" s="110" t="str">
        <f>'DE-9IM Matrixes'!AA2</f>
        <v>*</v>
      </c>
      <c r="I6" s="107" t="str">
        <f>'DE-9IM Matrixes'!AB2</f>
        <v>*</v>
      </c>
      <c r="J6" s="107" t="str">
        <f>'DE-9IM Matrixes'!AC2</f>
        <v>*</v>
      </c>
      <c r="K6" s="108" t="str">
        <f>'DE-9IM Matrixes'!AD2</f>
        <v>*</v>
      </c>
      <c r="L6" s="25"/>
      <c r="M6" s="95" t="str">
        <f>'DE-9IM Matrixes'!AF2</f>
        <v>F</v>
      </c>
      <c r="N6" s="107" t="str">
        <f>'DE-9IM Matrixes'!AG2</f>
        <v>*</v>
      </c>
      <c r="O6" s="99" t="str">
        <f>'DE-9IM Matrixes'!AH2</f>
        <v>T</v>
      </c>
      <c r="P6" s="107" t="str">
        <f>'DE-9IM Matrixes'!AI2</f>
        <v>*</v>
      </c>
      <c r="Q6" s="106" t="str">
        <f>'DE-9IM Matrixes'!AJ2</f>
        <v>F</v>
      </c>
      <c r="R6" s="110" t="str">
        <f>'DE-9IM Matrixes'!AK2</f>
        <v>*</v>
      </c>
      <c r="S6" s="105" t="str">
        <f>'DE-9IM Matrixes'!AL2</f>
        <v>T</v>
      </c>
      <c r="T6" s="107" t="str">
        <f>'DE-9IM Matrixes'!AM2</f>
        <v>*</v>
      </c>
      <c r="U6" s="108" t="str">
        <f>'DE-9IM Matrixes'!AN2</f>
        <v>*</v>
      </c>
      <c r="V6" s="25"/>
      <c r="W6" s="109" t="str">
        <f>'DE-9IM Matrixes'!AP2</f>
        <v>*</v>
      </c>
      <c r="X6" s="107" t="str">
        <f>'DE-9IM Matrixes'!AQ2</f>
        <v>*</v>
      </c>
      <c r="Y6" s="99" t="str">
        <f>'DE-9IM Matrixes'!AR2</f>
        <v>T</v>
      </c>
      <c r="Z6" s="107" t="str">
        <f>'DE-9IM Matrixes'!AS2</f>
        <v>*</v>
      </c>
      <c r="AA6" s="106" t="str">
        <f>'DE-9IM Matrixes'!AT2</f>
        <v>F</v>
      </c>
      <c r="AB6" s="110" t="str">
        <f>'DE-9IM Matrixes'!AU2</f>
        <v>*</v>
      </c>
      <c r="AC6" s="105" t="str">
        <f>'DE-9IM Matrixes'!AV2</f>
        <v>T</v>
      </c>
      <c r="AD6" s="107" t="str">
        <f>'DE-9IM Matrixes'!AW2</f>
        <v>*</v>
      </c>
      <c r="AE6" s="108" t="str">
        <f>'DE-9IM Matrixes'!AX2</f>
        <v>*</v>
      </c>
      <c r="AF6" s="28"/>
    </row>
    <row r="7" spans="1:32" thickBot="1" x14ac:dyDescent="0.3">
      <c r="A7" s="94"/>
      <c r="B7" s="94"/>
      <c r="C7" s="94"/>
      <c r="D7" s="94"/>
      <c r="E7" s="94"/>
      <c r="F7" s="94"/>
      <c r="G7" s="94"/>
      <c r="H7" s="94"/>
      <c r="I7" s="94"/>
      <c r="J7" s="94"/>
      <c r="K7" s="94"/>
      <c r="L7" s="94"/>
      <c r="M7" s="94"/>
      <c r="N7" s="94"/>
      <c r="O7" s="94"/>
      <c r="P7" s="94"/>
      <c r="Q7" s="94"/>
      <c r="R7" s="94"/>
      <c r="S7" s="94"/>
      <c r="T7" s="94"/>
      <c r="U7" s="94"/>
      <c r="V7" s="94"/>
      <c r="W7" s="94"/>
      <c r="X7" s="94"/>
      <c r="Y7" s="94"/>
      <c r="Z7" s="94"/>
      <c r="AA7" s="94"/>
      <c r="AB7" s="94"/>
      <c r="AC7" s="94"/>
      <c r="AD7" s="94"/>
      <c r="AE7" s="94"/>
      <c r="AF7" s="94"/>
    </row>
    <row r="8" spans="1:32" ht="16.5" thickBot="1" x14ac:dyDescent="0.3">
      <c r="A8" s="24" t="s">
        <v>63</v>
      </c>
      <c r="B8" s="25"/>
      <c r="C8" s="95" t="str">
        <f>'DE-9IM Matrixes'!V60</f>
        <v>F</v>
      </c>
      <c r="D8" s="111" t="str">
        <f>'DE-9IM Matrixes'!W60</f>
        <v>F</v>
      </c>
      <c r="E8" s="107" t="str">
        <f>'DE-9IM Matrixes'!X60</f>
        <v>*</v>
      </c>
      <c r="F8" s="111" t="str">
        <f>'DE-9IM Matrixes'!Y60</f>
        <v>F</v>
      </c>
      <c r="G8" s="101" t="str">
        <f>'DE-9IM Matrixes'!Z60</f>
        <v>F</v>
      </c>
      <c r="H8" s="110" t="str">
        <f>'DE-9IM Matrixes'!AA60</f>
        <v>*</v>
      </c>
      <c r="I8" s="107" t="str">
        <f>'DE-9IM Matrixes'!AB60</f>
        <v>*</v>
      </c>
      <c r="J8" s="107" t="str">
        <f>'DE-9IM Matrixes'!AC60</f>
        <v>*</v>
      </c>
      <c r="K8" s="108" t="str">
        <f>'DE-9IM Matrixes'!AD60</f>
        <v>*</v>
      </c>
      <c r="L8" s="25"/>
      <c r="M8" s="96" t="str">
        <f>'DE-9IM Matrixes'!AF60</f>
        <v>T</v>
      </c>
      <c r="N8" s="107" t="str">
        <f>'DE-9IM Matrixes'!AG60</f>
        <v>*</v>
      </c>
      <c r="O8" s="98" t="str">
        <f>'DE-9IM Matrixes'!AH60</f>
        <v>F</v>
      </c>
      <c r="P8" s="107" t="str">
        <f>'DE-9IM Matrixes'!AI60</f>
        <v>*</v>
      </c>
      <c r="Q8" s="106" t="str">
        <f>'DE-9IM Matrixes'!AJ60</f>
        <v>F</v>
      </c>
      <c r="R8" s="110" t="str">
        <f>'DE-9IM Matrixes'!AK60</f>
        <v>*</v>
      </c>
      <c r="S8" s="105" t="str">
        <f>'DE-9IM Matrixes'!AL60</f>
        <v>T</v>
      </c>
      <c r="T8" s="107" t="str">
        <f>'DE-9IM Matrixes'!AM60</f>
        <v>*</v>
      </c>
      <c r="U8" s="108" t="str">
        <f>'DE-9IM Matrixes'!AN60</f>
        <v>*</v>
      </c>
      <c r="V8" s="25"/>
      <c r="W8" s="109" t="str">
        <f>'DE-9IM Matrixes'!AP60</f>
        <v>*</v>
      </c>
      <c r="X8" s="107" t="str">
        <f>'DE-9IM Matrixes'!AQ60</f>
        <v>*</v>
      </c>
      <c r="Y8" s="110" t="str">
        <f>'DE-9IM Matrixes'!AR60</f>
        <v>*</v>
      </c>
      <c r="Z8" s="107" t="str">
        <f>'DE-9IM Matrixes'!AS60</f>
        <v>*</v>
      </c>
      <c r="AA8" s="107" t="str">
        <f>'DE-9IM Matrixes'!AT60</f>
        <v>*</v>
      </c>
      <c r="AB8" s="110" t="str">
        <f>'DE-9IM Matrixes'!AU60</f>
        <v>*</v>
      </c>
      <c r="AC8" s="107" t="str">
        <f>'DE-9IM Matrixes'!AV60</f>
        <v>*</v>
      </c>
      <c r="AD8" s="107" t="str">
        <f>'DE-9IM Matrixes'!AW60</f>
        <v>*</v>
      </c>
      <c r="AE8" s="108" t="str">
        <f>'DE-9IM Matrixes'!AX60</f>
        <v>*</v>
      </c>
      <c r="AF8" s="28"/>
    </row>
    <row r="9" spans="1:32" thickBot="1" x14ac:dyDescent="0.3">
      <c r="A9" s="97"/>
      <c r="B9" s="97"/>
      <c r="C9" s="97"/>
      <c r="D9" s="97"/>
      <c r="E9" s="97"/>
      <c r="F9" s="97"/>
      <c r="G9" s="97"/>
      <c r="H9" s="97"/>
      <c r="I9" s="97"/>
      <c r="J9" s="97"/>
      <c r="K9" s="97"/>
      <c r="L9" s="97"/>
      <c r="M9" s="97"/>
      <c r="N9" s="97"/>
      <c r="O9" s="97"/>
      <c r="P9" s="97"/>
      <c r="Q9" s="97"/>
      <c r="R9" s="97"/>
      <c r="S9" s="97"/>
      <c r="T9" s="97"/>
      <c r="U9" s="97"/>
      <c r="V9" s="97"/>
      <c r="W9" s="97"/>
      <c r="X9" s="97"/>
      <c r="Y9" s="97"/>
      <c r="Z9" s="97"/>
      <c r="AA9" s="97"/>
      <c r="AB9" s="97"/>
      <c r="AC9" s="97"/>
      <c r="AD9" s="97"/>
      <c r="AE9" s="97"/>
      <c r="AF9" s="97"/>
    </row>
    <row r="10" spans="1:32" ht="16.5" thickBot="1" x14ac:dyDescent="0.3">
      <c r="A10" s="24" t="str">
        <f>'DE-9IM Matrixes'!T12</f>
        <v>Surrounds</v>
      </c>
      <c r="B10" s="25"/>
      <c r="C10" s="95" t="str">
        <f>'DE-9IM Matrixes'!V12</f>
        <v>F</v>
      </c>
      <c r="D10" s="111" t="str">
        <f>'DE-9IM Matrixes'!W12</f>
        <v>F</v>
      </c>
      <c r="E10" s="107" t="str">
        <f>'DE-9IM Matrixes'!X12</f>
        <v>*</v>
      </c>
      <c r="F10" s="111" t="str">
        <f>'DE-9IM Matrixes'!Y12</f>
        <v>F</v>
      </c>
      <c r="G10" s="101" t="str">
        <f>'DE-9IM Matrixes'!Z12</f>
        <v>F</v>
      </c>
      <c r="H10" s="110" t="str">
        <f>'DE-9IM Matrixes'!AA12</f>
        <v>*</v>
      </c>
      <c r="I10" s="107" t="str">
        <f>'DE-9IM Matrixes'!AB12</f>
        <v>*</v>
      </c>
      <c r="J10" s="107" t="str">
        <f>'DE-9IM Matrixes'!AC12</f>
        <v>*</v>
      </c>
      <c r="K10" s="108" t="str">
        <f>'DE-9IM Matrixes'!AD12</f>
        <v>*</v>
      </c>
      <c r="L10" s="25"/>
      <c r="M10" s="96" t="str">
        <f>'DE-9IM Matrixes'!AF12</f>
        <v>T</v>
      </c>
      <c r="N10" s="107" t="str">
        <f>'DE-9IM Matrixes'!AG12</f>
        <v>*</v>
      </c>
      <c r="O10" s="99" t="str">
        <f>'DE-9IM Matrixes'!AH12</f>
        <v>T</v>
      </c>
      <c r="P10" s="107" t="str">
        <f>'DE-9IM Matrixes'!AI12</f>
        <v>*</v>
      </c>
      <c r="Q10" s="106" t="str">
        <f>'DE-9IM Matrixes'!AJ12</f>
        <v>F</v>
      </c>
      <c r="R10" s="110" t="str">
        <f>'DE-9IM Matrixes'!AK12</f>
        <v>*</v>
      </c>
      <c r="S10" s="22" t="str">
        <f>'DE-9IM Matrixes'!AL12</f>
        <v>F</v>
      </c>
      <c r="T10" s="107" t="str">
        <f>'DE-9IM Matrixes'!AM12</f>
        <v>*</v>
      </c>
      <c r="U10" s="108" t="str">
        <f>'DE-9IM Matrixes'!AN12</f>
        <v>*</v>
      </c>
      <c r="V10" s="25"/>
      <c r="W10" s="109" t="str">
        <f>'DE-9IM Matrixes'!AP12</f>
        <v>*</v>
      </c>
      <c r="X10" s="107" t="str">
        <f>'DE-9IM Matrixes'!AQ12</f>
        <v>*</v>
      </c>
      <c r="Y10" s="110" t="str">
        <f>'DE-9IM Matrixes'!AR12</f>
        <v>*</v>
      </c>
      <c r="Z10" s="107" t="str">
        <f>'DE-9IM Matrixes'!AS12</f>
        <v>*</v>
      </c>
      <c r="AA10" s="107" t="str">
        <f>'DE-9IM Matrixes'!AT12</f>
        <v>*</v>
      </c>
      <c r="AB10" s="110" t="str">
        <f>'DE-9IM Matrixes'!AU12</f>
        <v>*</v>
      </c>
      <c r="AC10" s="107" t="str">
        <f>'DE-9IM Matrixes'!AV12</f>
        <v>*</v>
      </c>
      <c r="AD10" s="107" t="str">
        <f>'DE-9IM Matrixes'!AW12</f>
        <v>*</v>
      </c>
      <c r="AE10" s="108" t="str">
        <f>'DE-9IM Matrixes'!AX12</f>
        <v>*</v>
      </c>
      <c r="AF10" s="28"/>
    </row>
    <row r="11" spans="1:32" thickBot="1" x14ac:dyDescent="0.3">
      <c r="A11" s="103"/>
      <c r="B11" s="103"/>
      <c r="C11" s="103"/>
      <c r="D11" s="103"/>
      <c r="E11" s="103"/>
      <c r="F11" s="103"/>
      <c r="G11" s="103"/>
      <c r="H11" s="103"/>
      <c r="I11" s="103"/>
      <c r="J11" s="103"/>
      <c r="K11" s="103"/>
      <c r="L11" s="103"/>
      <c r="M11" s="103"/>
      <c r="N11" s="103"/>
      <c r="O11" s="103"/>
      <c r="P11" s="103"/>
      <c r="Q11" s="103"/>
      <c r="R11" s="103"/>
      <c r="S11" s="103"/>
      <c r="T11" s="103"/>
      <c r="U11" s="103"/>
      <c r="V11" s="103"/>
      <c r="W11" s="103"/>
      <c r="X11" s="103"/>
      <c r="Y11" s="103"/>
      <c r="Z11" s="103"/>
      <c r="AA11" s="103"/>
      <c r="AB11" s="103"/>
      <c r="AC11" s="103"/>
      <c r="AD11" s="103"/>
      <c r="AE11" s="103"/>
      <c r="AF11" s="103"/>
    </row>
    <row r="12" spans="1:32" ht="16.5" thickBot="1" x14ac:dyDescent="0.3">
      <c r="A12" s="24" t="str">
        <f>'DE-9IM Matrixes'!T17</f>
        <v>Borders</v>
      </c>
      <c r="B12" s="25"/>
      <c r="C12" s="95" t="str">
        <f>'DE-9IM Matrixes'!V17</f>
        <v>F</v>
      </c>
      <c r="D12" s="107" t="str">
        <f>'DE-9IM Matrixes'!W17</f>
        <v>*</v>
      </c>
      <c r="E12" s="107" t="str">
        <f>'DE-9IM Matrixes'!X17</f>
        <v>*</v>
      </c>
      <c r="F12" s="107" t="str">
        <f>'DE-9IM Matrixes'!Y17</f>
        <v>*</v>
      </c>
      <c r="G12" s="102" t="str">
        <f>'DE-9IM Matrixes'!Z17</f>
        <v>T</v>
      </c>
      <c r="H12" s="110" t="str">
        <f>'DE-9IM Matrixes'!AA17</f>
        <v>*</v>
      </c>
      <c r="I12" s="107" t="str">
        <f>'DE-9IM Matrixes'!AB17</f>
        <v>*</v>
      </c>
      <c r="J12" s="107" t="str">
        <f>'DE-9IM Matrixes'!AC17</f>
        <v>*</v>
      </c>
      <c r="K12" s="108" t="str">
        <f>'DE-9IM Matrixes'!AD17</f>
        <v>*</v>
      </c>
      <c r="L12" s="25"/>
      <c r="M12" s="95" t="str">
        <f>'DE-9IM Matrixes'!AF17</f>
        <v>F</v>
      </c>
      <c r="N12" s="107" t="str">
        <f>'DE-9IM Matrixes'!AG17</f>
        <v>*</v>
      </c>
      <c r="O12" s="99" t="str">
        <f>'DE-9IM Matrixes'!AH17</f>
        <v>T</v>
      </c>
      <c r="P12" s="107" t="str">
        <f>'DE-9IM Matrixes'!AI17</f>
        <v>*</v>
      </c>
      <c r="Q12" s="107" t="str">
        <f>'DE-9IM Matrixes'!AJ17</f>
        <v>*</v>
      </c>
      <c r="R12" s="110" t="str">
        <f>'DE-9IM Matrixes'!AK17</f>
        <v>*</v>
      </c>
      <c r="S12" s="105" t="str">
        <f>'DE-9IM Matrixes'!AL17</f>
        <v>T</v>
      </c>
      <c r="T12" s="107" t="str">
        <f>'DE-9IM Matrixes'!AM17</f>
        <v>*</v>
      </c>
      <c r="U12" s="108" t="str">
        <f>'DE-9IM Matrixes'!AN17</f>
        <v>*</v>
      </c>
      <c r="V12" s="25"/>
      <c r="W12" s="109" t="str">
        <f>'DE-9IM Matrixes'!AP17</f>
        <v>*</v>
      </c>
      <c r="X12" s="107" t="str">
        <f>'DE-9IM Matrixes'!AQ17</f>
        <v>*</v>
      </c>
      <c r="Y12" s="110" t="str">
        <f>'DE-9IM Matrixes'!AR17</f>
        <v>*</v>
      </c>
      <c r="Z12" s="107" t="str">
        <f>'DE-9IM Matrixes'!AS17</f>
        <v>*</v>
      </c>
      <c r="AA12" s="107" t="str">
        <f>'DE-9IM Matrixes'!AT17</f>
        <v>*</v>
      </c>
      <c r="AB12" s="110" t="str">
        <f>'DE-9IM Matrixes'!AU17</f>
        <v>*</v>
      </c>
      <c r="AC12" s="107" t="str">
        <f>'DE-9IM Matrixes'!AV17</f>
        <v>*</v>
      </c>
      <c r="AD12" s="107" t="str">
        <f>'DE-9IM Matrixes'!AW17</f>
        <v>*</v>
      </c>
      <c r="AE12" s="108" t="str">
        <f>'DE-9IM Matrixes'!AX17</f>
        <v>*</v>
      </c>
      <c r="AF12" s="28"/>
    </row>
    <row r="13" spans="1:32" thickBot="1" x14ac:dyDescent="0.3">
      <c r="A13" s="97"/>
      <c r="B13" s="97"/>
      <c r="C13" s="97"/>
      <c r="D13" s="97"/>
      <c r="E13" s="97"/>
      <c r="F13" s="97"/>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row>
    <row r="14" spans="1:32" ht="16.5" thickBot="1" x14ac:dyDescent="0.3">
      <c r="A14" s="24" t="s">
        <v>64</v>
      </c>
      <c r="B14" s="25"/>
      <c r="C14" s="95" t="str">
        <f>'DE-9IM Matrixes'!V70</f>
        <v>F</v>
      </c>
      <c r="D14" s="107" t="str">
        <f>'DE-9IM Matrixes'!W70</f>
        <v>*</v>
      </c>
      <c r="E14" s="107" t="str">
        <f>'DE-9IM Matrixes'!X70</f>
        <v>*</v>
      </c>
      <c r="F14" s="107" t="str">
        <f>'DE-9IM Matrixes'!Y70</f>
        <v>*</v>
      </c>
      <c r="G14" s="102" t="str">
        <f>'DE-9IM Matrixes'!Z70</f>
        <v>T</v>
      </c>
      <c r="H14" s="110" t="str">
        <f>'DE-9IM Matrixes'!AA70</f>
        <v>*</v>
      </c>
      <c r="I14" s="107" t="str">
        <f>'DE-9IM Matrixes'!AB70</f>
        <v>*</v>
      </c>
      <c r="J14" s="107" t="str">
        <f>'DE-9IM Matrixes'!AC70</f>
        <v>*</v>
      </c>
      <c r="K14" s="108" t="str">
        <f>'DE-9IM Matrixes'!AD70</f>
        <v>*</v>
      </c>
      <c r="L14" s="25"/>
      <c r="M14" s="96" t="str">
        <f>'DE-9IM Matrixes'!AF70</f>
        <v>T</v>
      </c>
      <c r="N14" s="107" t="str">
        <f>'DE-9IM Matrixes'!AG70</f>
        <v>*</v>
      </c>
      <c r="O14" s="98" t="str">
        <f>'DE-9IM Matrixes'!AH70</f>
        <v>F</v>
      </c>
      <c r="P14" s="107" t="str">
        <f>'DE-9IM Matrixes'!AI70</f>
        <v>*</v>
      </c>
      <c r="Q14" s="107" t="str">
        <f>'DE-9IM Matrixes'!AJ70</f>
        <v>*</v>
      </c>
      <c r="R14" s="110" t="str">
        <f>'DE-9IM Matrixes'!AK70</f>
        <v>*</v>
      </c>
      <c r="S14" s="105" t="str">
        <f>'DE-9IM Matrixes'!AL70</f>
        <v>T</v>
      </c>
      <c r="T14" s="107" t="str">
        <f>'DE-9IM Matrixes'!AM70</f>
        <v>*</v>
      </c>
      <c r="U14" s="108" t="str">
        <f>'DE-9IM Matrixes'!AN70</f>
        <v>*</v>
      </c>
      <c r="V14" s="25"/>
      <c r="W14" s="109" t="str">
        <f>'DE-9IM Matrixes'!AP70</f>
        <v>*</v>
      </c>
      <c r="X14" s="107" t="str">
        <f>'DE-9IM Matrixes'!AQ70</f>
        <v>*</v>
      </c>
      <c r="Y14" s="110" t="str">
        <f>'DE-9IM Matrixes'!AR70</f>
        <v>*</v>
      </c>
      <c r="Z14" s="107" t="str">
        <f>'DE-9IM Matrixes'!AS70</f>
        <v>*</v>
      </c>
      <c r="AA14" s="107" t="str">
        <f>'DE-9IM Matrixes'!AT70</f>
        <v>*</v>
      </c>
      <c r="AB14" s="110" t="str">
        <f>'DE-9IM Matrixes'!AU70</f>
        <v>*</v>
      </c>
      <c r="AC14" s="107" t="str">
        <f>'DE-9IM Matrixes'!AV70</f>
        <v>*</v>
      </c>
      <c r="AD14" s="107" t="str">
        <f>'DE-9IM Matrixes'!AW70</f>
        <v>*</v>
      </c>
      <c r="AE14" s="108" t="str">
        <f>'DE-9IM Matrixes'!AX70</f>
        <v>*</v>
      </c>
      <c r="AF14" s="28"/>
    </row>
    <row r="15" spans="1:32" thickBot="1" x14ac:dyDescent="0.3">
      <c r="A15" s="100"/>
      <c r="B15" s="100"/>
      <c r="C15" s="100"/>
      <c r="D15" s="100"/>
      <c r="E15" s="100"/>
      <c r="F15" s="100"/>
      <c r="G15" s="100"/>
      <c r="H15" s="100"/>
      <c r="I15" s="100"/>
      <c r="J15" s="100"/>
      <c r="K15" s="100"/>
      <c r="L15" s="100"/>
      <c r="M15" s="100"/>
      <c r="N15" s="100"/>
      <c r="O15" s="100"/>
      <c r="P15" s="100"/>
      <c r="Q15" s="100"/>
      <c r="R15" s="100"/>
      <c r="S15" s="100"/>
      <c r="T15" s="100"/>
      <c r="U15" s="100"/>
      <c r="V15" s="100"/>
      <c r="W15" s="100"/>
      <c r="X15" s="100"/>
      <c r="Y15" s="100"/>
      <c r="Z15" s="100"/>
      <c r="AA15" s="100"/>
      <c r="AB15" s="100"/>
      <c r="AC15" s="100"/>
      <c r="AD15" s="100"/>
      <c r="AE15" s="100"/>
      <c r="AF15" s="100"/>
    </row>
    <row r="16" spans="1:32" ht="16.5" thickBot="1" x14ac:dyDescent="0.3">
      <c r="A16" s="24" t="str">
        <f>'DE-9IM Matrixes'!T22</f>
        <v>Confines</v>
      </c>
      <c r="B16" s="25"/>
      <c r="C16" s="95" t="str">
        <f>'DE-9IM Matrixes'!V22</f>
        <v>F</v>
      </c>
      <c r="D16" s="107" t="str">
        <f>'DE-9IM Matrixes'!W22</f>
        <v>*</v>
      </c>
      <c r="E16" s="107" t="str">
        <f>'DE-9IM Matrixes'!X22</f>
        <v>*</v>
      </c>
      <c r="F16" s="107" t="str">
        <f>'DE-9IM Matrixes'!Y22</f>
        <v>*</v>
      </c>
      <c r="G16" s="102" t="str">
        <f>'DE-9IM Matrixes'!Z22</f>
        <v>T</v>
      </c>
      <c r="H16" s="110" t="str">
        <f>'DE-9IM Matrixes'!AA22</f>
        <v>*</v>
      </c>
      <c r="I16" s="107" t="str">
        <f>'DE-9IM Matrixes'!AB22</f>
        <v>*</v>
      </c>
      <c r="J16" s="107" t="str">
        <f>'DE-9IM Matrixes'!AC22</f>
        <v>*</v>
      </c>
      <c r="K16" s="108" t="str">
        <f>'DE-9IM Matrixes'!AD22</f>
        <v>*</v>
      </c>
      <c r="L16" s="25"/>
      <c r="M16" s="96" t="str">
        <f>'DE-9IM Matrixes'!AF22</f>
        <v>T</v>
      </c>
      <c r="N16" s="107" t="str">
        <f>'DE-9IM Matrixes'!AG22</f>
        <v>*</v>
      </c>
      <c r="O16" s="99" t="str">
        <f>'DE-9IM Matrixes'!AH22</f>
        <v>T</v>
      </c>
      <c r="P16" s="107" t="str">
        <f>'DE-9IM Matrixes'!AI22</f>
        <v>*</v>
      </c>
      <c r="Q16" s="107" t="str">
        <f>'DE-9IM Matrixes'!AJ22</f>
        <v>*</v>
      </c>
      <c r="R16" s="110" t="str">
        <f>'DE-9IM Matrixes'!AK22</f>
        <v>*</v>
      </c>
      <c r="S16" s="22" t="str">
        <f>'DE-9IM Matrixes'!AL22</f>
        <v>F</v>
      </c>
      <c r="T16" s="107" t="str">
        <f>'DE-9IM Matrixes'!AM22</f>
        <v>*</v>
      </c>
      <c r="U16" s="108" t="str">
        <f>'DE-9IM Matrixes'!AN22</f>
        <v>*</v>
      </c>
      <c r="V16" s="25"/>
      <c r="W16" s="109" t="str">
        <f>'DE-9IM Matrixes'!AP22</f>
        <v>*</v>
      </c>
      <c r="X16" s="107" t="str">
        <f>'DE-9IM Matrixes'!AQ22</f>
        <v>*</v>
      </c>
      <c r="Y16" s="110" t="str">
        <f>'DE-9IM Matrixes'!AR22</f>
        <v>*</v>
      </c>
      <c r="Z16" s="107" t="str">
        <f>'DE-9IM Matrixes'!AS22</f>
        <v>*</v>
      </c>
      <c r="AA16" s="107" t="str">
        <f>'DE-9IM Matrixes'!AT22</f>
        <v>*</v>
      </c>
      <c r="AB16" s="110" t="str">
        <f>'DE-9IM Matrixes'!AU22</f>
        <v>*</v>
      </c>
      <c r="AC16" s="107" t="str">
        <f>'DE-9IM Matrixes'!AV22</f>
        <v>*</v>
      </c>
      <c r="AD16" s="107" t="str">
        <f>'DE-9IM Matrixes'!AW22</f>
        <v>*</v>
      </c>
      <c r="AE16" s="108" t="str">
        <f>'DE-9IM Matrixes'!AX22</f>
        <v>*</v>
      </c>
      <c r="AF16" s="28"/>
    </row>
    <row r="17" spans="1:32" thickBot="1" x14ac:dyDescent="0.3">
      <c r="A17" s="103"/>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c r="AA17" s="103"/>
      <c r="AB17" s="103"/>
      <c r="AC17" s="103"/>
      <c r="AD17" s="103"/>
      <c r="AE17" s="103"/>
      <c r="AF17" s="103"/>
    </row>
    <row r="18" spans="1:32" ht="16.5" thickBot="1" x14ac:dyDescent="0.3">
      <c r="A18" s="24" t="str">
        <f>'DE-9IM Matrixes'!T32</f>
        <v>Equals</v>
      </c>
      <c r="B18" s="25"/>
      <c r="C18" s="96" t="str">
        <f>'DE-9IM Matrixes'!V32</f>
        <v>T</v>
      </c>
      <c r="D18" s="107" t="str">
        <f>'DE-9IM Matrixes'!W32</f>
        <v>*</v>
      </c>
      <c r="E18" s="98" t="str">
        <f>'DE-9IM Matrixes'!X32</f>
        <v>F</v>
      </c>
      <c r="F18" s="107" t="str">
        <f>'DE-9IM Matrixes'!Y32</f>
        <v>*</v>
      </c>
      <c r="G18" s="102" t="str">
        <f>'DE-9IM Matrixes'!Z32</f>
        <v>T</v>
      </c>
      <c r="H18" s="107" t="str">
        <f>'DE-9IM Matrixes'!AA32</f>
        <v>*</v>
      </c>
      <c r="I18" s="104" t="str">
        <f>'DE-9IM Matrixes'!AB32</f>
        <v>F</v>
      </c>
      <c r="J18" s="107" t="str">
        <f>'DE-9IM Matrixes'!AC32</f>
        <v>*</v>
      </c>
      <c r="K18" s="108" t="str">
        <f>'DE-9IM Matrixes'!AD32</f>
        <v>*</v>
      </c>
      <c r="L18" s="25"/>
      <c r="M18" s="109" t="str">
        <f>'DE-9IM Matrixes'!AF32</f>
        <v>*</v>
      </c>
      <c r="N18" s="107" t="str">
        <f>'DE-9IM Matrixes'!AG32</f>
        <v>*</v>
      </c>
      <c r="O18" s="110" t="str">
        <f>'DE-9IM Matrixes'!AH32</f>
        <v>*</v>
      </c>
      <c r="P18" s="107" t="str">
        <f>'DE-9IM Matrixes'!AI32</f>
        <v>*</v>
      </c>
      <c r="Q18" s="107" t="str">
        <f>'DE-9IM Matrixes'!AJ32</f>
        <v>*</v>
      </c>
      <c r="R18" s="110" t="str">
        <f>'DE-9IM Matrixes'!AK32</f>
        <v>*</v>
      </c>
      <c r="S18" s="107" t="str">
        <f>'DE-9IM Matrixes'!AL32</f>
        <v>*</v>
      </c>
      <c r="T18" s="107" t="str">
        <f>'DE-9IM Matrixes'!AM32</f>
        <v>*</v>
      </c>
      <c r="U18" s="108" t="str">
        <f>'DE-9IM Matrixes'!AN32</f>
        <v>*</v>
      </c>
      <c r="V18" s="25"/>
      <c r="W18" s="109" t="str">
        <f>'DE-9IM Matrixes'!AP32</f>
        <v>*</v>
      </c>
      <c r="X18" s="107" t="str">
        <f>'DE-9IM Matrixes'!AQ32</f>
        <v>*</v>
      </c>
      <c r="Y18" s="110" t="str">
        <f>'DE-9IM Matrixes'!AR32</f>
        <v>*</v>
      </c>
      <c r="Z18" s="107" t="str">
        <f>'DE-9IM Matrixes'!AS32</f>
        <v>*</v>
      </c>
      <c r="AA18" s="107" t="str">
        <f>'DE-9IM Matrixes'!AT32</f>
        <v>*</v>
      </c>
      <c r="AB18" s="110" t="str">
        <f>'DE-9IM Matrixes'!AU32</f>
        <v>*</v>
      </c>
      <c r="AC18" s="107" t="str">
        <f>'DE-9IM Matrixes'!AV32</f>
        <v>*</v>
      </c>
      <c r="AD18" s="107" t="str">
        <f>'DE-9IM Matrixes'!AW32</f>
        <v>*</v>
      </c>
      <c r="AE18" s="108" t="str">
        <f>'DE-9IM Matrixes'!AX32</f>
        <v>*</v>
      </c>
      <c r="AF18" s="28"/>
    </row>
    <row r="19" spans="1:32" thickBot="1" x14ac:dyDescent="0.3">
      <c r="A19" s="103"/>
      <c r="B19" s="103"/>
      <c r="C19" s="103"/>
      <c r="D19" s="103"/>
      <c r="E19" s="103"/>
      <c r="F19" s="103"/>
      <c r="G19" s="103"/>
      <c r="H19" s="103"/>
      <c r="I19" s="103"/>
      <c r="J19" s="103"/>
      <c r="K19" s="103"/>
      <c r="L19" s="103"/>
      <c r="M19" s="103"/>
      <c r="N19" s="103"/>
      <c r="O19" s="103"/>
      <c r="P19" s="103"/>
      <c r="Q19" s="103"/>
      <c r="R19" s="103"/>
      <c r="S19" s="103"/>
      <c r="T19" s="103"/>
      <c r="U19" s="103"/>
      <c r="V19" s="103"/>
      <c r="W19" s="103"/>
      <c r="X19" s="103"/>
      <c r="Y19" s="103"/>
      <c r="Z19" s="103"/>
      <c r="AA19" s="103"/>
      <c r="AB19" s="103"/>
      <c r="AC19" s="103"/>
      <c r="AD19" s="103"/>
      <c r="AE19" s="103"/>
      <c r="AF19" s="103"/>
    </row>
    <row r="20" spans="1:32" ht="16.5" thickBot="1" x14ac:dyDescent="0.3">
      <c r="A20" s="24" t="str">
        <f>'DE-9IM Matrixes'!T27</f>
        <v>Contains</v>
      </c>
      <c r="B20" s="25"/>
      <c r="C20" s="96" t="str">
        <f>'DE-9IM Matrixes'!V27</f>
        <v>T</v>
      </c>
      <c r="D20" s="112" t="str">
        <f>'DE-9IM Matrixes'!W27</f>
        <v>T</v>
      </c>
      <c r="E20" s="99" t="str">
        <f>'DE-9IM Matrixes'!X27</f>
        <v>T</v>
      </c>
      <c r="F20" s="111" t="str">
        <f>'DE-9IM Matrixes'!Y27</f>
        <v>F</v>
      </c>
      <c r="G20" s="101" t="str">
        <f>'DE-9IM Matrixes'!Z27</f>
        <v>F</v>
      </c>
      <c r="H20" s="107" t="str">
        <f>'DE-9IM Matrixes'!AA27</f>
        <v>*</v>
      </c>
      <c r="I20" s="22" t="str">
        <f>'DE-9IM Matrixes'!AB27</f>
        <v>F</v>
      </c>
      <c r="J20" s="107" t="str">
        <f>'DE-9IM Matrixes'!AC27</f>
        <v>*</v>
      </c>
      <c r="K20" s="108" t="str">
        <f>'DE-9IM Matrixes'!AD27</f>
        <v>*</v>
      </c>
      <c r="L20" s="25"/>
      <c r="M20" s="106" t="str">
        <f>'DE-9IM Matrixes'!AF27</f>
        <v>T</v>
      </c>
      <c r="N20" s="107" t="str">
        <f>'DE-9IM Matrixes'!AG27</f>
        <v>*</v>
      </c>
      <c r="O20" s="110" t="str">
        <f>'DE-9IM Matrixes'!AH27</f>
        <v>*</v>
      </c>
      <c r="P20" s="107" t="str">
        <f>'DE-9IM Matrixes'!AI27</f>
        <v>*</v>
      </c>
      <c r="Q20" s="107" t="str">
        <f>'DE-9IM Matrixes'!AJ27</f>
        <v>*</v>
      </c>
      <c r="R20" s="110" t="str">
        <f>'DE-9IM Matrixes'!AK27</f>
        <v>*</v>
      </c>
      <c r="S20" s="107" t="str">
        <f>'DE-9IM Matrixes'!AL27</f>
        <v>*</v>
      </c>
      <c r="T20" s="107" t="str">
        <f>'DE-9IM Matrixes'!AM27</f>
        <v>*</v>
      </c>
      <c r="U20" s="108" t="str">
        <f>'DE-9IM Matrixes'!AN27</f>
        <v>*</v>
      </c>
      <c r="V20" s="25"/>
      <c r="W20" s="106" t="str">
        <f>'DE-9IM Matrixes'!AP27</f>
        <v>T</v>
      </c>
      <c r="X20" s="107" t="str">
        <f>'DE-9IM Matrixes'!AQ27</f>
        <v>*</v>
      </c>
      <c r="Y20" s="110" t="str">
        <f>'DE-9IM Matrixes'!AR27</f>
        <v>*</v>
      </c>
      <c r="Z20" s="107" t="str">
        <f>'DE-9IM Matrixes'!AS27</f>
        <v>*</v>
      </c>
      <c r="AA20" s="107" t="str">
        <f>'DE-9IM Matrixes'!AT27</f>
        <v>*</v>
      </c>
      <c r="AB20" s="110" t="str">
        <f>'DE-9IM Matrixes'!AU27</f>
        <v>*</v>
      </c>
      <c r="AC20" s="107" t="str">
        <f>'DE-9IM Matrixes'!AV27</f>
        <v>*</v>
      </c>
      <c r="AD20" s="107" t="str">
        <f>'DE-9IM Matrixes'!AW27</f>
        <v>*</v>
      </c>
      <c r="AE20" s="108" t="str">
        <f>'DE-9IM Matrixes'!AX27</f>
        <v>*</v>
      </c>
      <c r="AF20" s="28"/>
    </row>
    <row r="21" spans="1:32" thickBot="1" x14ac:dyDescent="0.3">
      <c r="A21" s="100"/>
      <c r="B21" s="100"/>
      <c r="C21" s="100"/>
      <c r="D21" s="100"/>
      <c r="E21" s="100"/>
      <c r="F21" s="100"/>
      <c r="G21" s="100"/>
      <c r="H21" s="100"/>
      <c r="I21" s="100"/>
      <c r="J21" s="100"/>
      <c r="K21" s="100"/>
      <c r="L21" s="100"/>
      <c r="M21" s="100"/>
      <c r="N21" s="100"/>
      <c r="O21" s="100"/>
      <c r="P21" s="100"/>
      <c r="Q21" s="100"/>
      <c r="R21" s="100"/>
      <c r="S21" s="100"/>
      <c r="T21" s="100"/>
      <c r="U21" s="100"/>
      <c r="V21" s="100"/>
      <c r="W21" s="100"/>
      <c r="X21" s="100"/>
      <c r="Y21" s="100"/>
      <c r="Z21" s="100"/>
      <c r="AA21" s="100"/>
      <c r="AB21" s="100"/>
      <c r="AC21" s="100"/>
      <c r="AD21" s="100"/>
      <c r="AE21" s="100"/>
      <c r="AF21" s="100"/>
    </row>
    <row r="22" spans="1:32" ht="16.5" thickBot="1" x14ac:dyDescent="0.3">
      <c r="A22" s="24" t="str">
        <f>'DE-9IM Matrixes'!T37</f>
        <v>Is Partitioned by</v>
      </c>
      <c r="B22" s="25"/>
      <c r="C22" s="96" t="str">
        <f>'DE-9IM Matrixes'!V37</f>
        <v>T</v>
      </c>
      <c r="D22" s="107" t="str">
        <f>'DE-9IM Matrixes'!W37</f>
        <v>*</v>
      </c>
      <c r="E22" s="99" t="str">
        <f>'DE-9IM Matrixes'!X37</f>
        <v>T</v>
      </c>
      <c r="F22" s="107" t="str">
        <f>'DE-9IM Matrixes'!Y37</f>
        <v>*</v>
      </c>
      <c r="G22" s="102" t="str">
        <f>'DE-9IM Matrixes'!Z37</f>
        <v>T</v>
      </c>
      <c r="H22" s="107" t="str">
        <f>'DE-9IM Matrixes'!AA37</f>
        <v>*</v>
      </c>
      <c r="I22" s="22" t="str">
        <f>'DE-9IM Matrixes'!AB37</f>
        <v>F</v>
      </c>
      <c r="J22" s="107" t="str">
        <f>'DE-9IM Matrixes'!AC37</f>
        <v>*</v>
      </c>
      <c r="K22" s="108" t="str">
        <f>'DE-9IM Matrixes'!AD37</f>
        <v>*</v>
      </c>
      <c r="L22" s="25"/>
      <c r="M22" s="109" t="str">
        <f>'DE-9IM Matrixes'!AF37</f>
        <v>*</v>
      </c>
      <c r="N22" s="107" t="str">
        <f>'DE-9IM Matrixes'!AG37</f>
        <v>*</v>
      </c>
      <c r="O22" s="110" t="str">
        <f>'DE-9IM Matrixes'!AH37</f>
        <v>*</v>
      </c>
      <c r="P22" s="107" t="str">
        <f>'DE-9IM Matrixes'!AI37</f>
        <v>*</v>
      </c>
      <c r="Q22" s="107" t="str">
        <f>'DE-9IM Matrixes'!AJ37</f>
        <v>*</v>
      </c>
      <c r="R22" s="110" t="str">
        <f>'DE-9IM Matrixes'!AK37</f>
        <v>*</v>
      </c>
      <c r="S22" s="107" t="str">
        <f>'DE-9IM Matrixes'!AL37</f>
        <v>*</v>
      </c>
      <c r="T22" s="107" t="str">
        <f>'DE-9IM Matrixes'!AM37</f>
        <v>*</v>
      </c>
      <c r="U22" s="108" t="str">
        <f>'DE-9IM Matrixes'!AN37</f>
        <v>*</v>
      </c>
      <c r="V22" s="25"/>
      <c r="W22" s="109" t="str">
        <f>'DE-9IM Matrixes'!AP37</f>
        <v>*</v>
      </c>
      <c r="X22" s="107" t="str">
        <f>'DE-9IM Matrixes'!AQ37</f>
        <v>*</v>
      </c>
      <c r="Y22" s="110" t="str">
        <f>'DE-9IM Matrixes'!AR37</f>
        <v>*</v>
      </c>
      <c r="Z22" s="107" t="str">
        <f>'DE-9IM Matrixes'!AS37</f>
        <v>*</v>
      </c>
      <c r="AA22" s="107" t="str">
        <f>'DE-9IM Matrixes'!AT37</f>
        <v>*</v>
      </c>
      <c r="AB22" s="110" t="str">
        <f>'DE-9IM Matrixes'!AU37</f>
        <v>*</v>
      </c>
      <c r="AC22" s="107" t="str">
        <f>'DE-9IM Matrixes'!AV37</f>
        <v>*</v>
      </c>
      <c r="AD22" s="107" t="str">
        <f>'DE-9IM Matrixes'!AW37</f>
        <v>*</v>
      </c>
      <c r="AE22" s="108" t="str">
        <f>'DE-9IM Matrixes'!AX37</f>
        <v>*</v>
      </c>
      <c r="AF22" s="28"/>
    </row>
    <row r="23" spans="1:32" thickBot="1" x14ac:dyDescent="0.3">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row>
    <row r="24" spans="1:32" ht="16.5" thickBot="1" x14ac:dyDescent="0.3">
      <c r="A24" s="24" t="s">
        <v>65</v>
      </c>
      <c r="B24" s="25"/>
      <c r="C24" s="96" t="str">
        <f>'DE-9IM Matrixes'!V75</f>
        <v>T</v>
      </c>
      <c r="D24" s="111" t="str">
        <f>'DE-9IM Matrixes'!W75</f>
        <v>F</v>
      </c>
      <c r="E24" s="98" t="str">
        <f>'DE-9IM Matrixes'!X75</f>
        <v>F</v>
      </c>
      <c r="F24" s="112" t="str">
        <f>'DE-9IM Matrixes'!Y75</f>
        <v>T</v>
      </c>
      <c r="G24" s="101" t="str">
        <f>'DE-9IM Matrixes'!Z75</f>
        <v>F</v>
      </c>
      <c r="H24" s="107" t="str">
        <f>'DE-9IM Matrixes'!AA75</f>
        <v>*</v>
      </c>
      <c r="I24" s="105" t="str">
        <f>'DE-9IM Matrixes'!AB75</f>
        <v>T</v>
      </c>
      <c r="J24" s="107" t="str">
        <f>'DE-9IM Matrixes'!AC75</f>
        <v>*</v>
      </c>
      <c r="K24" s="108" t="str">
        <f>'DE-9IM Matrixes'!AD75</f>
        <v>*</v>
      </c>
      <c r="L24" s="25"/>
      <c r="M24" s="106" t="str">
        <f>'DE-9IM Matrixes'!AF75</f>
        <v>T</v>
      </c>
      <c r="N24" s="107" t="str">
        <f>'DE-9IM Matrixes'!AG75</f>
        <v>*</v>
      </c>
      <c r="O24" s="110" t="str">
        <f>'DE-9IM Matrixes'!AH75</f>
        <v>*</v>
      </c>
      <c r="P24" s="107" t="str">
        <f>'DE-9IM Matrixes'!AI75</f>
        <v>*</v>
      </c>
      <c r="Q24" s="107" t="str">
        <f>'DE-9IM Matrixes'!AJ75</f>
        <v>*</v>
      </c>
      <c r="R24" s="110" t="str">
        <f>'DE-9IM Matrixes'!AK75</f>
        <v>*</v>
      </c>
      <c r="S24" s="107" t="str">
        <f>'DE-9IM Matrixes'!AL75</f>
        <v>*</v>
      </c>
      <c r="T24" s="107" t="str">
        <f>'DE-9IM Matrixes'!AM75</f>
        <v>*</v>
      </c>
      <c r="U24" s="108" t="str">
        <f>'DE-9IM Matrixes'!AN75</f>
        <v>*</v>
      </c>
      <c r="V24" s="25"/>
      <c r="W24" s="106" t="str">
        <f>'DE-9IM Matrixes'!AP75</f>
        <v>T</v>
      </c>
      <c r="X24" s="107" t="str">
        <f>'DE-9IM Matrixes'!AQ75</f>
        <v>*</v>
      </c>
      <c r="Y24" s="110" t="str">
        <f>'DE-9IM Matrixes'!AR75</f>
        <v>*</v>
      </c>
      <c r="Z24" s="107" t="str">
        <f>'DE-9IM Matrixes'!AS75</f>
        <v>*</v>
      </c>
      <c r="AA24" s="107" t="str">
        <f>'DE-9IM Matrixes'!AT75</f>
        <v>*</v>
      </c>
      <c r="AB24" s="110" t="str">
        <f>'DE-9IM Matrixes'!AU75</f>
        <v>*</v>
      </c>
      <c r="AC24" s="107" t="str">
        <f>'DE-9IM Matrixes'!AV75</f>
        <v>*</v>
      </c>
      <c r="AD24" s="107" t="str">
        <f>'DE-9IM Matrixes'!AW75</f>
        <v>*</v>
      </c>
      <c r="AE24" s="108" t="str">
        <f>'DE-9IM Matrixes'!AX75</f>
        <v>*</v>
      </c>
      <c r="AF24" s="28"/>
    </row>
    <row r="25" spans="1:32" thickBot="1" x14ac:dyDescent="0.3">
      <c r="A25" s="100"/>
      <c r="B25" s="100"/>
      <c r="C25" s="100"/>
      <c r="D25" s="100"/>
      <c r="E25" s="100"/>
      <c r="F25" s="100"/>
      <c r="G25" s="100"/>
      <c r="H25" s="100"/>
      <c r="I25" s="100"/>
      <c r="J25" s="100"/>
      <c r="K25" s="100"/>
      <c r="L25" s="100"/>
      <c r="M25" s="100"/>
      <c r="N25" s="100"/>
      <c r="O25" s="100"/>
      <c r="P25" s="100"/>
      <c r="Q25" s="100"/>
      <c r="R25" s="100"/>
      <c r="S25" s="100"/>
      <c r="T25" s="100"/>
      <c r="U25" s="100"/>
      <c r="V25" s="100"/>
      <c r="W25" s="100"/>
      <c r="X25" s="100"/>
      <c r="Y25" s="100"/>
      <c r="Z25" s="100"/>
      <c r="AA25" s="100"/>
      <c r="AB25" s="100"/>
      <c r="AC25" s="100"/>
      <c r="AD25" s="100"/>
      <c r="AE25" s="100"/>
      <c r="AF25" s="100"/>
    </row>
    <row r="26" spans="1:32" ht="16.5" thickBot="1" x14ac:dyDescent="0.3">
      <c r="A26" s="24" t="s">
        <v>66</v>
      </c>
      <c r="B26" s="25"/>
      <c r="C26" s="96" t="str">
        <f>'DE-9IM Matrixes'!V85</f>
        <v>T</v>
      </c>
      <c r="D26" s="107" t="str">
        <f>'DE-9IM Matrixes'!W85</f>
        <v>*</v>
      </c>
      <c r="E26" s="98" t="str">
        <f>'DE-9IM Matrixes'!X85</f>
        <v>F</v>
      </c>
      <c r="F26" s="107" t="str">
        <f>'DE-9IM Matrixes'!Y85</f>
        <v>*</v>
      </c>
      <c r="G26" s="102" t="str">
        <f>'DE-9IM Matrixes'!Z85</f>
        <v>T</v>
      </c>
      <c r="H26" s="107" t="str">
        <f>'DE-9IM Matrixes'!AA85</f>
        <v>*</v>
      </c>
      <c r="I26" s="105" t="str">
        <f>'DE-9IM Matrixes'!AB85</f>
        <v>T</v>
      </c>
      <c r="J26" s="107" t="str">
        <f>'DE-9IM Matrixes'!AC85</f>
        <v>*</v>
      </c>
      <c r="K26" s="108" t="str">
        <f>'DE-9IM Matrixes'!AD85</f>
        <v>*</v>
      </c>
      <c r="L26" s="25"/>
      <c r="M26" s="109" t="str">
        <f>'DE-9IM Matrixes'!AF85</f>
        <v>*</v>
      </c>
      <c r="N26" s="107" t="str">
        <f>'DE-9IM Matrixes'!AG85</f>
        <v>*</v>
      </c>
      <c r="O26" s="110" t="str">
        <f>'DE-9IM Matrixes'!AH85</f>
        <v>*</v>
      </c>
      <c r="P26" s="107" t="str">
        <f>'DE-9IM Matrixes'!AI85</f>
        <v>*</v>
      </c>
      <c r="Q26" s="107" t="str">
        <f>'DE-9IM Matrixes'!AJ85</f>
        <v>*</v>
      </c>
      <c r="R26" s="110" t="str">
        <f>'DE-9IM Matrixes'!AK85</f>
        <v>*</v>
      </c>
      <c r="S26" s="107" t="str">
        <f>'DE-9IM Matrixes'!AL85</f>
        <v>*</v>
      </c>
      <c r="T26" s="107" t="str">
        <f>'DE-9IM Matrixes'!AM85</f>
        <v>*</v>
      </c>
      <c r="U26" s="108" t="str">
        <f>'DE-9IM Matrixes'!AN85</f>
        <v>*</v>
      </c>
      <c r="V26" s="25"/>
      <c r="W26" s="109" t="str">
        <f>'DE-9IM Matrixes'!AP85</f>
        <v>*</v>
      </c>
      <c r="X26" s="107" t="str">
        <f>'DE-9IM Matrixes'!AQ85</f>
        <v>*</v>
      </c>
      <c r="Y26" s="110" t="str">
        <f>'DE-9IM Matrixes'!AR85</f>
        <v>*</v>
      </c>
      <c r="Z26" s="107" t="str">
        <f>'DE-9IM Matrixes'!AS85</f>
        <v>*</v>
      </c>
      <c r="AA26" s="107" t="str">
        <f>'DE-9IM Matrixes'!AT85</f>
        <v>*</v>
      </c>
      <c r="AB26" s="110" t="str">
        <f>'DE-9IM Matrixes'!AU85</f>
        <v>*</v>
      </c>
      <c r="AC26" s="107" t="str">
        <f>'DE-9IM Matrixes'!AV85</f>
        <v>*</v>
      </c>
      <c r="AD26" s="107" t="str">
        <f>'DE-9IM Matrixes'!AW85</f>
        <v>*</v>
      </c>
      <c r="AE26" s="108" t="str">
        <f>'DE-9IM Matrixes'!AX85</f>
        <v>*</v>
      </c>
      <c r="AF26" s="28"/>
    </row>
    <row r="27" spans="1:32" thickBot="1" x14ac:dyDescent="0.3">
      <c r="A27" s="103"/>
      <c r="B27" s="103"/>
      <c r="C27" s="103"/>
      <c r="D27" s="103"/>
      <c r="E27" s="103"/>
      <c r="F27" s="103"/>
      <c r="G27" s="103"/>
      <c r="H27" s="103"/>
      <c r="I27" s="103"/>
      <c r="J27" s="103"/>
      <c r="K27" s="103"/>
      <c r="L27" s="103"/>
      <c r="M27" s="103"/>
      <c r="N27" s="103"/>
      <c r="O27" s="103"/>
      <c r="P27" s="103"/>
      <c r="Q27" s="103"/>
      <c r="R27" s="103"/>
      <c r="S27" s="103"/>
      <c r="T27" s="103"/>
      <c r="U27" s="103"/>
      <c r="V27" s="103"/>
      <c r="W27" s="103"/>
      <c r="X27" s="103"/>
      <c r="Y27" s="103"/>
      <c r="Z27" s="103"/>
      <c r="AA27" s="103"/>
      <c r="AB27" s="103"/>
      <c r="AC27" s="103"/>
      <c r="AD27" s="103"/>
      <c r="AE27" s="103"/>
      <c r="AF27" s="103"/>
    </row>
    <row r="28" spans="1:32" ht="16.5" thickBot="1" x14ac:dyDescent="0.3">
      <c r="A28" s="24" t="str">
        <f>'DE-9IM Matrixes'!T42</f>
        <v>Overlaps</v>
      </c>
      <c r="B28" s="25"/>
      <c r="C28" s="96" t="str">
        <f>'DE-9IM Matrixes'!V42</f>
        <v>T</v>
      </c>
      <c r="D28" s="107" t="str">
        <f>'DE-9IM Matrixes'!W42</f>
        <v>*</v>
      </c>
      <c r="E28" s="99" t="str">
        <f>'DE-9IM Matrixes'!X42</f>
        <v>T</v>
      </c>
      <c r="F28" s="107" t="str">
        <f>'DE-9IM Matrixes'!Y42</f>
        <v>*</v>
      </c>
      <c r="G28" s="107" t="str">
        <f>'DE-9IM Matrixes'!Z42</f>
        <v>*</v>
      </c>
      <c r="H28" s="107" t="str">
        <f>'DE-9IM Matrixes'!AA42</f>
        <v>*</v>
      </c>
      <c r="I28" s="105" t="str">
        <f>'DE-9IM Matrixes'!AB42</f>
        <v>T</v>
      </c>
      <c r="J28" s="107" t="str">
        <f>'DE-9IM Matrixes'!AC42</f>
        <v>*</v>
      </c>
      <c r="K28" s="108" t="str">
        <f>'DE-9IM Matrixes'!AD42</f>
        <v>*</v>
      </c>
      <c r="L28" s="25">
        <f>'DE-9IM Matrixes'!AE42</f>
        <v>0</v>
      </c>
      <c r="M28" s="106" t="str">
        <f>'DE-9IM Matrixes'!AF42</f>
        <v>T</v>
      </c>
      <c r="N28" s="107" t="str">
        <f>'DE-9IM Matrixes'!AG42</f>
        <v>*</v>
      </c>
      <c r="O28" s="110" t="str">
        <f>'DE-9IM Matrixes'!AH42</f>
        <v>*</v>
      </c>
      <c r="P28" s="107" t="str">
        <f>'DE-9IM Matrixes'!AI42</f>
        <v>*</v>
      </c>
      <c r="Q28" s="107" t="str">
        <f>'DE-9IM Matrixes'!AJ42</f>
        <v>*</v>
      </c>
      <c r="R28" s="110" t="str">
        <f>'DE-9IM Matrixes'!AK42</f>
        <v>*</v>
      </c>
      <c r="S28" s="107" t="str">
        <f>'DE-9IM Matrixes'!AL42</f>
        <v>*</v>
      </c>
      <c r="T28" s="107" t="str">
        <f>'DE-9IM Matrixes'!AM42</f>
        <v>*</v>
      </c>
      <c r="U28" s="108" t="str">
        <f>'DE-9IM Matrixes'!AN42</f>
        <v>*</v>
      </c>
      <c r="V28" s="25">
        <f>'DE-9IM Matrixes'!AO42</f>
        <v>0</v>
      </c>
      <c r="W28" s="106" t="str">
        <f>'DE-9IM Matrixes'!AP42</f>
        <v>T</v>
      </c>
      <c r="X28" s="107" t="str">
        <f>'DE-9IM Matrixes'!AQ42</f>
        <v>*</v>
      </c>
      <c r="Y28" s="110" t="str">
        <f>'DE-9IM Matrixes'!AR42</f>
        <v>*</v>
      </c>
      <c r="Z28" s="107" t="str">
        <f>'DE-9IM Matrixes'!AS42</f>
        <v>*</v>
      </c>
      <c r="AA28" s="107" t="str">
        <f>'DE-9IM Matrixes'!AT42</f>
        <v>*</v>
      </c>
      <c r="AB28" s="110" t="str">
        <f>'DE-9IM Matrixes'!AU42</f>
        <v>*</v>
      </c>
      <c r="AC28" s="107" t="str">
        <f>'DE-9IM Matrixes'!AV42</f>
        <v>*</v>
      </c>
      <c r="AD28" s="107" t="str">
        <f>'DE-9IM Matrixes'!AW42</f>
        <v>*</v>
      </c>
      <c r="AE28" s="108" t="str">
        <f>'DE-9IM Matrixes'!AX42</f>
        <v>*</v>
      </c>
      <c r="AF28" s="28"/>
    </row>
    <row r="29" spans="1:32" ht="15" x14ac:dyDescent="0.25">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c r="AA29" s="97"/>
      <c r="AB29" s="97"/>
      <c r="AC29" s="97"/>
      <c r="AD29" s="97"/>
      <c r="AE29" s="97"/>
      <c r="AF29" s="97"/>
    </row>
    <row r="30" spans="1:32" ht="15.75" customHeight="1" x14ac:dyDescent="0.25">
      <c r="A30" s="173" t="s">
        <v>80</v>
      </c>
      <c r="B30" s="116" t="s">
        <v>40</v>
      </c>
      <c r="C30" s="118">
        <f>COUNTIF(C2:C28,"F")</f>
        <v>8</v>
      </c>
      <c r="D30">
        <f>COUNTIF(D2:D28,"F")</f>
        <v>6</v>
      </c>
      <c r="E30">
        <f>COUNTIF(E2:E28,"F")</f>
        <v>3</v>
      </c>
      <c r="F30">
        <f>COUNTIF(F2:F28,"F")</f>
        <v>6</v>
      </c>
      <c r="G30">
        <f>COUNTIF(G2:G28,"F")</f>
        <v>7</v>
      </c>
      <c r="H30">
        <f>COUNTIF(H2:H28,"F")</f>
        <v>0</v>
      </c>
      <c r="I30">
        <f>COUNTIF(I2:I28,"F")</f>
        <v>3</v>
      </c>
      <c r="J30">
        <f>COUNTIF(J2:J28,"F")</f>
        <v>0</v>
      </c>
      <c r="K30">
        <f>COUNTIF(K2:K28,"F")</f>
        <v>0</v>
      </c>
      <c r="L30" s="123"/>
      <c r="M30">
        <f>COUNTIF(M2:M28,"F")</f>
        <v>4</v>
      </c>
      <c r="N30">
        <f>COUNTIF(N2:N28,"F")</f>
        <v>0</v>
      </c>
      <c r="O30">
        <f>COUNTIF(O2:O28,"F")</f>
        <v>2</v>
      </c>
      <c r="P30">
        <f>COUNTIF(P2:P28,"F")</f>
        <v>0</v>
      </c>
      <c r="Q30">
        <f>COUNTIF(Q2:Q28,"F")</f>
        <v>5</v>
      </c>
      <c r="R30">
        <f>COUNTIF(R2:R28,"F")</f>
        <v>0</v>
      </c>
      <c r="S30">
        <f>COUNTIF(S2:S28,"F")</f>
        <v>2</v>
      </c>
      <c r="T30">
        <f>COUNTIF(T2:T28,"F")</f>
        <v>0</v>
      </c>
      <c r="U30">
        <f>COUNTIF(U2:U28,"F")</f>
        <v>0</v>
      </c>
      <c r="V30" s="123"/>
      <c r="W30" t="s">
        <v>84</v>
      </c>
      <c r="X30">
        <f>COUNTIF(X2:X28,"F")</f>
        <v>0</v>
      </c>
      <c r="Y30">
        <f>COUNTIF(Y2:Y28,"F")</f>
        <v>1</v>
      </c>
      <c r="Z30">
        <f>COUNTIF(Z2:Z28,"F")</f>
        <v>0</v>
      </c>
      <c r="AA30">
        <f>COUNTIF(AA2:AA28,"F")</f>
        <v>3</v>
      </c>
      <c r="AB30">
        <f>COUNTIF(AB2:AB28,"F")</f>
        <v>0</v>
      </c>
      <c r="AC30">
        <f>COUNTIF(AC2:AC28,"F")</f>
        <v>1</v>
      </c>
      <c r="AD30">
        <f>COUNTIF(AD2:AD28,"F")</f>
        <v>0</v>
      </c>
      <c r="AE30">
        <f>COUNTIF(AE2:AE28,"F")</f>
        <v>0</v>
      </c>
      <c r="AF30" s="123"/>
    </row>
    <row r="31" spans="1:32" ht="15" x14ac:dyDescent="0.25">
      <c r="A31" s="173"/>
      <c r="B31" s="113" t="s">
        <v>42</v>
      </c>
      <c r="C31" s="118">
        <f>COUNTIF(C2:C28,"T")</f>
        <v>6</v>
      </c>
      <c r="D31">
        <f>COUNTIF(D2:D28,"T")</f>
        <v>1</v>
      </c>
      <c r="E31">
        <f>COUNTIF(E2:E28,"T")</f>
        <v>3</v>
      </c>
      <c r="F31">
        <f>COUNTIF(F2:F28,"T")</f>
        <v>1</v>
      </c>
      <c r="G31">
        <f>COUNTIF(G2:G28,"T")</f>
        <v>6</v>
      </c>
      <c r="H31">
        <f>COUNTIF(H2:H28,"T")</f>
        <v>0</v>
      </c>
      <c r="I31">
        <f>COUNTIF(I2:I28,"T")</f>
        <v>3</v>
      </c>
      <c r="J31">
        <f>COUNTIF(J2:J28,"T")</f>
        <v>0</v>
      </c>
      <c r="K31">
        <f>COUNTIF(K2:K28,"T")</f>
        <v>0</v>
      </c>
      <c r="L31" s="123"/>
      <c r="M31">
        <f>COUNTIF(M2:M28,"T")</f>
        <v>7</v>
      </c>
      <c r="N31">
        <f>COUNTIF(N2:N28,"T")</f>
        <v>0</v>
      </c>
      <c r="O31">
        <f>COUNTIF(O2:O28,"T")</f>
        <v>6</v>
      </c>
      <c r="P31">
        <f>COUNTIF(P2:P28,"T")</f>
        <v>0</v>
      </c>
      <c r="Q31">
        <f>COUNTIF(Q2:Q28,"T")</f>
        <v>0</v>
      </c>
      <c r="R31">
        <f>COUNTIF(R2:R28,"T")</f>
        <v>0</v>
      </c>
      <c r="S31">
        <f>COUNTIF(S2:S28,"T")</f>
        <v>6</v>
      </c>
      <c r="T31">
        <f>COUNTIF(T2:T28,"T")</f>
        <v>0</v>
      </c>
      <c r="U31">
        <f>COUNTIF(U2:U28,"T")</f>
        <v>0</v>
      </c>
      <c r="V31" s="123"/>
      <c r="W31">
        <f>COUNTIF(W2:W28,"T")</f>
        <v>5</v>
      </c>
      <c r="X31">
        <f>COUNTIF(X2:X28,"T")</f>
        <v>0</v>
      </c>
      <c r="Y31">
        <f>COUNTIF(Y2:Y28,"T")</f>
        <v>2</v>
      </c>
      <c r="Z31">
        <f>COUNTIF(Z2:Z28,"T")</f>
        <v>0</v>
      </c>
      <c r="AA31">
        <f>COUNTIF(AA2:AA28,"T")</f>
        <v>0</v>
      </c>
      <c r="AB31">
        <f>COUNTIF(AB2:AB28,"T")</f>
        <v>0</v>
      </c>
      <c r="AC31">
        <f>COUNTIF(AC2:AC28,"T")</f>
        <v>2</v>
      </c>
      <c r="AD31">
        <f>COUNTIF(AD2:AD28,"T")</f>
        <v>0</v>
      </c>
      <c r="AE31">
        <f>COUNTIF(AE2:AE28,"T")</f>
        <v>0</v>
      </c>
      <c r="AF31" s="123"/>
    </row>
    <row r="32" spans="1:32" x14ac:dyDescent="0.25">
      <c r="A32" s="173"/>
      <c r="C32" s="118">
        <f>C30+C31</f>
        <v>14</v>
      </c>
      <c r="D32">
        <f t="shared" ref="D32:K32" si="0">D30+D31</f>
        <v>7</v>
      </c>
      <c r="E32">
        <f t="shared" si="0"/>
        <v>6</v>
      </c>
      <c r="F32">
        <f t="shared" si="0"/>
        <v>7</v>
      </c>
      <c r="G32">
        <f t="shared" si="0"/>
        <v>13</v>
      </c>
      <c r="H32">
        <f t="shared" si="0"/>
        <v>0</v>
      </c>
      <c r="I32">
        <f t="shared" si="0"/>
        <v>6</v>
      </c>
      <c r="J32">
        <f t="shared" si="0"/>
        <v>0</v>
      </c>
      <c r="K32">
        <f t="shared" si="0"/>
        <v>0</v>
      </c>
      <c r="L32" s="123"/>
      <c r="M32">
        <f t="shared" ref="M32:U32" si="1">M30+M31</f>
        <v>11</v>
      </c>
      <c r="N32">
        <f t="shared" si="1"/>
        <v>0</v>
      </c>
      <c r="O32">
        <f t="shared" si="1"/>
        <v>8</v>
      </c>
      <c r="P32">
        <f t="shared" si="1"/>
        <v>0</v>
      </c>
      <c r="Q32">
        <f t="shared" si="1"/>
        <v>5</v>
      </c>
      <c r="R32">
        <f t="shared" si="1"/>
        <v>0</v>
      </c>
      <c r="S32">
        <f t="shared" si="1"/>
        <v>8</v>
      </c>
      <c r="T32">
        <f t="shared" si="1"/>
        <v>0</v>
      </c>
      <c r="U32">
        <f t="shared" si="1"/>
        <v>0</v>
      </c>
      <c r="V32" s="123"/>
      <c r="W32" t="e">
        <f t="shared" ref="W32:AE32" si="2">W30+W31</f>
        <v>#VALUE!</v>
      </c>
      <c r="X32">
        <f t="shared" si="2"/>
        <v>0</v>
      </c>
      <c r="Y32">
        <f t="shared" si="2"/>
        <v>3</v>
      </c>
      <c r="Z32">
        <f t="shared" si="2"/>
        <v>0</v>
      </c>
      <c r="AA32">
        <f t="shared" si="2"/>
        <v>3</v>
      </c>
      <c r="AB32">
        <f t="shared" si="2"/>
        <v>0</v>
      </c>
      <c r="AC32">
        <f t="shared" si="2"/>
        <v>3</v>
      </c>
      <c r="AD32">
        <f t="shared" si="2"/>
        <v>0</v>
      </c>
      <c r="AE32">
        <f t="shared" si="2"/>
        <v>0</v>
      </c>
      <c r="AF32" s="123"/>
    </row>
    <row r="33" spans="1:33" ht="15" x14ac:dyDescent="0.25">
      <c r="A33" s="84"/>
      <c r="B33"/>
      <c r="L33"/>
      <c r="V33"/>
      <c r="AF33"/>
    </row>
    <row r="34" spans="1:33" ht="15" customHeight="1" x14ac:dyDescent="0.25">
      <c r="A34" s="173" t="s">
        <v>79</v>
      </c>
      <c r="B34" s="124" t="s">
        <v>40</v>
      </c>
      <c r="D34">
        <f>COUNTIF(D18:D28,"F")</f>
        <v>1</v>
      </c>
      <c r="E34">
        <f t="shared" ref="E34:K34" si="3">COUNTIF(E18:E28,"F")</f>
        <v>3</v>
      </c>
      <c r="F34">
        <f t="shared" si="3"/>
        <v>1</v>
      </c>
      <c r="G34">
        <f t="shared" si="3"/>
        <v>2</v>
      </c>
      <c r="H34">
        <f t="shared" si="3"/>
        <v>0</v>
      </c>
      <c r="I34" s="122">
        <f t="shared" si="3"/>
        <v>3</v>
      </c>
      <c r="J34">
        <f t="shared" si="3"/>
        <v>0</v>
      </c>
      <c r="K34">
        <f t="shared" si="3"/>
        <v>0</v>
      </c>
      <c r="L34" s="123"/>
      <c r="M34">
        <f t="shared" ref="M34:U34" si="4">COUNTIF(M18:M28,"F")</f>
        <v>0</v>
      </c>
      <c r="N34">
        <f t="shared" si="4"/>
        <v>0</v>
      </c>
      <c r="O34">
        <f t="shared" si="4"/>
        <v>0</v>
      </c>
      <c r="P34">
        <f t="shared" si="4"/>
        <v>0</v>
      </c>
      <c r="Q34">
        <f t="shared" si="4"/>
        <v>0</v>
      </c>
      <c r="R34">
        <f t="shared" si="4"/>
        <v>0</v>
      </c>
      <c r="S34">
        <f t="shared" si="4"/>
        <v>0</v>
      </c>
      <c r="T34">
        <f t="shared" si="4"/>
        <v>0</v>
      </c>
      <c r="U34">
        <f t="shared" si="4"/>
        <v>0</v>
      </c>
      <c r="V34" s="123"/>
      <c r="W34">
        <f t="shared" ref="W34:AE34" si="5">COUNTIF(W18:W28,"F")</f>
        <v>0</v>
      </c>
      <c r="X34">
        <f t="shared" si="5"/>
        <v>0</v>
      </c>
      <c r="Y34">
        <f t="shared" si="5"/>
        <v>0</v>
      </c>
      <c r="Z34">
        <f t="shared" si="5"/>
        <v>0</v>
      </c>
      <c r="AA34">
        <f t="shared" si="5"/>
        <v>0</v>
      </c>
      <c r="AB34">
        <f t="shared" si="5"/>
        <v>0</v>
      </c>
      <c r="AC34">
        <f t="shared" si="5"/>
        <v>0</v>
      </c>
      <c r="AD34">
        <f t="shared" si="5"/>
        <v>0</v>
      </c>
      <c r="AE34">
        <f t="shared" si="5"/>
        <v>0</v>
      </c>
      <c r="AF34" s="123"/>
    </row>
    <row r="35" spans="1:33" ht="15" x14ac:dyDescent="0.25">
      <c r="A35" s="173"/>
      <c r="B35" s="125" t="s">
        <v>42</v>
      </c>
      <c r="C35" s="113" t="s">
        <v>42</v>
      </c>
      <c r="D35">
        <f>COUNTIF(D18:D28,"T")</f>
        <v>1</v>
      </c>
      <c r="E35">
        <f t="shared" ref="E35:K35" si="6">COUNTIF(E18:E28,"T")</f>
        <v>3</v>
      </c>
      <c r="F35">
        <f t="shared" si="6"/>
        <v>1</v>
      </c>
      <c r="G35">
        <f t="shared" si="6"/>
        <v>3</v>
      </c>
      <c r="H35">
        <f t="shared" si="6"/>
        <v>0</v>
      </c>
      <c r="I35" s="122">
        <f t="shared" si="6"/>
        <v>3</v>
      </c>
      <c r="J35">
        <f t="shared" si="6"/>
        <v>0</v>
      </c>
      <c r="K35">
        <f t="shared" si="6"/>
        <v>0</v>
      </c>
      <c r="L35" s="123"/>
      <c r="M35">
        <f t="shared" ref="M35:U35" si="7">COUNTIF(M18:M28,"T")</f>
        <v>3</v>
      </c>
      <c r="N35">
        <f t="shared" si="7"/>
        <v>0</v>
      </c>
      <c r="O35">
        <f t="shared" si="7"/>
        <v>0</v>
      </c>
      <c r="P35">
        <f t="shared" si="7"/>
        <v>0</v>
      </c>
      <c r="Q35">
        <f t="shared" si="7"/>
        <v>0</v>
      </c>
      <c r="R35">
        <f t="shared" si="7"/>
        <v>0</v>
      </c>
      <c r="S35">
        <f t="shared" si="7"/>
        <v>0</v>
      </c>
      <c r="T35">
        <f t="shared" si="7"/>
        <v>0</v>
      </c>
      <c r="U35">
        <f t="shared" si="7"/>
        <v>0</v>
      </c>
      <c r="V35" s="123"/>
      <c r="W35">
        <f t="shared" ref="W35:AE35" si="8">COUNTIF(W18:W28,"T")</f>
        <v>3</v>
      </c>
      <c r="X35">
        <f t="shared" si="8"/>
        <v>0</v>
      </c>
      <c r="Y35">
        <f t="shared" si="8"/>
        <v>0</v>
      </c>
      <c r="Z35">
        <f t="shared" si="8"/>
        <v>0</v>
      </c>
      <c r="AA35">
        <f t="shared" si="8"/>
        <v>0</v>
      </c>
      <c r="AB35">
        <f t="shared" si="8"/>
        <v>0</v>
      </c>
      <c r="AC35">
        <f t="shared" si="8"/>
        <v>0</v>
      </c>
      <c r="AD35">
        <f t="shared" si="8"/>
        <v>0</v>
      </c>
      <c r="AE35">
        <f t="shared" si="8"/>
        <v>0</v>
      </c>
      <c r="AF35" s="123"/>
    </row>
    <row r="36" spans="1:33" ht="15" x14ac:dyDescent="0.25">
      <c r="A36" s="173"/>
      <c r="B36"/>
      <c r="D36">
        <f t="shared" ref="D36:K36" si="9">D34+D35</f>
        <v>2</v>
      </c>
      <c r="E36">
        <f t="shared" si="9"/>
        <v>6</v>
      </c>
      <c r="F36">
        <f t="shared" si="9"/>
        <v>2</v>
      </c>
      <c r="G36">
        <f t="shared" si="9"/>
        <v>5</v>
      </c>
      <c r="H36">
        <f t="shared" si="9"/>
        <v>0</v>
      </c>
      <c r="I36" s="122">
        <f t="shared" si="9"/>
        <v>6</v>
      </c>
      <c r="J36">
        <f t="shared" si="9"/>
        <v>0</v>
      </c>
      <c r="K36">
        <f t="shared" si="9"/>
        <v>0</v>
      </c>
      <c r="L36" s="123"/>
      <c r="M36">
        <f t="shared" ref="M36:U36" si="10">M34+M35</f>
        <v>3</v>
      </c>
      <c r="N36">
        <f t="shared" si="10"/>
        <v>0</v>
      </c>
      <c r="O36">
        <f t="shared" si="10"/>
        <v>0</v>
      </c>
      <c r="P36">
        <f t="shared" si="10"/>
        <v>0</v>
      </c>
      <c r="Q36">
        <f t="shared" si="10"/>
        <v>0</v>
      </c>
      <c r="R36">
        <f t="shared" si="10"/>
        <v>0</v>
      </c>
      <c r="S36">
        <f t="shared" si="10"/>
        <v>0</v>
      </c>
      <c r="T36">
        <f t="shared" si="10"/>
        <v>0</v>
      </c>
      <c r="U36">
        <f t="shared" si="10"/>
        <v>0</v>
      </c>
      <c r="V36" s="123"/>
      <c r="W36">
        <f t="shared" ref="W36:AE36" si="11">W34+W35</f>
        <v>3</v>
      </c>
      <c r="X36">
        <f t="shared" si="11"/>
        <v>0</v>
      </c>
      <c r="Y36">
        <f t="shared" si="11"/>
        <v>0</v>
      </c>
      <c r="Z36">
        <f t="shared" si="11"/>
        <v>0</v>
      </c>
      <c r="AA36">
        <f t="shared" si="11"/>
        <v>0</v>
      </c>
      <c r="AB36">
        <f t="shared" si="11"/>
        <v>0</v>
      </c>
      <c r="AC36">
        <f t="shared" si="11"/>
        <v>0</v>
      </c>
      <c r="AD36">
        <f t="shared" si="11"/>
        <v>0</v>
      </c>
      <c r="AE36">
        <f t="shared" si="11"/>
        <v>0</v>
      </c>
      <c r="AF36" s="123"/>
    </row>
    <row r="37" spans="1:33" ht="15" x14ac:dyDescent="0.25">
      <c r="A37" s="84"/>
      <c r="B37"/>
      <c r="L37"/>
      <c r="V37"/>
      <c r="AF37"/>
    </row>
    <row r="38" spans="1:33" ht="15" customHeight="1" x14ac:dyDescent="0.25">
      <c r="A38" s="173" t="s">
        <v>78</v>
      </c>
      <c r="B38" s="121" t="s">
        <v>40</v>
      </c>
      <c r="D38">
        <f>COUNTIF(D24:D28,"F")</f>
        <v>1</v>
      </c>
      <c r="E38" s="120">
        <f t="shared" ref="E38:H38" si="12">COUNTIF(E24:E28,"F")</f>
        <v>2</v>
      </c>
      <c r="F38">
        <f t="shared" si="12"/>
        <v>0</v>
      </c>
      <c r="G38">
        <f t="shared" si="12"/>
        <v>1</v>
      </c>
      <c r="H38">
        <f t="shared" si="12"/>
        <v>0</v>
      </c>
      <c r="J38">
        <f t="shared" ref="J38:K38" si="13">COUNTIF(J24:J28,"F")</f>
        <v>0</v>
      </c>
      <c r="K38">
        <f t="shared" si="13"/>
        <v>0</v>
      </c>
      <c r="L38" s="123"/>
      <c r="M38">
        <f t="shared" ref="M38:U38" si="14">COUNTIF(M24:M28,"F")</f>
        <v>0</v>
      </c>
      <c r="N38">
        <f t="shared" si="14"/>
        <v>0</v>
      </c>
      <c r="O38">
        <f t="shared" si="14"/>
        <v>0</v>
      </c>
      <c r="P38">
        <f t="shared" si="14"/>
        <v>0</v>
      </c>
      <c r="Q38">
        <f t="shared" si="14"/>
        <v>0</v>
      </c>
      <c r="R38">
        <f t="shared" si="14"/>
        <v>0</v>
      </c>
      <c r="S38">
        <f t="shared" si="14"/>
        <v>0</v>
      </c>
      <c r="T38">
        <f t="shared" si="14"/>
        <v>0</v>
      </c>
      <c r="U38">
        <f t="shared" si="14"/>
        <v>0</v>
      </c>
      <c r="V38" s="123"/>
      <c r="W38">
        <f t="shared" ref="W38:AE38" si="15">COUNTIF(W24:W28,"F")</f>
        <v>0</v>
      </c>
      <c r="X38">
        <f t="shared" si="15"/>
        <v>0</v>
      </c>
      <c r="Y38">
        <f t="shared" si="15"/>
        <v>0</v>
      </c>
      <c r="Z38">
        <f t="shared" si="15"/>
        <v>0</v>
      </c>
      <c r="AA38">
        <f t="shared" si="15"/>
        <v>0</v>
      </c>
      <c r="AB38">
        <f t="shared" si="15"/>
        <v>0</v>
      </c>
      <c r="AC38">
        <f t="shared" si="15"/>
        <v>0</v>
      </c>
      <c r="AD38">
        <f t="shared" si="15"/>
        <v>0</v>
      </c>
      <c r="AE38">
        <f t="shared" si="15"/>
        <v>0</v>
      </c>
      <c r="AF38" s="123"/>
    </row>
    <row r="39" spans="1:33" x14ac:dyDescent="0.25">
      <c r="A39" s="173"/>
      <c r="B39" s="114" t="s">
        <v>42</v>
      </c>
      <c r="C39" s="113" t="s">
        <v>42</v>
      </c>
      <c r="D39">
        <f>COUNTIF(D24:D28,"T")</f>
        <v>0</v>
      </c>
      <c r="E39" s="128">
        <f>COUNTIF(E24:E28,"T")</f>
        <v>1</v>
      </c>
      <c r="F39">
        <f t="shared" ref="F39:H39" si="16">COUNTIF(F24:F28,"T")</f>
        <v>1</v>
      </c>
      <c r="G39">
        <f t="shared" si="16"/>
        <v>1</v>
      </c>
      <c r="H39">
        <f t="shared" si="16"/>
        <v>0</v>
      </c>
      <c r="I39" s="125" t="s">
        <v>42</v>
      </c>
      <c r="J39">
        <f t="shared" ref="J39:K39" si="17">COUNTIF(J24:J28,"T")</f>
        <v>0</v>
      </c>
      <c r="K39">
        <f t="shared" si="17"/>
        <v>0</v>
      </c>
      <c r="L39" s="123"/>
      <c r="M39">
        <f t="shared" ref="M39:U39" si="18">COUNTIF(M24:M28,"T")</f>
        <v>2</v>
      </c>
      <c r="N39">
        <f t="shared" si="18"/>
        <v>0</v>
      </c>
      <c r="O39">
        <f t="shared" si="18"/>
        <v>0</v>
      </c>
      <c r="P39">
        <f t="shared" si="18"/>
        <v>0</v>
      </c>
      <c r="Q39">
        <f t="shared" si="18"/>
        <v>0</v>
      </c>
      <c r="R39">
        <f t="shared" si="18"/>
        <v>0</v>
      </c>
      <c r="S39">
        <f t="shared" si="18"/>
        <v>0</v>
      </c>
      <c r="T39">
        <f t="shared" si="18"/>
        <v>0</v>
      </c>
      <c r="U39">
        <f t="shared" si="18"/>
        <v>0</v>
      </c>
      <c r="V39" s="123"/>
      <c r="W39">
        <f t="shared" ref="W39:AE39" si="19">COUNTIF(W24:W28,"T")</f>
        <v>2</v>
      </c>
      <c r="X39">
        <f t="shared" si="19"/>
        <v>0</v>
      </c>
      <c r="Y39">
        <f t="shared" si="19"/>
        <v>0</v>
      </c>
      <c r="Z39">
        <f t="shared" si="19"/>
        <v>0</v>
      </c>
      <c r="AA39">
        <f t="shared" si="19"/>
        <v>0</v>
      </c>
      <c r="AB39">
        <f t="shared" si="19"/>
        <v>0</v>
      </c>
      <c r="AC39">
        <f t="shared" si="19"/>
        <v>0</v>
      </c>
      <c r="AD39">
        <f t="shared" si="19"/>
        <v>0</v>
      </c>
      <c r="AE39">
        <f t="shared" si="19"/>
        <v>0</v>
      </c>
      <c r="AF39" s="123"/>
      <c r="AG39" s="126" t="s">
        <v>18</v>
      </c>
    </row>
    <row r="40" spans="1:33" ht="15" x14ac:dyDescent="0.25">
      <c r="A40" s="173"/>
      <c r="B40"/>
      <c r="D40">
        <f t="shared" ref="D40:H40" si="20">D38+D39</f>
        <v>1</v>
      </c>
      <c r="E40" s="120">
        <f t="shared" ref="E40:H40" si="21">E38+E39</f>
        <v>3</v>
      </c>
      <c r="F40">
        <f t="shared" si="21"/>
        <v>1</v>
      </c>
      <c r="G40">
        <f t="shared" si="21"/>
        <v>2</v>
      </c>
      <c r="H40">
        <f t="shared" si="21"/>
        <v>0</v>
      </c>
      <c r="J40">
        <f t="shared" ref="J40:K40" si="22">J38+J39</f>
        <v>0</v>
      </c>
      <c r="K40">
        <f t="shared" si="22"/>
        <v>0</v>
      </c>
      <c r="L40" s="123"/>
      <c r="M40">
        <f t="shared" ref="M40:U40" si="23">M38+M39</f>
        <v>2</v>
      </c>
      <c r="N40">
        <f t="shared" si="23"/>
        <v>0</v>
      </c>
      <c r="O40">
        <f t="shared" si="23"/>
        <v>0</v>
      </c>
      <c r="P40">
        <f t="shared" si="23"/>
        <v>0</v>
      </c>
      <c r="Q40">
        <f t="shared" si="23"/>
        <v>0</v>
      </c>
      <c r="R40">
        <f t="shared" si="23"/>
        <v>0</v>
      </c>
      <c r="S40">
        <f t="shared" si="23"/>
        <v>0</v>
      </c>
      <c r="T40">
        <f t="shared" si="23"/>
        <v>0</v>
      </c>
      <c r="U40">
        <f t="shared" si="23"/>
        <v>0</v>
      </c>
      <c r="V40" s="123"/>
      <c r="W40">
        <f t="shared" ref="W40:AE40" si="24">W38+W39</f>
        <v>2</v>
      </c>
      <c r="X40">
        <f t="shared" si="24"/>
        <v>0</v>
      </c>
      <c r="Y40">
        <f t="shared" si="24"/>
        <v>0</v>
      </c>
      <c r="Z40">
        <f t="shared" si="24"/>
        <v>0</v>
      </c>
      <c r="AA40">
        <f t="shared" si="24"/>
        <v>0</v>
      </c>
      <c r="AB40">
        <f t="shared" si="24"/>
        <v>0</v>
      </c>
      <c r="AC40">
        <f t="shared" si="24"/>
        <v>0</v>
      </c>
      <c r="AD40">
        <f t="shared" si="24"/>
        <v>0</v>
      </c>
      <c r="AE40">
        <f t="shared" si="24"/>
        <v>0</v>
      </c>
      <c r="AF40" s="123"/>
    </row>
    <row r="41" spans="1:33" ht="15" x14ac:dyDescent="0.25">
      <c r="A41" s="84"/>
      <c r="B41"/>
      <c r="L41"/>
      <c r="V41"/>
      <c r="AF41"/>
    </row>
    <row r="42" spans="1:33" ht="15" customHeight="1" x14ac:dyDescent="0.25">
      <c r="A42" s="173" t="s">
        <v>77</v>
      </c>
      <c r="B42" s="119" t="s">
        <v>40</v>
      </c>
      <c r="D42">
        <f>COUNTIF(D24:D26,"F")</f>
        <v>1</v>
      </c>
      <c r="E42" s="121" t="s">
        <v>40</v>
      </c>
      <c r="F42">
        <f t="shared" ref="F42:H42" si="25">COUNTIF(F24:F26,"F")</f>
        <v>0</v>
      </c>
      <c r="G42" s="129">
        <f t="shared" si="25"/>
        <v>1</v>
      </c>
      <c r="H42">
        <f t="shared" si="25"/>
        <v>0</v>
      </c>
      <c r="J42">
        <f t="shared" ref="J42:K42" si="26">COUNTIF(J24:J26,"F")</f>
        <v>0</v>
      </c>
      <c r="K42">
        <f t="shared" si="26"/>
        <v>0</v>
      </c>
      <c r="L42" s="123"/>
      <c r="M42">
        <f t="shared" ref="M42:U42" si="27">COUNTIF(M24:M26,"F")</f>
        <v>0</v>
      </c>
      <c r="N42">
        <f t="shared" si="27"/>
        <v>0</v>
      </c>
      <c r="O42">
        <f t="shared" si="27"/>
        <v>0</v>
      </c>
      <c r="P42">
        <f t="shared" si="27"/>
        <v>0</v>
      </c>
      <c r="Q42">
        <f t="shared" si="27"/>
        <v>0</v>
      </c>
      <c r="R42">
        <f t="shared" si="27"/>
        <v>0</v>
      </c>
      <c r="S42">
        <f t="shared" si="27"/>
        <v>0</v>
      </c>
      <c r="T42">
        <f t="shared" si="27"/>
        <v>0</v>
      </c>
      <c r="U42">
        <f t="shared" si="27"/>
        <v>0</v>
      </c>
      <c r="V42" s="123"/>
      <c r="W42">
        <f t="shared" ref="W42:AE42" si="28">COUNTIF(W24:W26,"F")</f>
        <v>0</v>
      </c>
      <c r="X42">
        <f t="shared" si="28"/>
        <v>0</v>
      </c>
      <c r="Y42">
        <f t="shared" si="28"/>
        <v>0</v>
      </c>
      <c r="Z42">
        <f t="shared" si="28"/>
        <v>0</v>
      </c>
      <c r="AA42">
        <f t="shared" si="28"/>
        <v>0</v>
      </c>
      <c r="AB42">
        <f t="shared" si="28"/>
        <v>0</v>
      </c>
      <c r="AC42">
        <f t="shared" si="28"/>
        <v>0</v>
      </c>
      <c r="AD42">
        <f t="shared" si="28"/>
        <v>0</v>
      </c>
      <c r="AE42">
        <f t="shared" si="28"/>
        <v>0</v>
      </c>
      <c r="AF42" s="123"/>
      <c r="AG42" s="126" t="s">
        <v>65</v>
      </c>
    </row>
    <row r="43" spans="1:33" x14ac:dyDescent="0.25">
      <c r="A43" s="173"/>
      <c r="B43" s="115" t="s">
        <v>42</v>
      </c>
      <c r="C43" s="113" t="s">
        <v>42</v>
      </c>
      <c r="D43">
        <f>COUNTIF(D24:D26,"T")</f>
        <v>0</v>
      </c>
      <c r="F43">
        <f t="shared" ref="F43:H43" si="29">COUNTIF(F24:F26,"T")</f>
        <v>1</v>
      </c>
      <c r="G43" s="129">
        <f t="shared" si="29"/>
        <v>1</v>
      </c>
      <c r="H43">
        <f t="shared" si="29"/>
        <v>0</v>
      </c>
      <c r="I43" s="125" t="s">
        <v>42</v>
      </c>
      <c r="J43">
        <f t="shared" ref="J43:K43" si="30">COUNTIF(J24:J26,"T")</f>
        <v>0</v>
      </c>
      <c r="K43">
        <f t="shared" si="30"/>
        <v>0</v>
      </c>
      <c r="L43" s="123"/>
      <c r="M43">
        <f t="shared" ref="M43:U43" si="31">COUNTIF(M24:M26,"T")</f>
        <v>1</v>
      </c>
      <c r="N43">
        <f t="shared" si="31"/>
        <v>0</v>
      </c>
      <c r="O43">
        <f t="shared" si="31"/>
        <v>0</v>
      </c>
      <c r="P43">
        <f t="shared" si="31"/>
        <v>0</v>
      </c>
      <c r="Q43">
        <f t="shared" si="31"/>
        <v>0</v>
      </c>
      <c r="R43">
        <f t="shared" si="31"/>
        <v>0</v>
      </c>
      <c r="S43">
        <f t="shared" si="31"/>
        <v>0</v>
      </c>
      <c r="T43">
        <f t="shared" si="31"/>
        <v>0</v>
      </c>
      <c r="U43">
        <f t="shared" si="31"/>
        <v>0</v>
      </c>
      <c r="V43" s="123"/>
      <c r="W43">
        <f t="shared" ref="W43:AE43" si="32">COUNTIF(W24:W26,"T")</f>
        <v>1</v>
      </c>
      <c r="X43">
        <f t="shared" si="32"/>
        <v>0</v>
      </c>
      <c r="Y43">
        <f t="shared" si="32"/>
        <v>0</v>
      </c>
      <c r="Z43">
        <f t="shared" si="32"/>
        <v>0</v>
      </c>
      <c r="AA43">
        <f t="shared" si="32"/>
        <v>0</v>
      </c>
      <c r="AB43">
        <f t="shared" si="32"/>
        <v>0</v>
      </c>
      <c r="AC43">
        <f t="shared" si="32"/>
        <v>0</v>
      </c>
      <c r="AD43">
        <f t="shared" si="32"/>
        <v>0</v>
      </c>
      <c r="AE43">
        <f t="shared" si="32"/>
        <v>0</v>
      </c>
      <c r="AF43" s="123"/>
      <c r="AG43" s="126" t="s">
        <v>66</v>
      </c>
    </row>
    <row r="44" spans="1:33" ht="15" x14ac:dyDescent="0.25">
      <c r="A44" s="173"/>
      <c r="B44"/>
      <c r="D44">
        <f t="shared" ref="D44:H44" si="33">D42+D43</f>
        <v>1</v>
      </c>
      <c r="F44">
        <f t="shared" si="33"/>
        <v>1</v>
      </c>
      <c r="G44" s="117">
        <f t="shared" si="33"/>
        <v>2</v>
      </c>
      <c r="H44">
        <f t="shared" si="33"/>
        <v>0</v>
      </c>
      <c r="J44">
        <f t="shared" ref="J44:K44" si="34">J42+J43</f>
        <v>0</v>
      </c>
      <c r="K44">
        <f t="shared" si="34"/>
        <v>0</v>
      </c>
      <c r="L44" s="123"/>
      <c r="M44">
        <f t="shared" ref="M44:U44" si="35">M42+M43</f>
        <v>1</v>
      </c>
      <c r="N44">
        <f t="shared" si="35"/>
        <v>0</v>
      </c>
      <c r="O44">
        <f t="shared" si="35"/>
        <v>0</v>
      </c>
      <c r="P44">
        <f t="shared" si="35"/>
        <v>0</v>
      </c>
      <c r="Q44">
        <f t="shared" si="35"/>
        <v>0</v>
      </c>
      <c r="R44">
        <f t="shared" si="35"/>
        <v>0</v>
      </c>
      <c r="S44">
        <f t="shared" si="35"/>
        <v>0</v>
      </c>
      <c r="T44">
        <f t="shared" si="35"/>
        <v>0</v>
      </c>
      <c r="U44">
        <f t="shared" si="35"/>
        <v>0</v>
      </c>
      <c r="V44" s="123"/>
      <c r="W44">
        <f t="shared" ref="W44:AE44" si="36">W42+W43</f>
        <v>1</v>
      </c>
      <c r="X44">
        <f t="shared" si="36"/>
        <v>0</v>
      </c>
      <c r="Y44">
        <f t="shared" si="36"/>
        <v>0</v>
      </c>
      <c r="Z44">
        <f t="shared" si="36"/>
        <v>0</v>
      </c>
      <c r="AA44">
        <f t="shared" si="36"/>
        <v>0</v>
      </c>
      <c r="AB44">
        <f t="shared" si="36"/>
        <v>0</v>
      </c>
      <c r="AC44">
        <f t="shared" si="36"/>
        <v>0</v>
      </c>
      <c r="AD44">
        <f t="shared" si="36"/>
        <v>0</v>
      </c>
      <c r="AE44">
        <f t="shared" si="36"/>
        <v>0</v>
      </c>
      <c r="AF44" s="123"/>
    </row>
    <row r="45" spans="1:33" ht="15" x14ac:dyDescent="0.25">
      <c r="A45" s="84"/>
      <c r="B45"/>
      <c r="L45"/>
      <c r="V45"/>
      <c r="AF45"/>
    </row>
    <row r="46" spans="1:33" ht="19.5" customHeight="1" x14ac:dyDescent="0.25">
      <c r="A46" s="173" t="s">
        <v>78</v>
      </c>
      <c r="B46" s="121" t="s">
        <v>40</v>
      </c>
      <c r="D46">
        <f>COUNTIF(D18:D22,"F")</f>
        <v>0</v>
      </c>
      <c r="E46" s="128">
        <f t="shared" ref="E46:H46" si="37">COUNTIF(E18:E22,"F")</f>
        <v>1</v>
      </c>
      <c r="F46">
        <f t="shared" si="37"/>
        <v>1</v>
      </c>
      <c r="G46">
        <f t="shared" si="37"/>
        <v>1</v>
      </c>
      <c r="H46">
        <f t="shared" si="37"/>
        <v>0</v>
      </c>
      <c r="I46" s="124" t="s">
        <v>40</v>
      </c>
      <c r="J46">
        <f t="shared" ref="J46:K46" si="38">COUNTIF(J18:J22,"F")</f>
        <v>0</v>
      </c>
      <c r="K46">
        <f t="shared" si="38"/>
        <v>0</v>
      </c>
      <c r="L46" s="123"/>
      <c r="M46">
        <f t="shared" ref="M46:U46" si="39">COUNTIF(M18:M22,"F")</f>
        <v>0</v>
      </c>
      <c r="N46">
        <f t="shared" si="39"/>
        <v>0</v>
      </c>
      <c r="O46">
        <f t="shared" si="39"/>
        <v>0</v>
      </c>
      <c r="P46">
        <f t="shared" si="39"/>
        <v>0</v>
      </c>
      <c r="Q46">
        <f t="shared" si="39"/>
        <v>0</v>
      </c>
      <c r="R46">
        <f t="shared" si="39"/>
        <v>0</v>
      </c>
      <c r="S46">
        <f t="shared" si="39"/>
        <v>0</v>
      </c>
      <c r="T46">
        <f t="shared" si="39"/>
        <v>0</v>
      </c>
      <c r="U46">
        <f t="shared" si="39"/>
        <v>0</v>
      </c>
      <c r="V46" s="123"/>
      <c r="W46">
        <f t="shared" ref="W46:AE46" si="40">COUNTIF(W18:W22,"F")</f>
        <v>0</v>
      </c>
      <c r="X46">
        <f t="shared" si="40"/>
        <v>0</v>
      </c>
      <c r="Y46">
        <f t="shared" si="40"/>
        <v>0</v>
      </c>
      <c r="Z46">
        <f t="shared" si="40"/>
        <v>0</v>
      </c>
      <c r="AA46">
        <f t="shared" si="40"/>
        <v>0</v>
      </c>
      <c r="AB46">
        <f t="shared" si="40"/>
        <v>0</v>
      </c>
      <c r="AC46">
        <f t="shared" si="40"/>
        <v>0</v>
      </c>
      <c r="AD46">
        <f t="shared" si="40"/>
        <v>0</v>
      </c>
      <c r="AE46">
        <f t="shared" si="40"/>
        <v>0</v>
      </c>
      <c r="AF46" s="123"/>
      <c r="AG46" s="126" t="s">
        <v>27</v>
      </c>
    </row>
    <row r="47" spans="1:33" ht="15" x14ac:dyDescent="0.25">
      <c r="A47" s="173"/>
      <c r="B47" s="114" t="s">
        <v>42</v>
      </c>
      <c r="C47" s="113" t="s">
        <v>42</v>
      </c>
      <c r="D47">
        <f>COUNTIF(D18:D22,"T")</f>
        <v>1</v>
      </c>
      <c r="E47" s="120">
        <f t="shared" ref="E47:H47" si="41">COUNTIF(E18:E22,"T")</f>
        <v>2</v>
      </c>
      <c r="F47">
        <f t="shared" si="41"/>
        <v>0</v>
      </c>
      <c r="G47">
        <f t="shared" si="41"/>
        <v>2</v>
      </c>
      <c r="H47">
        <f t="shared" si="41"/>
        <v>0</v>
      </c>
      <c r="J47">
        <f t="shared" ref="J47:K47" si="42">COUNTIF(J18:J22,"T")</f>
        <v>0</v>
      </c>
      <c r="K47">
        <f t="shared" si="42"/>
        <v>0</v>
      </c>
      <c r="L47" s="123"/>
      <c r="M47">
        <f t="shared" ref="M47:U47" si="43">COUNTIF(M18:M22,"T")</f>
        <v>1</v>
      </c>
      <c r="N47">
        <f t="shared" si="43"/>
        <v>0</v>
      </c>
      <c r="O47">
        <f t="shared" si="43"/>
        <v>0</v>
      </c>
      <c r="P47">
        <f t="shared" si="43"/>
        <v>0</v>
      </c>
      <c r="Q47">
        <f t="shared" si="43"/>
        <v>0</v>
      </c>
      <c r="R47">
        <f t="shared" si="43"/>
        <v>0</v>
      </c>
      <c r="S47">
        <f t="shared" si="43"/>
        <v>0</v>
      </c>
      <c r="T47">
        <f t="shared" si="43"/>
        <v>0</v>
      </c>
      <c r="U47">
        <f t="shared" si="43"/>
        <v>0</v>
      </c>
      <c r="V47" s="123"/>
      <c r="W47">
        <f t="shared" ref="W47:AE47" si="44">COUNTIF(W18:W22,"T")</f>
        <v>1</v>
      </c>
      <c r="X47">
        <f t="shared" si="44"/>
        <v>0</v>
      </c>
      <c r="Y47">
        <f t="shared" si="44"/>
        <v>0</v>
      </c>
      <c r="Z47">
        <f t="shared" si="44"/>
        <v>0</v>
      </c>
      <c r="AA47">
        <f t="shared" si="44"/>
        <v>0</v>
      </c>
      <c r="AB47">
        <f t="shared" si="44"/>
        <v>0</v>
      </c>
      <c r="AC47">
        <f t="shared" si="44"/>
        <v>0</v>
      </c>
      <c r="AD47">
        <f t="shared" si="44"/>
        <v>0</v>
      </c>
      <c r="AE47">
        <f t="shared" si="44"/>
        <v>0</v>
      </c>
      <c r="AF47" s="123"/>
    </row>
    <row r="48" spans="1:33" ht="15" x14ac:dyDescent="0.25">
      <c r="A48" s="173"/>
      <c r="B48"/>
      <c r="D48">
        <f t="shared" ref="D48" si="45">D46+D47</f>
        <v>1</v>
      </c>
      <c r="E48" s="120">
        <f t="shared" ref="E48:H48" si="46">E46+E47</f>
        <v>3</v>
      </c>
      <c r="F48">
        <f t="shared" si="46"/>
        <v>1</v>
      </c>
      <c r="G48">
        <f t="shared" si="46"/>
        <v>3</v>
      </c>
      <c r="H48">
        <f t="shared" si="46"/>
        <v>0</v>
      </c>
      <c r="J48">
        <f t="shared" ref="J48:K48" si="47">J46+J47</f>
        <v>0</v>
      </c>
      <c r="K48">
        <f t="shared" si="47"/>
        <v>0</v>
      </c>
      <c r="L48" s="123"/>
      <c r="M48">
        <f t="shared" ref="M48:U48" si="48">M46+M47</f>
        <v>1</v>
      </c>
      <c r="N48">
        <f t="shared" si="48"/>
        <v>0</v>
      </c>
      <c r="O48">
        <f t="shared" si="48"/>
        <v>0</v>
      </c>
      <c r="P48">
        <f t="shared" si="48"/>
        <v>0</v>
      </c>
      <c r="Q48">
        <f t="shared" si="48"/>
        <v>0</v>
      </c>
      <c r="R48">
        <f t="shared" si="48"/>
        <v>0</v>
      </c>
      <c r="S48">
        <f t="shared" si="48"/>
        <v>0</v>
      </c>
      <c r="T48">
        <f t="shared" si="48"/>
        <v>0</v>
      </c>
      <c r="U48">
        <f t="shared" si="48"/>
        <v>0</v>
      </c>
      <c r="V48" s="123"/>
      <c r="W48">
        <f t="shared" ref="W48:AE48" si="49">W46+W47</f>
        <v>1</v>
      </c>
      <c r="X48">
        <f t="shared" si="49"/>
        <v>0</v>
      </c>
      <c r="Y48">
        <f t="shared" si="49"/>
        <v>0</v>
      </c>
      <c r="Z48">
        <f t="shared" si="49"/>
        <v>0</v>
      </c>
      <c r="AA48">
        <f t="shared" si="49"/>
        <v>0</v>
      </c>
      <c r="AB48">
        <f t="shared" si="49"/>
        <v>0</v>
      </c>
      <c r="AC48">
        <f t="shared" si="49"/>
        <v>0</v>
      </c>
      <c r="AD48">
        <f t="shared" si="49"/>
        <v>0</v>
      </c>
      <c r="AE48">
        <f t="shared" si="49"/>
        <v>0</v>
      </c>
      <c r="AF48" s="123"/>
    </row>
    <row r="49" spans="1:33" ht="15" customHeight="1" x14ac:dyDescent="0.25">
      <c r="A49" s="84"/>
      <c r="B49"/>
      <c r="L49"/>
      <c r="V49"/>
      <c r="AF49"/>
    </row>
    <row r="50" spans="1:33" ht="15.75" customHeight="1" x14ac:dyDescent="0.25">
      <c r="A50" s="173" t="s">
        <v>77</v>
      </c>
      <c r="B50" s="119" t="s">
        <v>40</v>
      </c>
      <c r="D50">
        <f>COUNTIF(D20:D22,"F")</f>
        <v>0</v>
      </c>
      <c r="F50">
        <f t="shared" ref="F50:H50" si="50">COUNTIF(F20:F22,"F")</f>
        <v>1</v>
      </c>
      <c r="G50" s="129">
        <f t="shared" si="50"/>
        <v>1</v>
      </c>
      <c r="H50">
        <f t="shared" si="50"/>
        <v>0</v>
      </c>
      <c r="I50" s="124" t="s">
        <v>40</v>
      </c>
      <c r="J50">
        <f t="shared" ref="J50:K50" si="51">COUNTIF(J20:J22,"F")</f>
        <v>0</v>
      </c>
      <c r="K50">
        <f t="shared" si="51"/>
        <v>0</v>
      </c>
      <c r="L50" s="123"/>
      <c r="M50">
        <f t="shared" ref="M50:U50" si="52">COUNTIF(M20:M22,"F")</f>
        <v>0</v>
      </c>
      <c r="N50">
        <f t="shared" si="52"/>
        <v>0</v>
      </c>
      <c r="O50">
        <f t="shared" si="52"/>
        <v>0</v>
      </c>
      <c r="P50">
        <f t="shared" si="52"/>
        <v>0</v>
      </c>
      <c r="Q50">
        <f t="shared" si="52"/>
        <v>0</v>
      </c>
      <c r="R50">
        <f t="shared" si="52"/>
        <v>0</v>
      </c>
      <c r="S50">
        <f t="shared" si="52"/>
        <v>0</v>
      </c>
      <c r="T50">
        <f t="shared" si="52"/>
        <v>0</v>
      </c>
      <c r="U50">
        <f t="shared" si="52"/>
        <v>0</v>
      </c>
      <c r="V50" s="123"/>
      <c r="W50">
        <f t="shared" ref="W50:AE50" si="53">COUNTIF(W20:W22,"F")</f>
        <v>0</v>
      </c>
      <c r="X50">
        <f t="shared" si="53"/>
        <v>0</v>
      </c>
      <c r="Y50">
        <f t="shared" si="53"/>
        <v>0</v>
      </c>
      <c r="Z50">
        <f t="shared" si="53"/>
        <v>0</v>
      </c>
      <c r="AA50">
        <f t="shared" si="53"/>
        <v>0</v>
      </c>
      <c r="AB50">
        <f t="shared" si="53"/>
        <v>0</v>
      </c>
      <c r="AC50">
        <f t="shared" si="53"/>
        <v>0</v>
      </c>
      <c r="AD50">
        <f t="shared" si="53"/>
        <v>0</v>
      </c>
      <c r="AE50">
        <f t="shared" si="53"/>
        <v>0</v>
      </c>
      <c r="AF50" s="123"/>
      <c r="AG50" s="126" t="s">
        <v>24</v>
      </c>
    </row>
    <row r="51" spans="1:33" x14ac:dyDescent="0.25">
      <c r="A51" s="173"/>
      <c r="B51" s="115" t="s">
        <v>42</v>
      </c>
      <c r="C51" s="113" t="s">
        <v>42</v>
      </c>
      <c r="D51">
        <f>COUNTIF(D20:D22,"T")</f>
        <v>1</v>
      </c>
      <c r="E51" s="114" t="s">
        <v>42</v>
      </c>
      <c r="F51">
        <f t="shared" ref="F51:H51" si="54">COUNTIF(F20:F22,"T")</f>
        <v>0</v>
      </c>
      <c r="G51" s="129">
        <f t="shared" si="54"/>
        <v>1</v>
      </c>
      <c r="H51">
        <f t="shared" si="54"/>
        <v>0</v>
      </c>
      <c r="J51">
        <f t="shared" ref="J51:K51" si="55">COUNTIF(J20:J22,"T")</f>
        <v>0</v>
      </c>
      <c r="K51">
        <f t="shared" si="55"/>
        <v>0</v>
      </c>
      <c r="L51" s="123"/>
      <c r="M51">
        <f t="shared" ref="M51:U51" si="56">COUNTIF(M20:M22,"T")</f>
        <v>1</v>
      </c>
      <c r="N51">
        <f t="shared" si="56"/>
        <v>0</v>
      </c>
      <c r="O51">
        <f t="shared" si="56"/>
        <v>0</v>
      </c>
      <c r="P51">
        <f t="shared" si="56"/>
        <v>0</v>
      </c>
      <c r="Q51">
        <f t="shared" si="56"/>
        <v>0</v>
      </c>
      <c r="R51">
        <f t="shared" si="56"/>
        <v>0</v>
      </c>
      <c r="S51">
        <f t="shared" si="56"/>
        <v>0</v>
      </c>
      <c r="T51">
        <f t="shared" si="56"/>
        <v>0</v>
      </c>
      <c r="U51">
        <f t="shared" si="56"/>
        <v>0</v>
      </c>
      <c r="V51" s="123"/>
      <c r="W51">
        <f t="shared" ref="W51:AE51" si="57">COUNTIF(W20:W22,"T")</f>
        <v>1</v>
      </c>
      <c r="X51">
        <f t="shared" si="57"/>
        <v>0</v>
      </c>
      <c r="Y51">
        <f t="shared" si="57"/>
        <v>0</v>
      </c>
      <c r="Z51">
        <f t="shared" si="57"/>
        <v>0</v>
      </c>
      <c r="AA51">
        <f t="shared" si="57"/>
        <v>0</v>
      </c>
      <c r="AB51">
        <f t="shared" si="57"/>
        <v>0</v>
      </c>
      <c r="AC51">
        <f t="shared" si="57"/>
        <v>0</v>
      </c>
      <c r="AD51">
        <f t="shared" si="57"/>
        <v>0</v>
      </c>
      <c r="AE51">
        <f t="shared" si="57"/>
        <v>0</v>
      </c>
      <c r="AF51" s="123"/>
      <c r="AG51" s="126" t="s">
        <v>20</v>
      </c>
    </row>
    <row r="52" spans="1:33" ht="15" x14ac:dyDescent="0.25">
      <c r="A52" s="173"/>
      <c r="B52"/>
      <c r="D52">
        <f t="shared" ref="D52:H52" si="58">D50+D51</f>
        <v>1</v>
      </c>
      <c r="F52">
        <f t="shared" si="58"/>
        <v>1</v>
      </c>
      <c r="G52" s="117">
        <f t="shared" si="58"/>
        <v>2</v>
      </c>
      <c r="H52">
        <f t="shared" si="58"/>
        <v>0</v>
      </c>
      <c r="J52">
        <f t="shared" ref="J52:K52" si="59">J50+J51</f>
        <v>0</v>
      </c>
      <c r="K52">
        <f t="shared" si="59"/>
        <v>0</v>
      </c>
      <c r="L52" s="123"/>
      <c r="M52">
        <f t="shared" ref="M52:U52" si="60">M50+M51</f>
        <v>1</v>
      </c>
      <c r="N52">
        <f t="shared" si="60"/>
        <v>0</v>
      </c>
      <c r="O52">
        <f t="shared" si="60"/>
        <v>0</v>
      </c>
      <c r="P52">
        <f t="shared" si="60"/>
        <v>0</v>
      </c>
      <c r="Q52">
        <f t="shared" si="60"/>
        <v>0</v>
      </c>
      <c r="R52">
        <f t="shared" si="60"/>
        <v>0</v>
      </c>
      <c r="S52">
        <f t="shared" si="60"/>
        <v>0</v>
      </c>
      <c r="T52">
        <f t="shared" si="60"/>
        <v>0</v>
      </c>
      <c r="U52">
        <f t="shared" si="60"/>
        <v>0</v>
      </c>
      <c r="V52" s="123"/>
      <c r="W52">
        <f t="shared" ref="W52:AE52" si="61">W50+W51</f>
        <v>1</v>
      </c>
      <c r="X52">
        <f t="shared" si="61"/>
        <v>0</v>
      </c>
      <c r="Y52">
        <f t="shared" si="61"/>
        <v>0</v>
      </c>
      <c r="Z52">
        <f t="shared" si="61"/>
        <v>0</v>
      </c>
      <c r="AA52">
        <f t="shared" si="61"/>
        <v>0</v>
      </c>
      <c r="AB52">
        <f t="shared" si="61"/>
        <v>0</v>
      </c>
      <c r="AC52">
        <f t="shared" si="61"/>
        <v>0</v>
      </c>
      <c r="AD52">
        <f t="shared" si="61"/>
        <v>0</v>
      </c>
      <c r="AE52">
        <f t="shared" si="61"/>
        <v>0</v>
      </c>
      <c r="AF52" s="123"/>
    </row>
    <row r="53" spans="1:33" ht="15" x14ac:dyDescent="0.25">
      <c r="B53"/>
      <c r="L53"/>
      <c r="V53"/>
      <c r="AF53"/>
    </row>
    <row r="54" spans="1:33" ht="15" x14ac:dyDescent="0.25">
      <c r="A54" s="173" t="s">
        <v>77</v>
      </c>
      <c r="B54" s="119" t="s">
        <v>40</v>
      </c>
      <c r="C54" s="116" t="s">
        <v>40</v>
      </c>
      <c r="D54">
        <f>COUNTIF(D2:D16,"F")</f>
        <v>5</v>
      </c>
      <c r="E54">
        <f>COUNTIF(E2:E16,"F")</f>
        <v>0</v>
      </c>
      <c r="F54">
        <f>COUNTIF(F2:F16,"F")</f>
        <v>5</v>
      </c>
      <c r="G54" s="117">
        <f>COUNTIF(G2:G16,"F")</f>
        <v>5</v>
      </c>
      <c r="H54">
        <f>COUNTIF(H2:H16,"F")</f>
        <v>0</v>
      </c>
      <c r="I54">
        <f>COUNTIF(I2:I16,"F")</f>
        <v>0</v>
      </c>
      <c r="J54">
        <f>COUNTIF(J2:J16,"F")</f>
        <v>0</v>
      </c>
      <c r="K54">
        <f>COUNTIF(K2:K16,"F")</f>
        <v>0</v>
      </c>
      <c r="L54" s="123"/>
      <c r="M54">
        <f>COUNTIF(M2:M16,"F")</f>
        <v>4</v>
      </c>
      <c r="N54">
        <f>COUNTIF(N2:N16,"F")</f>
        <v>0</v>
      </c>
      <c r="O54">
        <f>COUNTIF(O2:O16,"F")</f>
        <v>2</v>
      </c>
      <c r="P54">
        <f>COUNTIF(P2:P16,"F")</f>
        <v>0</v>
      </c>
      <c r="Q54">
        <f>COUNTIF(Q2:Q16,"F")</f>
        <v>5</v>
      </c>
      <c r="R54">
        <f>COUNTIF(R2:R16,"F")</f>
        <v>0</v>
      </c>
      <c r="S54">
        <f>COUNTIF(S2:S16,"F")</f>
        <v>2</v>
      </c>
      <c r="T54">
        <f>COUNTIF(T2:T16,"F")</f>
        <v>0</v>
      </c>
      <c r="U54">
        <f>COUNTIF(U2:U16,"F")</f>
        <v>0</v>
      </c>
      <c r="V54" s="123"/>
      <c r="W54">
        <f>COUNTIF(W2:W16,"F")</f>
        <v>0</v>
      </c>
      <c r="X54">
        <f>COUNTIF(X2:X16,"F")</f>
        <v>0</v>
      </c>
      <c r="Y54">
        <f>COUNTIF(Y2:Y16,"F")</f>
        <v>1</v>
      </c>
      <c r="Z54">
        <f>COUNTIF(Z2:Z16,"F")</f>
        <v>0</v>
      </c>
      <c r="AA54">
        <f>COUNTIF(AA2:AA16,"F")</f>
        <v>3</v>
      </c>
      <c r="AB54">
        <f>COUNTIF(AB2:AB16,"F")</f>
        <v>0</v>
      </c>
      <c r="AC54">
        <f>COUNTIF(AC2:AC16,"F")</f>
        <v>1</v>
      </c>
      <c r="AD54">
        <f>COUNTIF(AD2:AD16,"F")</f>
        <v>0</v>
      </c>
      <c r="AE54">
        <f>COUNTIF(AE2:AE16,"F")</f>
        <v>0</v>
      </c>
      <c r="AF54" s="123"/>
    </row>
    <row r="55" spans="1:33" ht="15" x14ac:dyDescent="0.25">
      <c r="A55" s="173"/>
      <c r="B55" s="115" t="s">
        <v>42</v>
      </c>
      <c r="D55">
        <f>COUNTIF(D2:D16,"T")</f>
        <v>0</v>
      </c>
      <c r="E55">
        <f>COUNTIF(E2:E16,"T")</f>
        <v>0</v>
      </c>
      <c r="F55">
        <f>COUNTIF(F2:F16,"T")</f>
        <v>0</v>
      </c>
      <c r="G55" s="117">
        <f>COUNTIF(G2:G16,"T")</f>
        <v>3</v>
      </c>
      <c r="H55">
        <f>COUNTIF(H2:H16,"T")</f>
        <v>0</v>
      </c>
      <c r="I55">
        <f>COUNTIF(I2:I16,"T")</f>
        <v>0</v>
      </c>
      <c r="J55">
        <f>COUNTIF(J2:J16,"T")</f>
        <v>0</v>
      </c>
      <c r="K55">
        <f>COUNTIF(K2:K16,"T")</f>
        <v>0</v>
      </c>
      <c r="L55" s="123"/>
      <c r="M55">
        <f>COUNTIF(M2:M16,"T")</f>
        <v>4</v>
      </c>
      <c r="N55">
        <f>COUNTIF(N2:N16,"T")</f>
        <v>0</v>
      </c>
      <c r="O55">
        <f>COUNTIF(O2:O16,"T")</f>
        <v>6</v>
      </c>
      <c r="P55">
        <f>COUNTIF(P2:P16,"T")</f>
        <v>0</v>
      </c>
      <c r="Q55">
        <f>COUNTIF(Q2:Q16,"T")</f>
        <v>0</v>
      </c>
      <c r="R55">
        <f>COUNTIF(R2:R16,"T")</f>
        <v>0</v>
      </c>
      <c r="S55">
        <f>COUNTIF(S2:S16,"T")</f>
        <v>6</v>
      </c>
      <c r="T55">
        <f>COUNTIF(T2:T16,"T")</f>
        <v>0</v>
      </c>
      <c r="U55">
        <f>COUNTIF(U2:U16,"T")</f>
        <v>0</v>
      </c>
      <c r="V55" s="123"/>
      <c r="W55">
        <f>COUNTIF(W2:W16,"T")</f>
        <v>2</v>
      </c>
      <c r="X55">
        <f>COUNTIF(X2:X16,"T")</f>
        <v>0</v>
      </c>
      <c r="Y55">
        <f>COUNTIF(Y2:Y16,"T")</f>
        <v>2</v>
      </c>
      <c r="Z55">
        <f>COUNTIF(Z2:Z16,"T")</f>
        <v>0</v>
      </c>
      <c r="AA55">
        <f>COUNTIF(AA2:AA16,"T")</f>
        <v>0</v>
      </c>
      <c r="AB55">
        <f>COUNTIF(AB2:AB16,"T")</f>
        <v>0</v>
      </c>
      <c r="AC55">
        <f>COUNTIF(AC2:AC16,"T")</f>
        <v>2</v>
      </c>
      <c r="AD55">
        <f>COUNTIF(AD2:AD16,"T")</f>
        <v>0</v>
      </c>
      <c r="AE55">
        <f>COUNTIF(AE2:AE16,"T")</f>
        <v>0</v>
      </c>
      <c r="AF55" s="123"/>
    </row>
    <row r="56" spans="1:33" ht="15" x14ac:dyDescent="0.25">
      <c r="A56" s="173"/>
      <c r="B56"/>
      <c r="D56">
        <f t="shared" ref="D56:K56" si="62">D54+D55</f>
        <v>5</v>
      </c>
      <c r="E56">
        <f t="shared" si="62"/>
        <v>0</v>
      </c>
      <c r="F56">
        <f t="shared" si="62"/>
        <v>5</v>
      </c>
      <c r="G56" s="117">
        <f t="shared" si="62"/>
        <v>8</v>
      </c>
      <c r="H56">
        <f t="shared" si="62"/>
        <v>0</v>
      </c>
      <c r="I56">
        <f t="shared" si="62"/>
        <v>0</v>
      </c>
      <c r="J56">
        <f t="shared" si="62"/>
        <v>0</v>
      </c>
      <c r="K56">
        <f t="shared" si="62"/>
        <v>0</v>
      </c>
      <c r="L56" s="123"/>
      <c r="M56">
        <f t="shared" ref="M56:U56" si="63">M54+M55</f>
        <v>8</v>
      </c>
      <c r="N56">
        <f t="shared" si="63"/>
        <v>0</v>
      </c>
      <c r="O56">
        <f t="shared" si="63"/>
        <v>8</v>
      </c>
      <c r="P56">
        <f t="shared" si="63"/>
        <v>0</v>
      </c>
      <c r="Q56">
        <f t="shared" si="63"/>
        <v>5</v>
      </c>
      <c r="R56">
        <f t="shared" si="63"/>
        <v>0</v>
      </c>
      <c r="S56">
        <f t="shared" si="63"/>
        <v>8</v>
      </c>
      <c r="T56">
        <f t="shared" si="63"/>
        <v>0</v>
      </c>
      <c r="U56">
        <f t="shared" si="63"/>
        <v>0</v>
      </c>
      <c r="V56" s="123"/>
      <c r="W56">
        <f t="shared" ref="W56:AE56" si="64">W54+W55</f>
        <v>2</v>
      </c>
      <c r="X56">
        <f t="shared" si="64"/>
        <v>0</v>
      </c>
      <c r="Y56">
        <f t="shared" si="64"/>
        <v>3</v>
      </c>
      <c r="Z56">
        <f t="shared" si="64"/>
        <v>0</v>
      </c>
      <c r="AA56">
        <f t="shared" si="64"/>
        <v>3</v>
      </c>
      <c r="AB56">
        <f t="shared" si="64"/>
        <v>0</v>
      </c>
      <c r="AC56">
        <f t="shared" si="64"/>
        <v>3</v>
      </c>
      <c r="AD56">
        <f t="shared" si="64"/>
        <v>0</v>
      </c>
      <c r="AE56">
        <f t="shared" si="64"/>
        <v>0</v>
      </c>
      <c r="AF56" s="123"/>
    </row>
    <row r="57" spans="1:33" ht="15" x14ac:dyDescent="0.25">
      <c r="B57"/>
      <c r="L57"/>
      <c r="V57"/>
      <c r="AF57"/>
    </row>
    <row r="58" spans="1:33" ht="15.75" customHeight="1" x14ac:dyDescent="0.25">
      <c r="A58" s="173" t="s">
        <v>76</v>
      </c>
      <c r="B58" s="116" t="s">
        <v>40</v>
      </c>
      <c r="C58" s="116" t="s">
        <v>40</v>
      </c>
      <c r="D58">
        <f>COUNTIF(D12:D16,"F")</f>
        <v>0</v>
      </c>
      <c r="E58">
        <f>COUNTIF(E12:E16,"F")</f>
        <v>0</v>
      </c>
      <c r="F58">
        <f>COUNTIF(F12:F16,"F")</f>
        <v>0</v>
      </c>
      <c r="H58">
        <f>COUNTIF(H12:H16,"F")</f>
        <v>0</v>
      </c>
      <c r="I58">
        <f>COUNTIF(I12:I16,"F")</f>
        <v>0</v>
      </c>
      <c r="J58">
        <f>COUNTIF(J12:J16,"F")</f>
        <v>0</v>
      </c>
      <c r="K58">
        <f>COUNTIF(K12:K16,"F")</f>
        <v>0</v>
      </c>
      <c r="L58" s="123"/>
      <c r="M58" s="131">
        <f>COUNTIF(M12:M16,"F")</f>
        <v>1</v>
      </c>
      <c r="N58">
        <f>COUNTIF(N12:N16,"F")</f>
        <v>0</v>
      </c>
      <c r="O58">
        <f>COUNTIF(O12:O16,"F")</f>
        <v>1</v>
      </c>
      <c r="P58">
        <f>COUNTIF(P12:P16,"F")</f>
        <v>0</v>
      </c>
      <c r="Q58">
        <f>COUNTIF(Q12:Q16,"F")</f>
        <v>0</v>
      </c>
      <c r="R58">
        <f>COUNTIF(R12:R16,"F")</f>
        <v>0</v>
      </c>
      <c r="S58">
        <f>COUNTIF(S12:S16,"F")</f>
        <v>1</v>
      </c>
      <c r="T58">
        <f>COUNTIF(T12:T16,"F")</f>
        <v>0</v>
      </c>
      <c r="U58">
        <f>COUNTIF(U12:U16,"F")</f>
        <v>0</v>
      </c>
      <c r="V58" s="123"/>
      <c r="W58">
        <f>COUNTIF(W12:W16,"F")</f>
        <v>0</v>
      </c>
      <c r="X58">
        <f>COUNTIF(X12:X16,"F")</f>
        <v>0</v>
      </c>
      <c r="Y58">
        <f>COUNTIF(Y12:Y16,"F")</f>
        <v>0</v>
      </c>
      <c r="Z58">
        <f>COUNTIF(Z12:Z16,"F")</f>
        <v>0</v>
      </c>
      <c r="AA58">
        <f>COUNTIF(AA12:AA16,"F")</f>
        <v>0</v>
      </c>
      <c r="AB58">
        <f>COUNTIF(AB12:AB16,"F")</f>
        <v>0</v>
      </c>
      <c r="AC58">
        <f>COUNTIF(AC12:AC16,"F")</f>
        <v>0</v>
      </c>
      <c r="AD58">
        <f>COUNTIF(AD12:AD16,"F")</f>
        <v>0</v>
      </c>
      <c r="AE58">
        <f>COUNTIF(AE12:AE16,"F")</f>
        <v>0</v>
      </c>
      <c r="AF58" s="123"/>
      <c r="AG58" s="130" t="s">
        <v>13</v>
      </c>
    </row>
    <row r="59" spans="1:33" ht="15" x14ac:dyDescent="0.25">
      <c r="A59" s="173"/>
      <c r="B59" s="113" t="s">
        <v>42</v>
      </c>
      <c r="D59">
        <f>COUNTIF(D12:D16,"T")</f>
        <v>0</v>
      </c>
      <c r="E59">
        <f>COUNTIF(E12:E16,"T")</f>
        <v>0</v>
      </c>
      <c r="F59">
        <f>COUNTIF(F12:F16,"T")</f>
        <v>0</v>
      </c>
      <c r="G59" s="115" t="s">
        <v>42</v>
      </c>
      <c r="H59">
        <f>COUNTIF(H12:H16,"T")</f>
        <v>0</v>
      </c>
      <c r="I59">
        <f>COUNTIF(I12:I16,"T")</f>
        <v>0</v>
      </c>
      <c r="J59">
        <f>COUNTIF(J12:J16,"T")</f>
        <v>0</v>
      </c>
      <c r="K59">
        <f>COUNTIF(K12:K16,"T")</f>
        <v>0</v>
      </c>
      <c r="L59" s="123"/>
      <c r="M59" s="118">
        <f>COUNTIF(M12:M16,"T")</f>
        <v>2</v>
      </c>
      <c r="N59">
        <f>COUNTIF(N12:N16,"T")</f>
        <v>0</v>
      </c>
      <c r="O59">
        <f>COUNTIF(O12:O16,"T")</f>
        <v>2</v>
      </c>
      <c r="P59">
        <f>COUNTIF(P12:P16,"T")</f>
        <v>0</v>
      </c>
      <c r="Q59">
        <f>COUNTIF(Q12:Q16,"T")</f>
        <v>0</v>
      </c>
      <c r="R59">
        <f>COUNTIF(R12:R16,"T")</f>
        <v>0</v>
      </c>
      <c r="S59">
        <f>COUNTIF(S12:S16,"T")</f>
        <v>2</v>
      </c>
      <c r="T59">
        <f>COUNTIF(T12:T16,"T")</f>
        <v>0</v>
      </c>
      <c r="U59">
        <f>COUNTIF(U12:U16,"T")</f>
        <v>0</v>
      </c>
      <c r="V59" s="123"/>
      <c r="W59">
        <f>COUNTIF(W12:W16,"T")</f>
        <v>0</v>
      </c>
      <c r="X59">
        <f>COUNTIF(X12:X16,"T")</f>
        <v>0</v>
      </c>
      <c r="Y59">
        <f>COUNTIF(Y12:Y16,"T")</f>
        <v>0</v>
      </c>
      <c r="Z59">
        <f>COUNTIF(Z12:Z16,"T")</f>
        <v>0</v>
      </c>
      <c r="AA59">
        <f>COUNTIF(AA12:AA16,"T")</f>
        <v>0</v>
      </c>
      <c r="AB59">
        <f>COUNTIF(AB12:AB16,"T")</f>
        <v>0</v>
      </c>
      <c r="AC59">
        <f>COUNTIF(AC12:AC16,"T")</f>
        <v>0</v>
      </c>
      <c r="AD59">
        <f>COUNTIF(AD12:AD16,"T")</f>
        <v>0</v>
      </c>
      <c r="AE59">
        <f>COUNTIF(AE12:AE16,"T")</f>
        <v>0</v>
      </c>
      <c r="AF59" s="123"/>
    </row>
    <row r="60" spans="1:33" ht="15" x14ac:dyDescent="0.25">
      <c r="A60" s="173"/>
      <c r="B60"/>
      <c r="D60">
        <f t="shared" ref="D60" si="65">D58+D59</f>
        <v>0</v>
      </c>
      <c r="E60">
        <f t="shared" ref="E60:F60" si="66">E58+E59</f>
        <v>0</v>
      </c>
      <c r="F60">
        <f t="shared" si="66"/>
        <v>0</v>
      </c>
      <c r="H60">
        <f t="shared" ref="H60:K60" si="67">H58+H59</f>
        <v>0</v>
      </c>
      <c r="I60">
        <f t="shared" si="67"/>
        <v>0</v>
      </c>
      <c r="J60">
        <f t="shared" si="67"/>
        <v>0</v>
      </c>
      <c r="K60">
        <f t="shared" si="67"/>
        <v>0</v>
      </c>
      <c r="L60" s="123"/>
      <c r="M60" s="118">
        <f t="shared" ref="M60:U60" si="68">M58+M59</f>
        <v>3</v>
      </c>
      <c r="N60">
        <f t="shared" si="68"/>
        <v>0</v>
      </c>
      <c r="O60">
        <f t="shared" si="68"/>
        <v>3</v>
      </c>
      <c r="P60">
        <f t="shared" si="68"/>
        <v>0</v>
      </c>
      <c r="Q60">
        <f t="shared" si="68"/>
        <v>0</v>
      </c>
      <c r="R60">
        <f t="shared" si="68"/>
        <v>0</v>
      </c>
      <c r="S60">
        <f t="shared" si="68"/>
        <v>3</v>
      </c>
      <c r="T60">
        <f t="shared" si="68"/>
        <v>0</v>
      </c>
      <c r="U60">
        <f t="shared" si="68"/>
        <v>0</v>
      </c>
      <c r="V60" s="123"/>
      <c r="W60">
        <f t="shared" ref="W60:AE60" si="69">W58+W59</f>
        <v>0</v>
      </c>
      <c r="X60">
        <f t="shared" si="69"/>
        <v>0</v>
      </c>
      <c r="Y60">
        <f t="shared" si="69"/>
        <v>0</v>
      </c>
      <c r="Z60">
        <f t="shared" si="69"/>
        <v>0</v>
      </c>
      <c r="AA60">
        <f t="shared" si="69"/>
        <v>0</v>
      </c>
      <c r="AB60">
        <f t="shared" si="69"/>
        <v>0</v>
      </c>
      <c r="AC60">
        <f t="shared" si="69"/>
        <v>0</v>
      </c>
      <c r="AD60">
        <f t="shared" si="69"/>
        <v>0</v>
      </c>
      <c r="AE60">
        <f t="shared" si="69"/>
        <v>0</v>
      </c>
      <c r="AF60" s="123"/>
    </row>
    <row r="61" spans="1:33" ht="15" x14ac:dyDescent="0.25">
      <c r="B61"/>
      <c r="L61"/>
      <c r="V61"/>
      <c r="AF61"/>
    </row>
    <row r="62" spans="1:33" ht="15.75" customHeight="1" x14ac:dyDescent="0.25">
      <c r="A62" s="173" t="s">
        <v>85</v>
      </c>
      <c r="B62" s="121" t="s">
        <v>40</v>
      </c>
      <c r="C62" s="116" t="s">
        <v>40</v>
      </c>
      <c r="D62">
        <f>COUNTIF(D14:D16,"F")</f>
        <v>0</v>
      </c>
      <c r="E62">
        <f t="shared" ref="E62:F62" si="70">COUNTIF(E14:E16,"F")</f>
        <v>0</v>
      </c>
      <c r="F62">
        <f t="shared" si="70"/>
        <v>0</v>
      </c>
      <c r="H62">
        <f t="shared" ref="H62:K62" si="71">COUNTIF(H14:H16,"F")</f>
        <v>0</v>
      </c>
      <c r="I62">
        <f t="shared" si="71"/>
        <v>0</v>
      </c>
      <c r="J62">
        <f t="shared" si="71"/>
        <v>0</v>
      </c>
      <c r="K62">
        <f t="shared" si="71"/>
        <v>0</v>
      </c>
      <c r="L62" s="123"/>
      <c r="N62">
        <f t="shared" ref="N62:U62" si="72">COUNTIF(N14:N16,"F")</f>
        <v>0</v>
      </c>
      <c r="O62" s="128">
        <f>COUNTIF(O14:O16,"F")</f>
        <v>1</v>
      </c>
      <c r="P62">
        <f t="shared" si="72"/>
        <v>0</v>
      </c>
      <c r="Q62">
        <f t="shared" si="72"/>
        <v>0</v>
      </c>
      <c r="R62">
        <f t="shared" si="72"/>
        <v>0</v>
      </c>
      <c r="S62" s="127">
        <f t="shared" si="72"/>
        <v>1</v>
      </c>
      <c r="T62">
        <f t="shared" si="72"/>
        <v>0</v>
      </c>
      <c r="U62">
        <f t="shared" si="72"/>
        <v>0</v>
      </c>
      <c r="V62" s="123"/>
      <c r="W62">
        <f t="shared" ref="W62:AE62" si="73">COUNTIF(W14:W16,"F")</f>
        <v>0</v>
      </c>
      <c r="X62">
        <f t="shared" si="73"/>
        <v>0</v>
      </c>
      <c r="Y62">
        <f t="shared" si="73"/>
        <v>0</v>
      </c>
      <c r="Z62">
        <f t="shared" si="73"/>
        <v>0</v>
      </c>
      <c r="AA62">
        <f t="shared" si="73"/>
        <v>0</v>
      </c>
      <c r="AB62">
        <f t="shared" si="73"/>
        <v>0</v>
      </c>
      <c r="AC62">
        <f t="shared" si="73"/>
        <v>0</v>
      </c>
      <c r="AD62">
        <f t="shared" si="73"/>
        <v>0</v>
      </c>
      <c r="AE62">
        <f t="shared" si="73"/>
        <v>0</v>
      </c>
      <c r="AF62" s="123"/>
      <c r="AG62" s="126" t="s">
        <v>64</v>
      </c>
    </row>
    <row r="63" spans="1:33" x14ac:dyDescent="0.25">
      <c r="A63" s="173"/>
      <c r="B63" s="114" t="s">
        <v>42</v>
      </c>
      <c r="D63">
        <f>COUNTIF(D14:D16,"T")</f>
        <v>0</v>
      </c>
      <c r="E63">
        <f t="shared" ref="E63:F63" si="74">COUNTIF(E14:E16,"T")</f>
        <v>0</v>
      </c>
      <c r="F63">
        <f t="shared" si="74"/>
        <v>0</v>
      </c>
      <c r="G63" s="115" t="s">
        <v>42</v>
      </c>
      <c r="H63">
        <f t="shared" ref="H63:K63" si="75">COUNTIF(H14:H16,"T")</f>
        <v>0</v>
      </c>
      <c r="I63">
        <f t="shared" si="75"/>
        <v>0</v>
      </c>
      <c r="J63">
        <f t="shared" si="75"/>
        <v>0</v>
      </c>
      <c r="K63">
        <f t="shared" si="75"/>
        <v>0</v>
      </c>
      <c r="L63" s="123"/>
      <c r="M63" s="113" t="s">
        <v>42</v>
      </c>
      <c r="N63">
        <f t="shared" ref="N63:U63" si="76">COUNTIF(N14:N16,"T")</f>
        <v>0</v>
      </c>
      <c r="O63" s="128">
        <f t="shared" si="76"/>
        <v>1</v>
      </c>
      <c r="P63">
        <f t="shared" si="76"/>
        <v>0</v>
      </c>
      <c r="Q63">
        <f t="shared" si="76"/>
        <v>0</v>
      </c>
      <c r="R63">
        <f t="shared" si="76"/>
        <v>0</v>
      </c>
      <c r="S63" s="127">
        <f t="shared" si="76"/>
        <v>1</v>
      </c>
      <c r="T63">
        <f t="shared" si="76"/>
        <v>0</v>
      </c>
      <c r="U63">
        <f t="shared" si="76"/>
        <v>0</v>
      </c>
      <c r="V63" s="123"/>
      <c r="W63">
        <f t="shared" ref="W63:AE63" si="77">COUNTIF(W14:W16,"T")</f>
        <v>0</v>
      </c>
      <c r="X63">
        <f t="shared" si="77"/>
        <v>0</v>
      </c>
      <c r="Y63">
        <f t="shared" si="77"/>
        <v>0</v>
      </c>
      <c r="Z63">
        <f t="shared" si="77"/>
        <v>0</v>
      </c>
      <c r="AA63">
        <f t="shared" si="77"/>
        <v>0</v>
      </c>
      <c r="AB63">
        <f t="shared" si="77"/>
        <v>0</v>
      </c>
      <c r="AC63">
        <f t="shared" si="77"/>
        <v>0</v>
      </c>
      <c r="AD63">
        <f t="shared" si="77"/>
        <v>0</v>
      </c>
      <c r="AE63">
        <f t="shared" si="77"/>
        <v>0</v>
      </c>
      <c r="AF63" s="123"/>
      <c r="AG63" s="130" t="s">
        <v>15</v>
      </c>
    </row>
    <row r="64" spans="1:33" ht="15" x14ac:dyDescent="0.25">
      <c r="A64" s="173"/>
      <c r="B64"/>
      <c r="D64">
        <f t="shared" ref="D64:F64" si="78">D62+D63</f>
        <v>0</v>
      </c>
      <c r="E64">
        <f t="shared" si="78"/>
        <v>0</v>
      </c>
      <c r="F64">
        <f t="shared" si="78"/>
        <v>0</v>
      </c>
      <c r="H64">
        <f t="shared" ref="H64:K64" si="79">H62+H63</f>
        <v>0</v>
      </c>
      <c r="I64">
        <f t="shared" si="79"/>
        <v>0</v>
      </c>
      <c r="J64">
        <f t="shared" si="79"/>
        <v>0</v>
      </c>
      <c r="K64">
        <f t="shared" si="79"/>
        <v>0</v>
      </c>
      <c r="L64" s="123"/>
      <c r="N64">
        <f t="shared" ref="N64:U64" si="80">N62+N63</f>
        <v>0</v>
      </c>
      <c r="O64" s="120">
        <f t="shared" si="80"/>
        <v>2</v>
      </c>
      <c r="P64">
        <f t="shared" si="80"/>
        <v>0</v>
      </c>
      <c r="Q64">
        <f t="shared" si="80"/>
        <v>0</v>
      </c>
      <c r="R64">
        <f t="shared" si="80"/>
        <v>0</v>
      </c>
      <c r="S64" s="122">
        <f t="shared" si="80"/>
        <v>2</v>
      </c>
      <c r="T64">
        <f t="shared" si="80"/>
        <v>0</v>
      </c>
      <c r="U64">
        <f t="shared" si="80"/>
        <v>0</v>
      </c>
      <c r="V64" s="123"/>
      <c r="W64">
        <f t="shared" ref="W64:AE64" si="81">W62+W63</f>
        <v>0</v>
      </c>
      <c r="X64">
        <f t="shared" si="81"/>
        <v>0</v>
      </c>
      <c r="Y64">
        <f t="shared" si="81"/>
        <v>0</v>
      </c>
      <c r="Z64">
        <f t="shared" si="81"/>
        <v>0</v>
      </c>
      <c r="AA64">
        <f t="shared" si="81"/>
        <v>0</v>
      </c>
      <c r="AB64">
        <f t="shared" si="81"/>
        <v>0</v>
      </c>
      <c r="AC64">
        <f t="shared" si="81"/>
        <v>0</v>
      </c>
      <c r="AD64">
        <f t="shared" si="81"/>
        <v>0</v>
      </c>
      <c r="AE64">
        <f t="shared" si="81"/>
        <v>0</v>
      </c>
      <c r="AF64" s="123"/>
    </row>
    <row r="65" spans="1:33" ht="15" x14ac:dyDescent="0.25">
      <c r="A65" s="84"/>
      <c r="B65"/>
      <c r="L65"/>
      <c r="V65"/>
      <c r="AF65"/>
    </row>
    <row r="66" spans="1:33" ht="15" customHeight="1" x14ac:dyDescent="0.25">
      <c r="A66" s="173" t="s">
        <v>76</v>
      </c>
      <c r="B66" s="116" t="s">
        <v>40</v>
      </c>
      <c r="C66" s="116" t="s">
        <v>40</v>
      </c>
      <c r="D66">
        <f>COUNTIF(D2:D10,"F")</f>
        <v>5</v>
      </c>
      <c r="E66">
        <f t="shared" ref="E66:F66" si="82">COUNTIF(E2:E10,"F")</f>
        <v>0</v>
      </c>
      <c r="F66">
        <f t="shared" si="82"/>
        <v>5</v>
      </c>
      <c r="G66" s="119" t="s">
        <v>40</v>
      </c>
      <c r="H66">
        <f t="shared" ref="H66:K66" si="83">COUNTIF(H2:H10,"F")</f>
        <v>0</v>
      </c>
      <c r="I66">
        <f t="shared" si="83"/>
        <v>0</v>
      </c>
      <c r="J66">
        <f t="shared" si="83"/>
        <v>0</v>
      </c>
      <c r="K66">
        <f t="shared" si="83"/>
        <v>0</v>
      </c>
      <c r="L66" s="123"/>
      <c r="M66" s="118">
        <f t="shared" ref="M66:U66" si="84">COUNTIF(M2:M10,"F")</f>
        <v>3</v>
      </c>
      <c r="N66">
        <f t="shared" si="84"/>
        <v>0</v>
      </c>
      <c r="O66">
        <f t="shared" si="84"/>
        <v>1</v>
      </c>
      <c r="P66">
        <f t="shared" si="84"/>
        <v>0</v>
      </c>
      <c r="Q66">
        <f t="shared" si="84"/>
        <v>5</v>
      </c>
      <c r="R66">
        <f t="shared" si="84"/>
        <v>0</v>
      </c>
      <c r="S66" s="127">
        <f t="shared" si="84"/>
        <v>1</v>
      </c>
      <c r="T66">
        <f t="shared" si="84"/>
        <v>0</v>
      </c>
      <c r="U66">
        <f t="shared" si="84"/>
        <v>0</v>
      </c>
      <c r="V66" s="123"/>
      <c r="W66">
        <f t="shared" ref="W66:AE66" si="85">COUNTIF(W2:W10,"F")</f>
        <v>0</v>
      </c>
      <c r="X66">
        <f t="shared" si="85"/>
        <v>0</v>
      </c>
      <c r="Y66">
        <f t="shared" si="85"/>
        <v>1</v>
      </c>
      <c r="Z66">
        <f t="shared" si="85"/>
        <v>0</v>
      </c>
      <c r="AA66">
        <f t="shared" si="85"/>
        <v>3</v>
      </c>
      <c r="AB66">
        <f t="shared" si="85"/>
        <v>0</v>
      </c>
      <c r="AC66">
        <f t="shared" si="85"/>
        <v>1</v>
      </c>
      <c r="AD66">
        <f t="shared" si="85"/>
        <v>0</v>
      </c>
      <c r="AE66">
        <f t="shared" si="85"/>
        <v>0</v>
      </c>
      <c r="AF66" s="123"/>
    </row>
    <row r="67" spans="1:33" ht="15" x14ac:dyDescent="0.25">
      <c r="A67" s="173"/>
      <c r="B67" s="113" t="s">
        <v>42</v>
      </c>
      <c r="D67">
        <f>COUNTIF(D2:D10,"T")</f>
        <v>0</v>
      </c>
      <c r="E67">
        <f t="shared" ref="E67:F67" si="86">COUNTIF(E2:E10,"T")</f>
        <v>0</v>
      </c>
      <c r="F67">
        <f t="shared" si="86"/>
        <v>0</v>
      </c>
      <c r="H67">
        <f t="shared" ref="H67:K67" si="87">COUNTIF(H2:H10,"T")</f>
        <v>0</v>
      </c>
      <c r="I67">
        <f t="shared" si="87"/>
        <v>0</v>
      </c>
      <c r="J67">
        <f t="shared" si="87"/>
        <v>0</v>
      </c>
      <c r="K67">
        <f t="shared" si="87"/>
        <v>0</v>
      </c>
      <c r="L67" s="123"/>
      <c r="M67" s="118">
        <f t="shared" ref="M67:U67" si="88">COUNTIF(M2:M10,"T")</f>
        <v>2</v>
      </c>
      <c r="N67">
        <f t="shared" si="88"/>
        <v>0</v>
      </c>
      <c r="O67">
        <f t="shared" si="88"/>
        <v>4</v>
      </c>
      <c r="P67">
        <f t="shared" si="88"/>
        <v>0</v>
      </c>
      <c r="Q67">
        <f t="shared" si="88"/>
        <v>0</v>
      </c>
      <c r="R67">
        <f t="shared" si="88"/>
        <v>0</v>
      </c>
      <c r="S67" s="122">
        <f t="shared" si="88"/>
        <v>4</v>
      </c>
      <c r="T67">
        <f t="shared" si="88"/>
        <v>0</v>
      </c>
      <c r="U67">
        <f t="shared" si="88"/>
        <v>0</v>
      </c>
      <c r="V67" s="123"/>
      <c r="W67">
        <f t="shared" ref="W67:AE67" si="89">COUNTIF(W2:W10,"T")</f>
        <v>2</v>
      </c>
      <c r="X67">
        <f t="shared" si="89"/>
        <v>0</v>
      </c>
      <c r="Y67">
        <f t="shared" si="89"/>
        <v>2</v>
      </c>
      <c r="Z67">
        <f t="shared" si="89"/>
        <v>0</v>
      </c>
      <c r="AA67">
        <f t="shared" si="89"/>
        <v>0</v>
      </c>
      <c r="AB67">
        <f t="shared" si="89"/>
        <v>0</v>
      </c>
      <c r="AC67">
        <f t="shared" si="89"/>
        <v>2</v>
      </c>
      <c r="AD67">
        <f t="shared" si="89"/>
        <v>0</v>
      </c>
      <c r="AE67">
        <f t="shared" si="89"/>
        <v>0</v>
      </c>
      <c r="AF67" s="123"/>
    </row>
    <row r="68" spans="1:33" ht="15" x14ac:dyDescent="0.25">
      <c r="A68" s="173"/>
      <c r="B68"/>
      <c r="D68">
        <f t="shared" ref="D68:F68" si="90">D66+D67</f>
        <v>5</v>
      </c>
      <c r="E68">
        <f t="shared" ref="E68:F68" si="91">E66+E67</f>
        <v>0</v>
      </c>
      <c r="F68">
        <f t="shared" si="91"/>
        <v>5</v>
      </c>
      <c r="H68">
        <f t="shared" ref="H68:K68" si="92">H66+H67</f>
        <v>0</v>
      </c>
      <c r="I68">
        <f t="shared" si="92"/>
        <v>0</v>
      </c>
      <c r="J68">
        <f t="shared" si="92"/>
        <v>0</v>
      </c>
      <c r="K68">
        <f t="shared" si="92"/>
        <v>0</v>
      </c>
      <c r="L68" s="123"/>
      <c r="M68" s="118">
        <f t="shared" ref="M68:U68" si="93">M66+M67</f>
        <v>5</v>
      </c>
      <c r="N68">
        <f t="shared" si="93"/>
        <v>0</v>
      </c>
      <c r="O68">
        <f t="shared" si="93"/>
        <v>5</v>
      </c>
      <c r="P68">
        <f t="shared" si="93"/>
        <v>0</v>
      </c>
      <c r="Q68">
        <f t="shared" si="93"/>
        <v>5</v>
      </c>
      <c r="R68">
        <f t="shared" si="93"/>
        <v>0</v>
      </c>
      <c r="S68" s="122">
        <f t="shared" si="93"/>
        <v>5</v>
      </c>
      <c r="T68">
        <f t="shared" si="93"/>
        <v>0</v>
      </c>
      <c r="U68">
        <f t="shared" si="93"/>
        <v>0</v>
      </c>
      <c r="V68" s="123"/>
      <c r="W68">
        <f t="shared" ref="W68:AE68" si="94">W66+W67</f>
        <v>2</v>
      </c>
      <c r="X68">
        <f t="shared" si="94"/>
        <v>0</v>
      </c>
      <c r="Y68">
        <f t="shared" si="94"/>
        <v>3</v>
      </c>
      <c r="Z68">
        <f t="shared" si="94"/>
        <v>0</v>
      </c>
      <c r="AA68">
        <f t="shared" si="94"/>
        <v>3</v>
      </c>
      <c r="AB68">
        <f t="shared" si="94"/>
        <v>0</v>
      </c>
      <c r="AC68">
        <f t="shared" si="94"/>
        <v>3</v>
      </c>
      <c r="AD68">
        <f t="shared" si="94"/>
        <v>0</v>
      </c>
      <c r="AE68">
        <f t="shared" si="94"/>
        <v>0</v>
      </c>
      <c r="AF68" s="123"/>
    </row>
    <row r="69" spans="1:33" ht="15" x14ac:dyDescent="0.25">
      <c r="B69"/>
      <c r="L69"/>
      <c r="V69"/>
      <c r="AF69"/>
    </row>
    <row r="70" spans="1:33" ht="15" customHeight="1" x14ac:dyDescent="0.25">
      <c r="A70" s="173" t="s">
        <v>85</v>
      </c>
      <c r="B70" s="121" t="s">
        <v>40</v>
      </c>
      <c r="C70" s="116" t="s">
        <v>40</v>
      </c>
      <c r="D70">
        <f>COUNTIF(D8:D10,"F")</f>
        <v>2</v>
      </c>
      <c r="E70">
        <f t="shared" ref="E70:F70" si="95">COUNTIF(E8:E10,"F")</f>
        <v>0</v>
      </c>
      <c r="F70">
        <f t="shared" si="95"/>
        <v>2</v>
      </c>
      <c r="G70" s="119" t="s">
        <v>40</v>
      </c>
      <c r="H70">
        <f t="shared" ref="H70:K70" si="96">COUNTIF(H8:H10,"F")</f>
        <v>0</v>
      </c>
      <c r="I70">
        <f t="shared" si="96"/>
        <v>0</v>
      </c>
      <c r="J70">
        <f t="shared" si="96"/>
        <v>0</v>
      </c>
      <c r="K70">
        <f t="shared" si="96"/>
        <v>0</v>
      </c>
      <c r="L70" s="123"/>
      <c r="N70">
        <f t="shared" ref="N70:U70" si="97">COUNTIF(N8:N10,"F")</f>
        <v>0</v>
      </c>
      <c r="O70" s="128">
        <f t="shared" si="97"/>
        <v>1</v>
      </c>
      <c r="P70">
        <f t="shared" si="97"/>
        <v>0</v>
      </c>
      <c r="Q70">
        <f t="shared" si="97"/>
        <v>2</v>
      </c>
      <c r="R70">
        <f t="shared" si="97"/>
        <v>0</v>
      </c>
      <c r="S70" s="127">
        <f>COUNTIF(S8:S10,"F")</f>
        <v>1</v>
      </c>
      <c r="T70">
        <f t="shared" si="97"/>
        <v>0</v>
      </c>
      <c r="U70">
        <f t="shared" si="97"/>
        <v>0</v>
      </c>
      <c r="V70" s="123"/>
      <c r="W70">
        <f t="shared" ref="W70:AE70" si="98">COUNTIF(W8:W10,"F")</f>
        <v>0</v>
      </c>
      <c r="X70">
        <f t="shared" si="98"/>
        <v>0</v>
      </c>
      <c r="Y70">
        <f t="shared" si="98"/>
        <v>0</v>
      </c>
      <c r="Z70">
        <f t="shared" si="98"/>
        <v>0</v>
      </c>
      <c r="AA70">
        <f t="shared" si="98"/>
        <v>0</v>
      </c>
      <c r="AB70">
        <f t="shared" si="98"/>
        <v>0</v>
      </c>
      <c r="AC70">
        <f t="shared" si="98"/>
        <v>0</v>
      </c>
      <c r="AD70">
        <f t="shared" si="98"/>
        <v>0</v>
      </c>
      <c r="AE70">
        <f t="shared" si="98"/>
        <v>0</v>
      </c>
      <c r="AF70" s="123"/>
      <c r="AG70" s="130" t="s">
        <v>63</v>
      </c>
    </row>
    <row r="71" spans="1:33" x14ac:dyDescent="0.25">
      <c r="A71" s="173"/>
      <c r="B71" s="114" t="s">
        <v>42</v>
      </c>
      <c r="D71">
        <f>COUNTIF(D8:D10,"T")</f>
        <v>0</v>
      </c>
      <c r="E71">
        <f t="shared" ref="E71:F71" si="99">COUNTIF(E8:E10,"T")</f>
        <v>0</v>
      </c>
      <c r="F71">
        <f t="shared" si="99"/>
        <v>0</v>
      </c>
      <c r="H71">
        <f t="shared" ref="H71:K71" si="100">COUNTIF(H8:H10,"T")</f>
        <v>0</v>
      </c>
      <c r="I71">
        <f t="shared" si="100"/>
        <v>0</v>
      </c>
      <c r="J71">
        <f t="shared" si="100"/>
        <v>0</v>
      </c>
      <c r="K71">
        <f t="shared" si="100"/>
        <v>0</v>
      </c>
      <c r="L71" s="123"/>
      <c r="M71" s="113" t="s">
        <v>42</v>
      </c>
      <c r="N71">
        <f t="shared" ref="N71:U71" si="101">COUNTIF(N8:N10,"T")</f>
        <v>0</v>
      </c>
      <c r="O71" s="128">
        <f t="shared" si="101"/>
        <v>1</v>
      </c>
      <c r="P71">
        <f t="shared" si="101"/>
        <v>0</v>
      </c>
      <c r="Q71">
        <f t="shared" si="101"/>
        <v>0</v>
      </c>
      <c r="R71">
        <f t="shared" si="101"/>
        <v>0</v>
      </c>
      <c r="S71" s="127">
        <f t="shared" si="101"/>
        <v>1</v>
      </c>
      <c r="T71">
        <f t="shared" si="101"/>
        <v>0</v>
      </c>
      <c r="U71">
        <f t="shared" si="101"/>
        <v>0</v>
      </c>
      <c r="V71" s="123"/>
      <c r="W71">
        <f t="shared" ref="W71:AE71" si="102">COUNTIF(W8:W10,"T")</f>
        <v>0</v>
      </c>
      <c r="X71">
        <f t="shared" si="102"/>
        <v>0</v>
      </c>
      <c r="Y71">
        <f t="shared" si="102"/>
        <v>0</v>
      </c>
      <c r="Z71">
        <f t="shared" si="102"/>
        <v>0</v>
      </c>
      <c r="AA71">
        <f t="shared" si="102"/>
        <v>0</v>
      </c>
      <c r="AB71">
        <f t="shared" si="102"/>
        <v>0</v>
      </c>
      <c r="AC71">
        <f t="shared" si="102"/>
        <v>0</v>
      </c>
      <c r="AD71">
        <f t="shared" si="102"/>
        <v>0</v>
      </c>
      <c r="AE71">
        <f t="shared" si="102"/>
        <v>0</v>
      </c>
      <c r="AF71" s="123"/>
      <c r="AG71" s="130" t="s">
        <v>0</v>
      </c>
    </row>
    <row r="72" spans="1:33" ht="15" x14ac:dyDescent="0.25">
      <c r="A72" s="173"/>
      <c r="B72"/>
      <c r="D72">
        <f t="shared" ref="D72:F72" si="103">D70+D71</f>
        <v>2</v>
      </c>
      <c r="E72">
        <f t="shared" si="103"/>
        <v>0</v>
      </c>
      <c r="F72">
        <f t="shared" si="103"/>
        <v>2</v>
      </c>
      <c r="H72">
        <f t="shared" ref="H72:K72" si="104">H70+H71</f>
        <v>0</v>
      </c>
      <c r="I72">
        <f t="shared" si="104"/>
        <v>0</v>
      </c>
      <c r="J72">
        <f t="shared" si="104"/>
        <v>0</v>
      </c>
      <c r="K72">
        <f t="shared" si="104"/>
        <v>0</v>
      </c>
      <c r="L72" s="123"/>
      <c r="N72">
        <f t="shared" ref="N72:U72" si="105">N70+N71</f>
        <v>0</v>
      </c>
      <c r="O72" s="120">
        <f t="shared" si="105"/>
        <v>2</v>
      </c>
      <c r="P72">
        <f t="shared" si="105"/>
        <v>0</v>
      </c>
      <c r="Q72">
        <f t="shared" si="105"/>
        <v>2</v>
      </c>
      <c r="R72">
        <f t="shared" si="105"/>
        <v>0</v>
      </c>
      <c r="S72" s="122">
        <f t="shared" si="105"/>
        <v>2</v>
      </c>
      <c r="T72">
        <f t="shared" si="105"/>
        <v>0</v>
      </c>
      <c r="U72">
        <f t="shared" si="105"/>
        <v>0</v>
      </c>
      <c r="V72" s="123"/>
      <c r="W72">
        <f t="shared" ref="W72:AE72" si="106">W70+W71</f>
        <v>0</v>
      </c>
      <c r="X72">
        <f t="shared" si="106"/>
        <v>0</v>
      </c>
      <c r="Y72">
        <f t="shared" si="106"/>
        <v>0</v>
      </c>
      <c r="Z72">
        <f t="shared" si="106"/>
        <v>0</v>
      </c>
      <c r="AA72">
        <f t="shared" si="106"/>
        <v>0</v>
      </c>
      <c r="AB72">
        <f t="shared" si="106"/>
        <v>0</v>
      </c>
      <c r="AC72">
        <f t="shared" si="106"/>
        <v>0</v>
      </c>
      <c r="AD72">
        <f t="shared" si="106"/>
        <v>0</v>
      </c>
      <c r="AE72">
        <f t="shared" si="106"/>
        <v>0</v>
      </c>
      <c r="AF72" s="123"/>
    </row>
    <row r="73" spans="1:33" ht="15" x14ac:dyDescent="0.25">
      <c r="B73"/>
      <c r="L73"/>
      <c r="V73"/>
      <c r="AF73"/>
    </row>
    <row r="74" spans="1:33" ht="15" customHeight="1" x14ac:dyDescent="0.25">
      <c r="A74" s="174" t="s">
        <v>87</v>
      </c>
      <c r="B74" s="121" t="s">
        <v>40</v>
      </c>
      <c r="C74" s="116" t="s">
        <v>40</v>
      </c>
      <c r="D74">
        <f>COUNTIF(D2:D6,"F")</f>
        <v>3</v>
      </c>
      <c r="E74">
        <f t="shared" ref="E74:F74" si="107">COUNTIF(E2:E6,"F")</f>
        <v>0</v>
      </c>
      <c r="F74">
        <f t="shared" si="107"/>
        <v>3</v>
      </c>
      <c r="G74" s="119" t="s">
        <v>40</v>
      </c>
      <c r="H74">
        <f t="shared" ref="H74:K74" si="108">COUNTIF(H2:H6,"F")</f>
        <v>0</v>
      </c>
      <c r="I74">
        <f t="shared" si="108"/>
        <v>0</v>
      </c>
      <c r="J74">
        <f t="shared" si="108"/>
        <v>0</v>
      </c>
      <c r="K74">
        <f t="shared" si="108"/>
        <v>0</v>
      </c>
      <c r="L74" s="123"/>
      <c r="M74" s="116" t="s">
        <v>40</v>
      </c>
      <c r="N74">
        <f t="shared" ref="N74:U74" si="109">COUNTIF(N2:N6,"F")</f>
        <v>0</v>
      </c>
      <c r="O74">
        <f t="shared" si="109"/>
        <v>0</v>
      </c>
      <c r="P74">
        <f t="shared" si="109"/>
        <v>0</v>
      </c>
      <c r="Q74">
        <f t="shared" si="109"/>
        <v>3</v>
      </c>
      <c r="R74">
        <f t="shared" si="109"/>
        <v>0</v>
      </c>
      <c r="S74">
        <f t="shared" si="109"/>
        <v>0</v>
      </c>
      <c r="T74">
        <f t="shared" si="109"/>
        <v>0</v>
      </c>
      <c r="U74">
        <f t="shared" si="109"/>
        <v>0</v>
      </c>
      <c r="V74" s="123"/>
      <c r="W74">
        <f t="shared" ref="W74:AE74" si="110">COUNTIF(W2:W6,"F")</f>
        <v>0</v>
      </c>
      <c r="X74">
        <f t="shared" si="110"/>
        <v>0</v>
      </c>
      <c r="Y74" s="128">
        <f>COUNTIF(Y2:Y6,"F")</f>
        <v>1</v>
      </c>
      <c r="Z74">
        <f t="shared" si="110"/>
        <v>0</v>
      </c>
      <c r="AA74">
        <f t="shared" si="110"/>
        <v>3</v>
      </c>
      <c r="AB74">
        <f t="shared" si="110"/>
        <v>0</v>
      </c>
      <c r="AC74">
        <f t="shared" si="110"/>
        <v>1</v>
      </c>
      <c r="AD74">
        <f t="shared" si="110"/>
        <v>0</v>
      </c>
      <c r="AE74">
        <f t="shared" si="110"/>
        <v>0</v>
      </c>
      <c r="AF74" s="123"/>
    </row>
    <row r="75" spans="1:33" ht="15" x14ac:dyDescent="0.25">
      <c r="A75" s="174"/>
      <c r="B75" s="114" t="s">
        <v>42</v>
      </c>
      <c r="D75">
        <f>COUNTIF(D2:D6,"T")</f>
        <v>0</v>
      </c>
      <c r="E75">
        <f t="shared" ref="E75:F75" si="111">COUNTIF(E2:E6,"T")</f>
        <v>0</v>
      </c>
      <c r="F75">
        <f t="shared" si="111"/>
        <v>0</v>
      </c>
      <c r="H75">
        <f t="shared" ref="H75:K75" si="112">COUNTIF(H2:H6,"T")</f>
        <v>0</v>
      </c>
      <c r="I75">
        <f t="shared" si="112"/>
        <v>0</v>
      </c>
      <c r="J75">
        <f t="shared" si="112"/>
        <v>0</v>
      </c>
      <c r="K75">
        <f t="shared" si="112"/>
        <v>0</v>
      </c>
      <c r="L75" s="123"/>
      <c r="N75">
        <f t="shared" ref="N75:U75" si="113">COUNTIF(N2:N6,"T")</f>
        <v>0</v>
      </c>
      <c r="O75" s="114">
        <f t="shared" si="113"/>
        <v>3</v>
      </c>
      <c r="P75">
        <f t="shared" si="113"/>
        <v>0</v>
      </c>
      <c r="Q75">
        <f t="shared" si="113"/>
        <v>0</v>
      </c>
      <c r="R75">
        <f t="shared" si="113"/>
        <v>0</v>
      </c>
      <c r="S75" s="125">
        <f t="shared" si="113"/>
        <v>3</v>
      </c>
      <c r="T75">
        <f t="shared" si="113"/>
        <v>0</v>
      </c>
      <c r="U75">
        <f t="shared" si="113"/>
        <v>0</v>
      </c>
      <c r="V75" s="123"/>
      <c r="W75">
        <f t="shared" ref="W75:AE75" si="114">COUNTIF(W2:W6,"T")</f>
        <v>2</v>
      </c>
      <c r="X75">
        <f t="shared" si="114"/>
        <v>0</v>
      </c>
      <c r="Y75" s="120">
        <f t="shared" si="114"/>
        <v>2</v>
      </c>
      <c r="Z75">
        <f t="shared" si="114"/>
        <v>0</v>
      </c>
      <c r="AA75">
        <f t="shared" si="114"/>
        <v>0</v>
      </c>
      <c r="AB75">
        <f t="shared" si="114"/>
        <v>0</v>
      </c>
      <c r="AC75">
        <f t="shared" si="114"/>
        <v>2</v>
      </c>
      <c r="AD75">
        <f t="shared" si="114"/>
        <v>0</v>
      </c>
      <c r="AE75">
        <f t="shared" si="114"/>
        <v>0</v>
      </c>
      <c r="AF75" s="123"/>
    </row>
    <row r="76" spans="1:33" ht="15" x14ac:dyDescent="0.25">
      <c r="A76" s="174"/>
      <c r="B76"/>
      <c r="D76">
        <f t="shared" ref="D76:F76" si="115">D74+D75</f>
        <v>3</v>
      </c>
      <c r="E76">
        <f t="shared" si="115"/>
        <v>0</v>
      </c>
      <c r="F76">
        <f t="shared" si="115"/>
        <v>3</v>
      </c>
      <c r="H76">
        <f t="shared" ref="H76:K76" si="116">H74+H75</f>
        <v>0</v>
      </c>
      <c r="I76">
        <f t="shared" si="116"/>
        <v>0</v>
      </c>
      <c r="J76">
        <f t="shared" si="116"/>
        <v>0</v>
      </c>
      <c r="K76">
        <f t="shared" si="116"/>
        <v>0</v>
      </c>
      <c r="L76" s="123"/>
      <c r="N76">
        <f t="shared" ref="N76:U76" si="117">N74+N75</f>
        <v>0</v>
      </c>
      <c r="O76">
        <f t="shared" si="117"/>
        <v>3</v>
      </c>
      <c r="P76">
        <f t="shared" si="117"/>
        <v>0</v>
      </c>
      <c r="Q76">
        <f t="shared" si="117"/>
        <v>3</v>
      </c>
      <c r="R76">
        <f t="shared" si="117"/>
        <v>0</v>
      </c>
      <c r="S76">
        <f t="shared" si="117"/>
        <v>3</v>
      </c>
      <c r="T76">
        <f t="shared" si="117"/>
        <v>0</v>
      </c>
      <c r="U76">
        <f t="shared" si="117"/>
        <v>0</v>
      </c>
      <c r="V76" s="123"/>
      <c r="W76">
        <f t="shared" ref="W76:AE76" si="118">W74+W75</f>
        <v>2</v>
      </c>
      <c r="X76">
        <f t="shared" si="118"/>
        <v>0</v>
      </c>
      <c r="Y76" s="120">
        <f t="shared" si="118"/>
        <v>3</v>
      </c>
      <c r="Z76">
        <f t="shared" si="118"/>
        <v>0</v>
      </c>
      <c r="AA76">
        <f t="shared" si="118"/>
        <v>3</v>
      </c>
      <c r="AB76">
        <f t="shared" si="118"/>
        <v>0</v>
      </c>
      <c r="AC76">
        <f t="shared" si="118"/>
        <v>3</v>
      </c>
      <c r="AD76">
        <f t="shared" si="118"/>
        <v>0</v>
      </c>
      <c r="AE76">
        <f t="shared" si="118"/>
        <v>0</v>
      </c>
      <c r="AF76" s="123"/>
    </row>
    <row r="78" spans="1:33" ht="15" x14ac:dyDescent="0.25">
      <c r="A78" s="174" t="s">
        <v>88</v>
      </c>
      <c r="B78"/>
      <c r="C78" s="116" t="s">
        <v>40</v>
      </c>
      <c r="D78">
        <f>COUNTIF(D4:D6,"F")</f>
        <v>2</v>
      </c>
      <c r="E78">
        <f t="shared" ref="E78:F78" si="119">COUNTIF(E4:E6,"F")</f>
        <v>0</v>
      </c>
      <c r="F78">
        <f t="shared" si="119"/>
        <v>2</v>
      </c>
      <c r="G78" s="119" t="s">
        <v>40</v>
      </c>
      <c r="H78">
        <f t="shared" ref="H78:K78" si="120">COUNTIF(H4:H6,"F")</f>
        <v>0</v>
      </c>
      <c r="I78">
        <f t="shared" si="120"/>
        <v>0</v>
      </c>
      <c r="J78">
        <f t="shared" si="120"/>
        <v>0</v>
      </c>
      <c r="K78">
        <f t="shared" si="120"/>
        <v>0</v>
      </c>
      <c r="L78" s="123"/>
      <c r="M78">
        <f t="shared" ref="M78:N78" si="121">COUNTIF(M4:M6,"F")</f>
        <v>2</v>
      </c>
      <c r="N78">
        <f t="shared" si="121"/>
        <v>0</v>
      </c>
      <c r="P78">
        <f t="shared" ref="P78:R78" si="122">COUNTIF(P4:P6,"F")</f>
        <v>0</v>
      </c>
      <c r="Q78">
        <f t="shared" si="122"/>
        <v>2</v>
      </c>
      <c r="R78">
        <f t="shared" si="122"/>
        <v>0</v>
      </c>
      <c r="T78">
        <f>COUNTIF(T4:T6,"F")</f>
        <v>0</v>
      </c>
      <c r="U78">
        <f>COUNTIF(U4:U6,"F")</f>
        <v>0</v>
      </c>
      <c r="V78" s="123"/>
      <c r="W78">
        <f t="shared" ref="W78:X78" si="123">COUNTIF(W4:W6,"F")</f>
        <v>0</v>
      </c>
      <c r="X78">
        <f t="shared" si="123"/>
        <v>0</v>
      </c>
      <c r="Z78">
        <f t="shared" ref="Z78:AE78" si="124">COUNTIF(Z4:Z6,"F")</f>
        <v>0</v>
      </c>
      <c r="AA78">
        <f t="shared" si="124"/>
        <v>2</v>
      </c>
      <c r="AB78">
        <f t="shared" si="124"/>
        <v>0</v>
      </c>
      <c r="AC78">
        <f>COUNTIF(AC4:AC6,"F")</f>
        <v>1</v>
      </c>
      <c r="AD78">
        <f t="shared" si="124"/>
        <v>0</v>
      </c>
      <c r="AE78">
        <f t="shared" si="124"/>
        <v>0</v>
      </c>
      <c r="AF78" s="123"/>
    </row>
    <row r="79" spans="1:33" ht="15" x14ac:dyDescent="0.25">
      <c r="A79" s="174"/>
      <c r="B79"/>
      <c r="D79">
        <f>COUNTIF(D4:D6,"T")</f>
        <v>0</v>
      </c>
      <c r="E79">
        <f t="shared" ref="E79:F79" si="125">COUNTIF(E4:E6,"T")</f>
        <v>0</v>
      </c>
      <c r="F79">
        <f t="shared" si="125"/>
        <v>0</v>
      </c>
      <c r="H79">
        <f t="shared" ref="H79:K79" si="126">COUNTIF(H4:H6,"T")</f>
        <v>0</v>
      </c>
      <c r="I79">
        <f t="shared" si="126"/>
        <v>0</v>
      </c>
      <c r="J79">
        <f t="shared" si="126"/>
        <v>0</v>
      </c>
      <c r="K79">
        <f t="shared" si="126"/>
        <v>0</v>
      </c>
      <c r="L79" s="123"/>
      <c r="M79">
        <f t="shared" ref="M79:N79" si="127">COUNTIF(M4:M6,"T")</f>
        <v>0</v>
      </c>
      <c r="N79">
        <f t="shared" si="127"/>
        <v>0</v>
      </c>
      <c r="O79" s="114" t="s">
        <v>42</v>
      </c>
      <c r="P79">
        <f t="shared" ref="P79:R79" si="128">COUNTIF(P4:P6,"T")</f>
        <v>0</v>
      </c>
      <c r="Q79">
        <f t="shared" si="128"/>
        <v>0</v>
      </c>
      <c r="R79">
        <f t="shared" si="128"/>
        <v>0</v>
      </c>
      <c r="S79" s="125" t="s">
        <v>42</v>
      </c>
      <c r="T79">
        <f>COUNTIF(T4:T6,"T")</f>
        <v>0</v>
      </c>
      <c r="U79">
        <f>COUNTIF(U4:U6,"T")</f>
        <v>0</v>
      </c>
      <c r="V79" s="123"/>
      <c r="W79">
        <f t="shared" ref="W79:X79" si="129">COUNTIF(W4:W6,"T")</f>
        <v>1</v>
      </c>
      <c r="X79">
        <f t="shared" si="129"/>
        <v>0</v>
      </c>
      <c r="Y79" s="114" t="s">
        <v>42</v>
      </c>
      <c r="Z79">
        <f t="shared" ref="Z79:AE79" si="130">COUNTIF(Z4:Z6,"T")</f>
        <v>0</v>
      </c>
      <c r="AA79">
        <f t="shared" si="130"/>
        <v>0</v>
      </c>
      <c r="AB79">
        <f t="shared" si="130"/>
        <v>0</v>
      </c>
      <c r="AC79">
        <f t="shared" si="130"/>
        <v>1</v>
      </c>
      <c r="AD79">
        <f t="shared" si="130"/>
        <v>0</v>
      </c>
      <c r="AE79">
        <f t="shared" si="130"/>
        <v>0</v>
      </c>
      <c r="AF79" s="123"/>
    </row>
    <row r="80" spans="1:33" ht="15" x14ac:dyDescent="0.25">
      <c r="A80" s="174"/>
      <c r="B80"/>
      <c r="D80">
        <f t="shared" ref="D80:F80" si="131">D78+D79</f>
        <v>2</v>
      </c>
      <c r="E80">
        <f t="shared" ref="E80:F80" si="132">E78+E79</f>
        <v>0</v>
      </c>
      <c r="F80">
        <f t="shared" si="132"/>
        <v>2</v>
      </c>
      <c r="H80">
        <f t="shared" ref="H80:K80" si="133">H78+H79</f>
        <v>0</v>
      </c>
      <c r="I80">
        <f t="shared" si="133"/>
        <v>0</v>
      </c>
      <c r="J80">
        <f t="shared" si="133"/>
        <v>0</v>
      </c>
      <c r="K80">
        <f t="shared" si="133"/>
        <v>0</v>
      </c>
      <c r="L80" s="123"/>
      <c r="M80">
        <f t="shared" ref="M80:N80" si="134">M78+M79</f>
        <v>2</v>
      </c>
      <c r="N80">
        <f t="shared" si="134"/>
        <v>0</v>
      </c>
      <c r="P80">
        <f t="shared" ref="P80:R80" si="135">P78+P79</f>
        <v>0</v>
      </c>
      <c r="Q80">
        <f t="shared" si="135"/>
        <v>2</v>
      </c>
      <c r="R80">
        <f t="shared" si="135"/>
        <v>0</v>
      </c>
      <c r="T80">
        <f t="shared" ref="T80" si="136">T78+T79</f>
        <v>0</v>
      </c>
      <c r="U80">
        <f t="shared" ref="T80:U80" si="137">U78+U79</f>
        <v>0</v>
      </c>
      <c r="V80" s="123"/>
      <c r="W80">
        <f t="shared" ref="W80:X80" si="138">W78+W79</f>
        <v>1</v>
      </c>
      <c r="X80">
        <f t="shared" si="138"/>
        <v>0</v>
      </c>
      <c r="Z80">
        <f t="shared" ref="Z80:AE80" si="139">Z78+Z79</f>
        <v>0</v>
      </c>
      <c r="AA80">
        <f t="shared" si="139"/>
        <v>2</v>
      </c>
      <c r="AB80">
        <f t="shared" si="139"/>
        <v>0</v>
      </c>
      <c r="AC80">
        <f t="shared" si="139"/>
        <v>2</v>
      </c>
      <c r="AD80">
        <f t="shared" si="139"/>
        <v>0</v>
      </c>
      <c r="AE80">
        <f t="shared" si="139"/>
        <v>0</v>
      </c>
      <c r="AF80" s="123"/>
    </row>
    <row r="83" spans="1:33" x14ac:dyDescent="0.25">
      <c r="A83" s="248" t="s">
        <v>89</v>
      </c>
      <c r="B83" s="248"/>
      <c r="C83" s="248"/>
      <c r="D83" s="248"/>
      <c r="E83" s="248"/>
      <c r="F83" s="248"/>
      <c r="G83" s="248"/>
      <c r="H83" s="248"/>
      <c r="I83" s="248"/>
      <c r="J83" s="248"/>
      <c r="K83" s="248"/>
      <c r="L83" s="248"/>
      <c r="M83" s="248"/>
      <c r="N83" s="248"/>
      <c r="O83" s="248"/>
      <c r="P83" s="248"/>
      <c r="Q83" s="248"/>
      <c r="R83" s="248"/>
      <c r="S83" s="248"/>
      <c r="T83" s="248"/>
      <c r="U83" s="248"/>
      <c r="V83" s="248"/>
      <c r="W83" s="248"/>
      <c r="X83" s="248"/>
      <c r="Y83" s="248"/>
      <c r="Z83" s="248"/>
      <c r="AA83" s="248"/>
      <c r="AB83" s="248"/>
      <c r="AC83" s="248"/>
      <c r="AD83" s="248"/>
      <c r="AE83" s="248"/>
    </row>
    <row r="84" spans="1:33" x14ac:dyDescent="0.25">
      <c r="AG84" s="130" t="s">
        <v>5</v>
      </c>
    </row>
    <row r="85" spans="1:33" x14ac:dyDescent="0.25">
      <c r="AG85" s="130" t="s">
        <v>9</v>
      </c>
    </row>
    <row r="86" spans="1:33" x14ac:dyDescent="0.25">
      <c r="AG86" s="130" t="s">
        <v>62</v>
      </c>
    </row>
  </sheetData>
  <mergeCells count="17">
    <mergeCell ref="A58:A60"/>
    <mergeCell ref="A83:AE83"/>
    <mergeCell ref="A62:A64"/>
    <mergeCell ref="A66:A68"/>
    <mergeCell ref="A70:A72"/>
    <mergeCell ref="A74:A76"/>
    <mergeCell ref="A78:A80"/>
    <mergeCell ref="W1:AE1"/>
    <mergeCell ref="A30:A32"/>
    <mergeCell ref="A34:A36"/>
    <mergeCell ref="A46:A48"/>
    <mergeCell ref="A54:A56"/>
    <mergeCell ref="C1:K1"/>
    <mergeCell ref="M1:U1"/>
    <mergeCell ref="A38:A40"/>
    <mergeCell ref="A42:A44"/>
    <mergeCell ref="A50:A52"/>
  </mergeCells>
  <conditionalFormatting sqref="C30:AE30 C34:AE34 C38:AE38 C42:AE42 C46:AE46 C50:AE50 C54:AE54 C58:AE58 C62:AE62 C78:AE78 C70:AE70 C66:AE66 C74:AE74">
    <cfRule type="expression" dxfId="6" priority="21">
      <formula>C30=C32</formula>
    </cfRule>
  </conditionalFormatting>
  <conditionalFormatting sqref="C30:AE80">
    <cfRule type="expression" priority="3" stopIfTrue="1">
      <formula>ISBLANK(C30)</formula>
    </cfRule>
    <cfRule type="cellIs" priority="5" stopIfTrue="1" operator="equal">
      <formula>"F"</formula>
    </cfRule>
    <cfRule type="cellIs" priority="6" stopIfTrue="1" operator="equal">
      <formula>"T"</formula>
    </cfRule>
    <cfRule type="cellIs" dxfId="5" priority="7" stopIfTrue="1" operator="equal">
      <formula>0</formula>
    </cfRule>
  </conditionalFormatting>
  <conditionalFormatting sqref="C31:AE31 C35:AE35 C39:AE39 C43:AE43 C47:AE47 C51:AE51 C55:AE55 C59:AE59 C63:AE63 C79:AE79 M66:M68 C71:AE71 C67:AE67 C75:AE75">
    <cfRule type="expression" dxfId="4" priority="22">
      <formula>C31=C32</formula>
    </cfRule>
  </conditionalFormatting>
  <conditionalFormatting sqref="S71">
    <cfRule type="expression" dxfId="3" priority="1">
      <formula>S71=S73</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6"/>
  <sheetViews>
    <sheetView workbookViewId="0">
      <selection activeCell="H9" sqref="H9"/>
    </sheetView>
  </sheetViews>
  <sheetFormatPr defaultRowHeight="15" x14ac:dyDescent="0.25"/>
  <cols>
    <col min="1" max="1" width="17.140625" bestFit="1" customWidth="1"/>
    <col min="2" max="2" width="16" bestFit="1" customWidth="1"/>
    <col min="3" max="3" width="17.140625" bestFit="1" customWidth="1"/>
    <col min="4" max="4" width="15.5703125" bestFit="1" customWidth="1"/>
    <col min="6" max="6" width="12.42578125" bestFit="1" customWidth="1"/>
    <col min="7" max="9" width="15.5703125" style="1" bestFit="1" customWidth="1"/>
    <col min="11" max="11" width="12.42578125" bestFit="1" customWidth="1"/>
    <col min="12" max="14" width="15.5703125" bestFit="1" customWidth="1"/>
  </cols>
  <sheetData>
    <row r="1" spans="1:14" ht="20.25" thickBot="1" x14ac:dyDescent="0.35">
      <c r="A1" s="233" t="s">
        <v>67</v>
      </c>
      <c r="B1" s="233"/>
      <c r="C1" s="233"/>
      <c r="D1" s="233"/>
      <c r="F1" s="234" t="s">
        <v>68</v>
      </c>
      <c r="G1" s="235"/>
      <c r="H1" s="235"/>
      <c r="I1" s="236"/>
      <c r="K1" s="234" t="s">
        <v>69</v>
      </c>
      <c r="L1" s="235"/>
      <c r="M1" s="235"/>
      <c r="N1" s="236"/>
    </row>
    <row r="2" spans="1:14" ht="20.25" thickTop="1" thickBot="1" x14ac:dyDescent="0.3">
      <c r="A2" s="40" t="s">
        <v>70</v>
      </c>
      <c r="B2" s="41" t="s">
        <v>54</v>
      </c>
      <c r="C2" s="41" t="s">
        <v>55</v>
      </c>
      <c r="D2" s="41" t="s">
        <v>56</v>
      </c>
      <c r="F2" s="42" t="s">
        <v>70</v>
      </c>
      <c r="G2" s="43" t="s">
        <v>59</v>
      </c>
      <c r="H2" s="43" t="s">
        <v>60</v>
      </c>
      <c r="I2" s="43" t="s">
        <v>61</v>
      </c>
      <c r="K2" s="44" t="s">
        <v>70</v>
      </c>
      <c r="L2" s="43" t="s">
        <v>59</v>
      </c>
      <c r="M2" s="43" t="s">
        <v>60</v>
      </c>
      <c r="N2" s="46" t="s">
        <v>61</v>
      </c>
    </row>
    <row r="3" spans="1:14" ht="19.5" thickBot="1" x14ac:dyDescent="0.3">
      <c r="A3" s="73" t="str">
        <f>'DE-9IM Matrixes'!BA2</f>
        <v>Disjoint</v>
      </c>
      <c r="B3" s="74" t="str">
        <f>'DE-9IM Matrixes'!BB2</f>
        <v>FF*FF****</v>
      </c>
      <c r="C3" s="75" t="str">
        <f>'DE-9IM Matrixes'!BC2</f>
        <v>F*T*F*T**</v>
      </c>
      <c r="D3" s="76" t="str">
        <f>'DE-9IM Matrixes'!BD2</f>
        <v>**T*F*T**</v>
      </c>
      <c r="F3" s="2" t="str">
        <f t="shared" ref="F3" si="0">A3</f>
        <v>Disjoint</v>
      </c>
      <c r="G3" s="3" t="str">
        <f t="shared" ref="G3" si="1">IF(ISBLANK(B3),0,SUBSTITUTE(SUBSTITUTE(SUBSTITUTE(B3,"*",0),"F","1"),"T",1))</f>
        <v>110110000</v>
      </c>
      <c r="H3" s="3" t="str">
        <f t="shared" ref="H3" si="2">IF(ISBLANK(C3),0,SUBSTITUTE(SUBSTITUTE(SUBSTITUTE(C3,"*",0),"F","1"),"T",1))</f>
        <v>101010100</v>
      </c>
      <c r="I3" s="4" t="str">
        <f t="shared" ref="I3" si="3">IF(ISBLANK(D3),0,SUBSTITUTE(SUBSTITUTE(SUBSTITUTE(D3,"*",0),"F","1"),"T",1))</f>
        <v>001010100</v>
      </c>
      <c r="K3" s="45" t="str">
        <f t="shared" ref="K3" si="4">A3</f>
        <v>Disjoint</v>
      </c>
      <c r="L3" s="3" t="str">
        <f t="shared" ref="L3" si="5">IF(ISBLANK(B3),0,SUBSTITUTE(SUBSTITUTE(SUBSTITUTE(B3,"*",0),"F","0"),"T",1))</f>
        <v>000000000</v>
      </c>
      <c r="M3" s="3" t="str">
        <f t="shared" ref="M3" si="6">IF(ISBLANK(C3),0,SUBSTITUTE(SUBSTITUTE(SUBSTITUTE(C3,"*",0),"F","0"),"T",1))</f>
        <v>001000100</v>
      </c>
      <c r="N3" s="47" t="str">
        <f t="shared" ref="N3" si="7">IF(ISBLANK(D3),0,SUBSTITUTE(SUBSTITUTE(SUBSTITUTE(D3,"*",0),"F","0"),"T",1))</f>
        <v>001000100</v>
      </c>
    </row>
    <row r="4" spans="1:14" ht="19.5" thickBot="1" x14ac:dyDescent="0.3">
      <c r="A4" s="38" t="str">
        <f>'DE-9IM Matrixes'!BA7</f>
        <v>Shelters</v>
      </c>
      <c r="B4" s="36" t="str">
        <f>'DE-9IM Matrixes'!BB7</f>
        <v>FF*FF****</v>
      </c>
      <c r="C4" s="32" t="str">
        <f>'DE-9IM Matrixes'!BC7</f>
        <v>F*T*F*T**</v>
      </c>
      <c r="D4" s="33" t="str">
        <f>'DE-9IM Matrixes'!BD7</f>
        <v>T*T*F*F**</v>
      </c>
      <c r="F4" s="2" t="str">
        <f t="shared" ref="F4:F11" si="8">A4</f>
        <v>Shelters</v>
      </c>
      <c r="G4" s="3" t="str">
        <f t="shared" ref="G4:G11" si="9">IF(ISBLANK(B4),0,SUBSTITUTE(SUBSTITUTE(SUBSTITUTE(B4,"*",0),"F","1"),"T",1))</f>
        <v>110110000</v>
      </c>
      <c r="H4" s="3" t="str">
        <f t="shared" ref="H4:H11" si="10">IF(ISBLANK(C4),0,SUBSTITUTE(SUBSTITUTE(SUBSTITUTE(C4,"*",0),"F","1"),"T",1))</f>
        <v>101010100</v>
      </c>
      <c r="I4" s="4" t="str">
        <f t="shared" ref="I4:I11" si="11">IF(ISBLANK(D4),0,SUBSTITUTE(SUBSTITUTE(SUBSTITUTE(D4,"*",0),"F","1"),"T",1))</f>
        <v>101010100</v>
      </c>
      <c r="K4" s="45" t="str">
        <f t="shared" ref="K4:K11" si="12">A4</f>
        <v>Shelters</v>
      </c>
      <c r="L4" s="3" t="str">
        <f t="shared" ref="L4:L11" si="13">IF(ISBLANK(B4),0,SUBSTITUTE(SUBSTITUTE(SUBSTITUTE(B4,"*",0),"F","0"),"T",1))</f>
        <v>000000000</v>
      </c>
      <c r="M4" s="3" t="str">
        <f t="shared" ref="M4:M11" si="14">IF(ISBLANK(C4),0,SUBSTITUTE(SUBSTITUTE(SUBSTITUTE(C4,"*",0),"F","0"),"T",1))</f>
        <v>001000100</v>
      </c>
      <c r="N4" s="47" t="str">
        <f t="shared" ref="N4:N11" si="15">IF(ISBLANK(D4),0,SUBSTITUTE(SUBSTITUTE(SUBSTITUTE(D4,"*",0),"F","0"),"T",1))</f>
        <v>101000000</v>
      </c>
    </row>
    <row r="5" spans="1:14" ht="19.5" thickBot="1" x14ac:dyDescent="0.3">
      <c r="A5" s="38" t="str">
        <f>'DE-9IM Matrixes'!BA12</f>
        <v>Surrounds</v>
      </c>
      <c r="B5" s="36" t="str">
        <f>'DE-9IM Matrixes'!BB12</f>
        <v>FF*FF****</v>
      </c>
      <c r="C5" s="32" t="str">
        <f>'DE-9IM Matrixes'!BC12</f>
        <v>T*T*F*F**</v>
      </c>
      <c r="D5" s="33" t="str">
        <f>'DE-9IM Matrixes'!BD12</f>
        <v>*********</v>
      </c>
      <c r="F5" s="2" t="str">
        <f t="shared" si="8"/>
        <v>Surrounds</v>
      </c>
      <c r="G5" s="3" t="str">
        <f t="shared" si="9"/>
        <v>110110000</v>
      </c>
      <c r="H5" s="3" t="str">
        <f t="shared" si="10"/>
        <v>101010100</v>
      </c>
      <c r="I5" s="4" t="str">
        <f t="shared" si="11"/>
        <v>000000000</v>
      </c>
      <c r="K5" s="45" t="str">
        <f t="shared" si="12"/>
        <v>Surrounds</v>
      </c>
      <c r="L5" s="3" t="str">
        <f t="shared" si="13"/>
        <v>000000000</v>
      </c>
      <c r="M5" s="3" t="str">
        <f t="shared" si="14"/>
        <v>101000000</v>
      </c>
      <c r="N5" s="47" t="str">
        <f t="shared" si="15"/>
        <v>000000000</v>
      </c>
    </row>
    <row r="6" spans="1:14" ht="19.5" thickBot="1" x14ac:dyDescent="0.3">
      <c r="A6" s="38" t="str">
        <f>'DE-9IM Matrixes'!BA17</f>
        <v>Borders</v>
      </c>
      <c r="B6" s="36" t="str">
        <f>'DE-9IM Matrixes'!BB17</f>
        <v>F***T****</v>
      </c>
      <c r="C6" s="32" t="str">
        <f>'DE-9IM Matrixes'!BC17</f>
        <v>F*T***T**</v>
      </c>
      <c r="D6" s="33" t="str">
        <f>'DE-9IM Matrixes'!BD17</f>
        <v>*********</v>
      </c>
      <c r="F6" s="2" t="str">
        <f t="shared" si="8"/>
        <v>Borders</v>
      </c>
      <c r="G6" s="3" t="str">
        <f t="shared" si="9"/>
        <v>100010000</v>
      </c>
      <c r="H6" s="3" t="str">
        <f t="shared" si="10"/>
        <v>101000100</v>
      </c>
      <c r="I6" s="4" t="str">
        <f t="shared" si="11"/>
        <v>000000000</v>
      </c>
      <c r="K6" s="45" t="str">
        <f t="shared" si="12"/>
        <v>Borders</v>
      </c>
      <c r="L6" s="3" t="str">
        <f t="shared" si="13"/>
        <v>000010000</v>
      </c>
      <c r="M6" s="3" t="str">
        <f t="shared" si="14"/>
        <v>001000100</v>
      </c>
      <c r="N6" s="47" t="str">
        <f t="shared" si="15"/>
        <v>000000000</v>
      </c>
    </row>
    <row r="7" spans="1:14" ht="19.5" thickBot="1" x14ac:dyDescent="0.3">
      <c r="A7" s="38" t="str">
        <f>'DE-9IM Matrixes'!BA22</f>
        <v>Confines</v>
      </c>
      <c r="B7" s="36" t="str">
        <f>'DE-9IM Matrixes'!BB22</f>
        <v>F***T****</v>
      </c>
      <c r="C7" s="32" t="str">
        <f>'DE-9IM Matrixes'!BC22</f>
        <v>T*T***F**</v>
      </c>
      <c r="D7" s="33" t="str">
        <f>'DE-9IM Matrixes'!BD22</f>
        <v>*********</v>
      </c>
      <c r="F7" s="2" t="str">
        <f t="shared" si="8"/>
        <v>Confines</v>
      </c>
      <c r="G7" s="3" t="str">
        <f t="shared" si="9"/>
        <v>100010000</v>
      </c>
      <c r="H7" s="3" t="str">
        <f t="shared" si="10"/>
        <v>101000100</v>
      </c>
      <c r="I7" s="4" t="str">
        <f t="shared" si="11"/>
        <v>000000000</v>
      </c>
      <c r="K7" s="45" t="str">
        <f t="shared" si="12"/>
        <v>Confines</v>
      </c>
      <c r="L7" s="3" t="str">
        <f t="shared" si="13"/>
        <v>000010000</v>
      </c>
      <c r="M7" s="3" t="str">
        <f t="shared" si="14"/>
        <v>101000000</v>
      </c>
      <c r="N7" s="47" t="str">
        <f t="shared" si="15"/>
        <v>000000000</v>
      </c>
    </row>
    <row r="8" spans="1:14" ht="19.5" thickBot="1" x14ac:dyDescent="0.3">
      <c r="A8" s="38" t="str">
        <f>'DE-9IM Matrixes'!BA27</f>
        <v>Contains</v>
      </c>
      <c r="B8" s="36" t="str">
        <f>'DE-9IM Matrixes'!BB27</f>
        <v>TTTFF*F**</v>
      </c>
      <c r="C8" s="32" t="str">
        <f>'DE-9IM Matrixes'!BC27</f>
        <v>T********</v>
      </c>
      <c r="D8" s="33" t="str">
        <f>'DE-9IM Matrixes'!BD27</f>
        <v>T********</v>
      </c>
      <c r="F8" s="2" t="str">
        <f t="shared" si="8"/>
        <v>Contains</v>
      </c>
      <c r="G8" s="3" t="str">
        <f t="shared" si="9"/>
        <v>111110100</v>
      </c>
      <c r="H8" s="3" t="str">
        <f t="shared" si="10"/>
        <v>100000000</v>
      </c>
      <c r="I8" s="4" t="str">
        <f t="shared" si="11"/>
        <v>100000000</v>
      </c>
      <c r="K8" s="45" t="str">
        <f t="shared" si="12"/>
        <v>Contains</v>
      </c>
      <c r="L8" s="3" t="str">
        <f t="shared" si="13"/>
        <v>111000000</v>
      </c>
      <c r="M8" s="3" t="str">
        <f t="shared" si="14"/>
        <v>100000000</v>
      </c>
      <c r="N8" s="47" t="str">
        <f t="shared" si="15"/>
        <v>100000000</v>
      </c>
    </row>
    <row r="9" spans="1:14" ht="19.5" thickBot="1" x14ac:dyDescent="0.3">
      <c r="A9" s="38" t="str">
        <f>'DE-9IM Matrixes'!BA32</f>
        <v>Equals</v>
      </c>
      <c r="B9" s="36" t="str">
        <f>'DE-9IM Matrixes'!BB32</f>
        <v>T*F*T*F**</v>
      </c>
      <c r="C9" s="32" t="str">
        <f>'DE-9IM Matrixes'!BC32</f>
        <v>*********</v>
      </c>
      <c r="D9" s="33" t="str">
        <f>'DE-9IM Matrixes'!BD32</f>
        <v>*********</v>
      </c>
      <c r="F9" s="2" t="str">
        <f t="shared" si="8"/>
        <v>Equals</v>
      </c>
      <c r="G9" s="3" t="str">
        <f t="shared" si="9"/>
        <v>101010100</v>
      </c>
      <c r="H9" s="3" t="str">
        <f t="shared" si="10"/>
        <v>000000000</v>
      </c>
      <c r="I9" s="4" t="str">
        <f t="shared" si="11"/>
        <v>000000000</v>
      </c>
      <c r="K9" s="48" t="str">
        <f t="shared" si="12"/>
        <v>Equals</v>
      </c>
      <c r="L9" s="49" t="str">
        <f t="shared" si="13"/>
        <v>100010000</v>
      </c>
      <c r="M9" s="49" t="str">
        <f t="shared" si="14"/>
        <v>000000000</v>
      </c>
      <c r="N9" s="50" t="str">
        <f t="shared" si="15"/>
        <v>000000000</v>
      </c>
    </row>
    <row r="10" spans="1:14" ht="19.5" thickBot="1" x14ac:dyDescent="0.3">
      <c r="A10" s="38" t="str">
        <f>'DE-9IM Matrixes'!BA37</f>
        <v>Is Partitioned by</v>
      </c>
      <c r="B10" s="36" t="str">
        <f>'DE-9IM Matrixes'!BB37</f>
        <v>T*T*T*F**</v>
      </c>
      <c r="C10" s="32" t="str">
        <f>'DE-9IM Matrixes'!BC37</f>
        <v>*********</v>
      </c>
      <c r="D10" s="33" t="str">
        <f>'DE-9IM Matrixes'!BD37</f>
        <v>*********</v>
      </c>
      <c r="F10" s="2" t="str">
        <f t="shared" si="8"/>
        <v>Is Partitioned by</v>
      </c>
      <c r="G10" s="3" t="str">
        <f t="shared" si="9"/>
        <v>101010100</v>
      </c>
      <c r="H10" s="3" t="str">
        <f t="shared" si="10"/>
        <v>000000000</v>
      </c>
      <c r="I10" s="4" t="str">
        <f t="shared" si="11"/>
        <v>000000000</v>
      </c>
      <c r="K10" s="45" t="str">
        <f t="shared" si="12"/>
        <v>Is Partitioned by</v>
      </c>
      <c r="L10" s="3" t="str">
        <f t="shared" si="13"/>
        <v>101010000</v>
      </c>
      <c r="M10" s="3" t="str">
        <f t="shared" si="14"/>
        <v>000000000</v>
      </c>
      <c r="N10" s="47" t="str">
        <f t="shared" si="15"/>
        <v>000000000</v>
      </c>
    </row>
    <row r="11" spans="1:14" ht="19.5" thickBot="1" x14ac:dyDescent="0.3">
      <c r="A11" s="39" t="str">
        <f>'DE-9IM Matrixes'!BA42</f>
        <v>Overlaps</v>
      </c>
      <c r="B11" s="37" t="str">
        <f>'DE-9IM Matrixes'!BB42</f>
        <v>T*T***T**</v>
      </c>
      <c r="C11" s="34" t="str">
        <f>'DE-9IM Matrixes'!BC42</f>
        <v>T********</v>
      </c>
      <c r="D11" s="35" t="str">
        <f>'DE-9IM Matrixes'!BD42</f>
        <v>T********</v>
      </c>
      <c r="F11" s="2" t="str">
        <f t="shared" si="8"/>
        <v>Overlaps</v>
      </c>
      <c r="G11" s="3" t="str">
        <f t="shared" si="9"/>
        <v>101000100</v>
      </c>
      <c r="H11" s="3" t="str">
        <f t="shared" si="10"/>
        <v>100000000</v>
      </c>
      <c r="I11" s="4" t="str">
        <f t="shared" si="11"/>
        <v>100000000</v>
      </c>
      <c r="K11" s="45" t="str">
        <f t="shared" si="12"/>
        <v>Overlaps</v>
      </c>
      <c r="L11" s="3" t="str">
        <f t="shared" si="13"/>
        <v>101000100</v>
      </c>
      <c r="M11" s="3" t="str">
        <f t="shared" si="14"/>
        <v>100000000</v>
      </c>
      <c r="N11" s="47" t="str">
        <f t="shared" si="15"/>
        <v>100000000</v>
      </c>
    </row>
    <row r="12" spans="1:14" x14ac:dyDescent="0.25">
      <c r="C12" s="1"/>
      <c r="D12" s="1"/>
      <c r="E12" s="1"/>
      <c r="G12"/>
      <c r="H12"/>
      <c r="I12"/>
    </row>
    <row r="13" spans="1:14" x14ac:dyDescent="0.25">
      <c r="C13" s="1"/>
      <c r="D13" s="1"/>
      <c r="E13" s="1"/>
      <c r="G13"/>
      <c r="H13"/>
      <c r="I13"/>
    </row>
    <row r="14" spans="1:14" x14ac:dyDescent="0.25">
      <c r="C14" s="1"/>
      <c r="D14" s="1"/>
      <c r="E14" s="1"/>
      <c r="G14"/>
      <c r="H14"/>
      <c r="I14"/>
    </row>
    <row r="15" spans="1:14" x14ac:dyDescent="0.25">
      <c r="C15" s="1"/>
      <c r="D15" s="1"/>
      <c r="E15" s="1"/>
      <c r="G15"/>
      <c r="H15"/>
      <c r="I15"/>
    </row>
    <row r="16" spans="1:14" x14ac:dyDescent="0.25">
      <c r="C16" s="1"/>
      <c r="D16" s="1"/>
      <c r="E16" s="1"/>
      <c r="G16"/>
      <c r="H16"/>
      <c r="I16"/>
    </row>
  </sheetData>
  <mergeCells count="3">
    <mergeCell ref="A1:D1"/>
    <mergeCell ref="F1:I1"/>
    <mergeCell ref="K1:N1"/>
  </mergeCells>
  <pageMargins left="0.7" right="0.7" top="0.75" bottom="0.75" header="0.3" footer="0.3"/>
  <pageSetup orientation="portrait" horizontalDpi="0" verticalDpi="0"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9EC27-B201-48E7-B718-C1C0D681B722}">
  <dimension ref="A1:BX51"/>
  <sheetViews>
    <sheetView showGridLines="0" workbookViewId="0">
      <selection activeCell="AY8" sqref="AY8"/>
    </sheetView>
  </sheetViews>
  <sheetFormatPr defaultRowHeight="15" customHeight="1" x14ac:dyDescent="0.25"/>
  <cols>
    <col min="1" max="1" width="19.140625" customWidth="1"/>
    <col min="2" max="2" width="2.28515625" style="14" bestFit="1" customWidth="1"/>
    <col min="3" max="3" width="2.28515625" style="13" bestFit="1" customWidth="1"/>
    <col min="4" max="4" width="2.140625" style="13" bestFit="1" customWidth="1"/>
    <col min="5" max="5" width="2.28515625" style="13" bestFit="1" customWidth="1"/>
    <col min="6" max="6" width="2.140625" style="13" bestFit="1" customWidth="1"/>
    <col min="7" max="7" width="0.85546875" style="13" customWidth="1"/>
    <col min="8" max="9" width="2.28515625" style="13" bestFit="1" customWidth="1"/>
    <col min="10" max="10" width="2.140625" style="13" bestFit="1" customWidth="1"/>
    <col min="11" max="11" width="2.28515625" style="13" bestFit="1" customWidth="1"/>
    <col min="12" max="12" width="2.140625" style="13" bestFit="1" customWidth="1"/>
    <col min="13" max="13" width="0.85546875" style="13" customWidth="1"/>
    <col min="14" max="15" width="2.28515625" style="13" bestFit="1" customWidth="1"/>
    <col min="16" max="16" width="2.140625" style="13" bestFit="1" customWidth="1"/>
    <col min="17" max="17" width="2.28515625" style="13" bestFit="1" customWidth="1"/>
    <col min="18" max="18" width="2.140625" style="13" bestFit="1" customWidth="1"/>
    <col min="20" max="20" width="19.140625" customWidth="1"/>
    <col min="21" max="21" width="2.28515625" style="14" bestFit="1" customWidth="1"/>
    <col min="22" max="22" width="2.28515625" style="13" bestFit="1" customWidth="1"/>
    <col min="23" max="23" width="2.140625" style="13" bestFit="1" customWidth="1"/>
    <col min="24" max="24" width="2.28515625" style="13" bestFit="1" customWidth="1"/>
    <col min="25" max="25" width="2.140625" style="13" bestFit="1" customWidth="1"/>
    <col min="26" max="26" width="0.85546875" style="13" customWidth="1"/>
    <col min="27" max="28" width="2.28515625" style="13" bestFit="1" customWidth="1"/>
    <col min="29" max="29" width="2.140625" style="13" bestFit="1" customWidth="1"/>
    <col min="30" max="30" width="2.28515625" style="13" bestFit="1" customWidth="1"/>
    <col min="31" max="31" width="2.140625" style="13" bestFit="1" customWidth="1"/>
    <col min="32" max="32" width="0.85546875" style="13" customWidth="1"/>
    <col min="33" max="34" width="2.28515625" style="13" bestFit="1" customWidth="1"/>
    <col min="35" max="35" width="2.140625" style="13" bestFit="1" customWidth="1"/>
    <col min="36" max="36" width="2.28515625" style="13" bestFit="1" customWidth="1"/>
    <col min="37" max="37" width="2.140625" style="13" bestFit="1" customWidth="1"/>
    <col min="39" max="39" width="19.7109375" customWidth="1"/>
    <col min="40" max="40" width="0.85546875" style="13" customWidth="1"/>
    <col min="41" max="49" width="2.28515625" customWidth="1"/>
    <col min="50" max="50" width="0.85546875" style="13" customWidth="1"/>
    <col min="51" max="59" width="2.28515625" customWidth="1"/>
    <col min="60" max="60" width="0.85546875" style="13" customWidth="1"/>
    <col min="61" max="69" width="2.28515625" customWidth="1"/>
    <col min="70" max="70" width="0.85546875" style="13" customWidth="1"/>
    <col min="72" max="72" width="18.28515625" bestFit="1" customWidth="1"/>
    <col min="73" max="75" width="16.7109375" customWidth="1"/>
    <col min="76" max="76" width="9.140625" style="13"/>
  </cols>
  <sheetData>
    <row r="1" spans="1:75" ht="20.25" thickBot="1" x14ac:dyDescent="0.35">
      <c r="A1" s="233" t="s">
        <v>82</v>
      </c>
      <c r="B1" s="233"/>
      <c r="C1" s="233"/>
      <c r="D1" s="233"/>
      <c r="E1" s="233"/>
      <c r="F1" s="233"/>
      <c r="G1" s="233"/>
      <c r="H1" s="233"/>
      <c r="I1" s="233"/>
      <c r="J1" s="233"/>
      <c r="K1" s="233"/>
      <c r="L1" s="233"/>
      <c r="M1" s="233"/>
      <c r="N1" s="233"/>
      <c r="O1" s="233"/>
      <c r="P1" s="233"/>
      <c r="Q1" s="233"/>
      <c r="R1" s="233"/>
      <c r="T1" s="233" t="s">
        <v>81</v>
      </c>
      <c r="U1" s="233"/>
      <c r="V1" s="233"/>
      <c r="W1" s="233"/>
      <c r="X1" s="233"/>
      <c r="Y1" s="233"/>
      <c r="Z1" s="233"/>
      <c r="AA1" s="233"/>
      <c r="AB1" s="233"/>
      <c r="AC1" s="233"/>
      <c r="AD1" s="233"/>
      <c r="AE1" s="233"/>
      <c r="AF1" s="233"/>
      <c r="AG1" s="233"/>
      <c r="AH1" s="233"/>
      <c r="AI1" s="233"/>
      <c r="AJ1" s="233"/>
      <c r="AK1" s="233"/>
    </row>
    <row r="2" spans="1:75" s="13" customFormat="1" ht="15" customHeight="1" thickTop="1" thickBot="1" x14ac:dyDescent="0.3">
      <c r="A2"/>
      <c r="B2" s="237" t="s">
        <v>59</v>
      </c>
      <c r="C2" s="237"/>
      <c r="D2" s="237"/>
      <c r="E2" s="237"/>
      <c r="F2" s="237"/>
      <c r="G2" s="51"/>
      <c r="H2" s="238" t="s">
        <v>60</v>
      </c>
      <c r="I2" s="238"/>
      <c r="J2" s="238"/>
      <c r="K2" s="238"/>
      <c r="L2" s="238"/>
      <c r="N2" s="237" t="s">
        <v>61</v>
      </c>
      <c r="O2" s="237"/>
      <c r="P2" s="237"/>
      <c r="Q2" s="237"/>
      <c r="R2" s="237"/>
      <c r="S2"/>
      <c r="T2"/>
      <c r="U2" s="237" t="s">
        <v>59</v>
      </c>
      <c r="V2" s="237"/>
      <c r="W2" s="237"/>
      <c r="X2" s="237"/>
      <c r="Y2" s="237"/>
      <c r="Z2" s="51"/>
      <c r="AA2" s="238" t="s">
        <v>60</v>
      </c>
      <c r="AB2" s="238"/>
      <c r="AC2" s="238"/>
      <c r="AD2" s="238"/>
      <c r="AE2" s="238"/>
      <c r="AG2" s="237" t="s">
        <v>61</v>
      </c>
      <c r="AH2" s="237"/>
      <c r="AI2" s="237"/>
      <c r="AJ2" s="237"/>
      <c r="AK2" s="237"/>
      <c r="AL2"/>
      <c r="AM2"/>
      <c r="AO2" s="172" t="s">
        <v>54</v>
      </c>
      <c r="AP2" s="172"/>
      <c r="AQ2" s="172"/>
      <c r="AR2" s="172"/>
      <c r="AS2" s="172"/>
      <c r="AT2" s="172"/>
      <c r="AU2" s="172"/>
      <c r="AV2" s="172"/>
      <c r="AW2" s="172"/>
      <c r="AY2" s="172" t="s">
        <v>55</v>
      </c>
      <c r="AZ2" s="172"/>
      <c r="BA2" s="172"/>
      <c r="BB2" s="172"/>
      <c r="BC2" s="172"/>
      <c r="BD2" s="172"/>
      <c r="BE2" s="172"/>
      <c r="BF2" s="172"/>
      <c r="BG2" s="172"/>
      <c r="BI2" s="172" t="s">
        <v>56</v>
      </c>
      <c r="BJ2" s="172"/>
      <c r="BK2" s="172"/>
      <c r="BL2" s="172"/>
      <c r="BM2" s="172"/>
      <c r="BN2" s="172"/>
      <c r="BO2" s="172"/>
      <c r="BP2" s="172"/>
      <c r="BQ2" s="172"/>
      <c r="BS2"/>
      <c r="BT2"/>
      <c r="BU2" s="51" t="s">
        <v>54</v>
      </c>
      <c r="BV2" s="51" t="s">
        <v>55</v>
      </c>
      <c r="BW2" s="51" t="s">
        <v>56</v>
      </c>
    </row>
    <row r="3" spans="1:75" s="13" customFormat="1" ht="15" customHeight="1" thickTop="1" thickBot="1" x14ac:dyDescent="0.3">
      <c r="A3" s="224" t="s">
        <v>57</v>
      </c>
      <c r="B3" s="20"/>
      <c r="C3" s="11"/>
      <c r="D3" s="220" t="s">
        <v>32</v>
      </c>
      <c r="E3" s="220"/>
      <c r="F3" s="220"/>
      <c r="G3" s="12"/>
      <c r="H3" s="11"/>
      <c r="I3" s="11"/>
      <c r="J3" s="220" t="s">
        <v>32</v>
      </c>
      <c r="K3" s="220"/>
      <c r="L3" s="220"/>
      <c r="M3" s="12"/>
      <c r="N3" s="11"/>
      <c r="O3" s="11"/>
      <c r="P3" s="220" t="s">
        <v>32</v>
      </c>
      <c r="Q3" s="220"/>
      <c r="R3" s="220"/>
      <c r="S3"/>
      <c r="T3" s="224" t="s">
        <v>57</v>
      </c>
      <c r="U3" s="20"/>
      <c r="V3" s="11"/>
      <c r="W3" s="220" t="s">
        <v>32</v>
      </c>
      <c r="X3" s="220"/>
      <c r="Y3" s="220"/>
      <c r="Z3" s="12"/>
      <c r="AA3" s="11"/>
      <c r="AB3" s="11"/>
      <c r="AC3" s="220" t="s">
        <v>32</v>
      </c>
      <c r="AD3" s="220"/>
      <c r="AE3" s="220"/>
      <c r="AF3" s="12"/>
      <c r="AG3" s="11"/>
      <c r="AH3" s="11"/>
      <c r="AI3" s="220" t="s">
        <v>32</v>
      </c>
      <c r="AJ3" s="220"/>
      <c r="AK3" s="220"/>
      <c r="AL3"/>
      <c r="AM3" s="24" t="s">
        <v>9</v>
      </c>
      <c r="AN3" s="25"/>
      <c r="AO3" s="132" t="str">
        <f>D5</f>
        <v>F</v>
      </c>
      <c r="AP3" s="135" t="str">
        <f t="shared" ref="AP3:AQ3" si="0">E5</f>
        <v>F</v>
      </c>
      <c r="AQ3" s="137" t="str">
        <f t="shared" si="0"/>
        <v>*</v>
      </c>
      <c r="AR3" s="136" t="str">
        <f>D6</f>
        <v>F</v>
      </c>
      <c r="AS3" s="133" t="str">
        <f t="shared" ref="AS3:AT3" si="1">E6</f>
        <v>F</v>
      </c>
      <c r="AT3" s="139" t="str">
        <f t="shared" si="1"/>
        <v>*</v>
      </c>
      <c r="AU3" s="102" t="str">
        <f>D7</f>
        <v>*</v>
      </c>
      <c r="AV3" s="105" t="str">
        <f t="shared" ref="AV3:AW3" si="2">E7</f>
        <v>*</v>
      </c>
      <c r="AW3" s="134" t="str">
        <f t="shared" si="2"/>
        <v>*</v>
      </c>
      <c r="AX3" s="25"/>
      <c r="AY3" s="132" t="str">
        <f>J5</f>
        <v>F</v>
      </c>
      <c r="AZ3" s="135" t="str">
        <f t="shared" ref="AZ3:BA3" si="3">K5</f>
        <v>*</v>
      </c>
      <c r="BA3" s="137" t="str">
        <f t="shared" si="3"/>
        <v>T</v>
      </c>
      <c r="BB3" s="136" t="str">
        <f>J6</f>
        <v>*</v>
      </c>
      <c r="BC3" s="133" t="str">
        <f t="shared" ref="BC3:BD3" si="4">K6</f>
        <v>F</v>
      </c>
      <c r="BD3" s="139" t="str">
        <f t="shared" si="4"/>
        <v>*</v>
      </c>
      <c r="BE3" s="102" t="str">
        <f>J7</f>
        <v>T</v>
      </c>
      <c r="BF3" s="105" t="str">
        <f t="shared" ref="BF3:BG3" si="5">K7</f>
        <v>*</v>
      </c>
      <c r="BG3" s="134" t="str">
        <f t="shared" si="5"/>
        <v>*</v>
      </c>
      <c r="BH3" s="25"/>
      <c r="BI3" s="132" t="str">
        <f>P5</f>
        <v>*</v>
      </c>
      <c r="BJ3" s="135" t="str">
        <f t="shared" ref="BJ3:BK3" si="6">Q5</f>
        <v>*</v>
      </c>
      <c r="BK3" s="137" t="str">
        <f t="shared" si="6"/>
        <v>T</v>
      </c>
      <c r="BL3" s="136" t="str">
        <f>P6</f>
        <v>*</v>
      </c>
      <c r="BM3" s="133" t="str">
        <f t="shared" ref="BM3:BN3" si="7">Q6</f>
        <v>F</v>
      </c>
      <c r="BN3" s="139" t="str">
        <f t="shared" si="7"/>
        <v>*</v>
      </c>
      <c r="BO3" s="102" t="str">
        <f>P7</f>
        <v>T</v>
      </c>
      <c r="BP3" s="105" t="str">
        <f t="shared" ref="BP3:BQ3" si="8">Q7</f>
        <v>*</v>
      </c>
      <c r="BQ3" s="134" t="str">
        <f t="shared" si="8"/>
        <v>*</v>
      </c>
      <c r="BR3" s="28"/>
      <c r="BS3"/>
      <c r="BT3" s="24" t="str">
        <f>AM3</f>
        <v>Disjoint</v>
      </c>
      <c r="BU3" s="29" t="str">
        <f>CONCATENATE(AO3,AP3,AQ3,AR3,AS3,AT3,AU3,AV3,AW3)</f>
        <v>FF*FF****</v>
      </c>
      <c r="BV3" s="30" t="str">
        <f>CONCATENATE(AY3,AZ3,BA3,BB3,BC3,BD3,BE3,BF3,BG3)</f>
        <v>F*T*F*T**</v>
      </c>
      <c r="BW3" s="31" t="str">
        <f>CONCATENATE(BI3,BJ3,BK3,BL3,BM3,BN3,BO3,BP3,BQ3)</f>
        <v>**T*F*T**</v>
      </c>
    </row>
    <row r="4" spans="1:75" s="13" customFormat="1" ht="15" customHeight="1" thickTop="1" thickBot="1" x14ac:dyDescent="0.3">
      <c r="A4" s="225"/>
      <c r="B4" s="21"/>
      <c r="C4" s="16" t="s">
        <v>36</v>
      </c>
      <c r="D4" s="13" t="s">
        <v>37</v>
      </c>
      <c r="E4" s="13" t="s">
        <v>32</v>
      </c>
      <c r="F4" s="13" t="s">
        <v>38</v>
      </c>
      <c r="G4" s="17"/>
      <c r="I4" s="16" t="s">
        <v>36</v>
      </c>
      <c r="J4" s="13" t="s">
        <v>37</v>
      </c>
      <c r="K4" s="13" t="s">
        <v>32</v>
      </c>
      <c r="L4" s="13" t="s">
        <v>38</v>
      </c>
      <c r="M4" s="17"/>
      <c r="O4" s="16" t="s">
        <v>36</v>
      </c>
      <c r="P4" s="13" t="s">
        <v>37</v>
      </c>
      <c r="Q4" s="13" t="s">
        <v>32</v>
      </c>
      <c r="R4" s="13" t="s">
        <v>38</v>
      </c>
      <c r="S4"/>
      <c r="T4" s="225"/>
      <c r="U4" s="21"/>
      <c r="V4" s="16" t="s">
        <v>36</v>
      </c>
      <c r="W4" s="13" t="s">
        <v>37</v>
      </c>
      <c r="X4" s="13" t="s">
        <v>32</v>
      </c>
      <c r="Y4" s="13" t="s">
        <v>38</v>
      </c>
      <c r="Z4" s="17"/>
      <c r="AB4" s="16" t="s">
        <v>36</v>
      </c>
      <c r="AC4" s="13" t="s">
        <v>37</v>
      </c>
      <c r="AD4" s="13" t="s">
        <v>32</v>
      </c>
      <c r="AE4" s="13" t="s">
        <v>38</v>
      </c>
      <c r="AF4" s="17"/>
      <c r="AH4" s="16" t="s">
        <v>36</v>
      </c>
      <c r="AI4" s="13" t="s">
        <v>37</v>
      </c>
      <c r="AJ4" s="13" t="s">
        <v>32</v>
      </c>
      <c r="AK4" s="13" t="s">
        <v>38</v>
      </c>
      <c r="AL4"/>
      <c r="AM4"/>
      <c r="AN4"/>
      <c r="AO4"/>
      <c r="AP4"/>
      <c r="AQ4"/>
      <c r="AR4"/>
      <c r="AS4"/>
      <c r="AT4"/>
      <c r="AU4"/>
      <c r="AV4"/>
      <c r="AW4"/>
      <c r="AX4"/>
      <c r="AY4"/>
      <c r="AZ4"/>
      <c r="BA4"/>
      <c r="BB4"/>
      <c r="BC4"/>
      <c r="BD4"/>
      <c r="BE4"/>
      <c r="BF4"/>
      <c r="BG4"/>
      <c r="BH4"/>
      <c r="BI4"/>
      <c r="BJ4"/>
      <c r="BK4"/>
      <c r="BL4"/>
      <c r="BM4"/>
      <c r="BN4"/>
      <c r="BO4"/>
      <c r="BP4"/>
      <c r="BQ4"/>
      <c r="BR4"/>
      <c r="BS4"/>
      <c r="BT4"/>
      <c r="BU4"/>
      <c r="BV4"/>
      <c r="BW4"/>
    </row>
    <row r="5" spans="1:75" s="13" customFormat="1" ht="15" customHeight="1" thickTop="1" thickBot="1" x14ac:dyDescent="0.3">
      <c r="A5" s="225"/>
      <c r="B5" s="239" t="s">
        <v>39</v>
      </c>
      <c r="C5" s="13" t="s">
        <v>37</v>
      </c>
      <c r="D5" s="147" t="str">
        <f>'Descision Matrix'!BJ3</f>
        <v>F</v>
      </c>
      <c r="E5" s="148" t="str">
        <f>'Descision Matrix'!BK3</f>
        <v>F</v>
      </c>
      <c r="F5" s="149" t="str">
        <f>'Descision Matrix'!BL3</f>
        <v>*</v>
      </c>
      <c r="G5" s="17"/>
      <c r="H5" s="241" t="s">
        <v>39</v>
      </c>
      <c r="I5" s="13" t="s">
        <v>37</v>
      </c>
      <c r="J5" s="147" t="str">
        <f>'Descision Matrix'!BP3</f>
        <v>F</v>
      </c>
      <c r="K5" s="148" t="str">
        <f>'Descision Matrix'!BQ3</f>
        <v>*</v>
      </c>
      <c r="L5" s="149" t="str">
        <f>'Descision Matrix'!BR3</f>
        <v>T</v>
      </c>
      <c r="M5" s="17"/>
      <c r="N5" s="242" t="s">
        <v>39</v>
      </c>
      <c r="O5" s="13" t="s">
        <v>37</v>
      </c>
      <c r="P5" s="147" t="str">
        <f>'Descision Matrix'!BV3</f>
        <v>*</v>
      </c>
      <c r="Q5" s="148" t="str">
        <f>'Descision Matrix'!BW3</f>
        <v>*</v>
      </c>
      <c r="R5" s="149" t="str">
        <f>'Descision Matrix'!BX3</f>
        <v>T</v>
      </c>
      <c r="S5"/>
      <c r="T5" s="225"/>
      <c r="U5" s="239" t="s">
        <v>39</v>
      </c>
      <c r="V5" s="13" t="s">
        <v>37</v>
      </c>
      <c r="W5" s="152" t="str">
        <f>D5</f>
        <v>F</v>
      </c>
      <c r="X5" s="153" t="str">
        <f>D6</f>
        <v>F</v>
      </c>
      <c r="Y5" s="154" t="str">
        <f>D7</f>
        <v>*</v>
      </c>
      <c r="Z5" s="17"/>
      <c r="AA5" s="241" t="s">
        <v>39</v>
      </c>
      <c r="AB5" s="13" t="s">
        <v>37</v>
      </c>
      <c r="AC5" s="152" t="str">
        <f>J5</f>
        <v>F</v>
      </c>
      <c r="AD5" s="153" t="str">
        <f>J6</f>
        <v>*</v>
      </c>
      <c r="AE5" s="154" t="str">
        <f>J7</f>
        <v>T</v>
      </c>
      <c r="AF5" s="17"/>
      <c r="AG5" s="242" t="s">
        <v>39</v>
      </c>
      <c r="AH5" s="13" t="s">
        <v>37</v>
      </c>
      <c r="AI5" s="152" t="str">
        <f>P5</f>
        <v>*</v>
      </c>
      <c r="AJ5" s="153" t="str">
        <f>P6</f>
        <v>*</v>
      </c>
      <c r="AK5" s="154" t="str">
        <f>P7</f>
        <v>T</v>
      </c>
      <c r="AL5"/>
      <c r="AM5" s="24" t="s">
        <v>9</v>
      </c>
      <c r="AN5" s="25"/>
      <c r="AO5" s="132" t="str">
        <f>W5</f>
        <v>F</v>
      </c>
      <c r="AP5" s="136" t="str">
        <f>X5</f>
        <v>F</v>
      </c>
      <c r="AQ5" s="138" t="str">
        <f>Y5</f>
        <v>*</v>
      </c>
      <c r="AR5" s="135" t="str">
        <f>W6</f>
        <v>F</v>
      </c>
      <c r="AS5" s="133" t="str">
        <f>X6</f>
        <v>F</v>
      </c>
      <c r="AT5" s="140" t="str">
        <f>Y6</f>
        <v>*</v>
      </c>
      <c r="AU5" s="101" t="str">
        <f>W7</f>
        <v>*</v>
      </c>
      <c r="AV5" s="104" t="str">
        <f>X7</f>
        <v>*</v>
      </c>
      <c r="AW5" s="134" t="str">
        <f>Y7</f>
        <v>*</v>
      </c>
      <c r="AX5" s="25"/>
      <c r="AY5" s="132" t="str">
        <f>AC5</f>
        <v>F</v>
      </c>
      <c r="AZ5" s="136" t="str">
        <f>AD5</f>
        <v>*</v>
      </c>
      <c r="BA5" s="138" t="str">
        <f>AE5</f>
        <v>T</v>
      </c>
      <c r="BB5" s="135" t="str">
        <f>AC6</f>
        <v>*</v>
      </c>
      <c r="BC5" s="133" t="str">
        <f>AD6</f>
        <v>F</v>
      </c>
      <c r="BD5" s="140" t="str">
        <f>AE6</f>
        <v>*</v>
      </c>
      <c r="BE5" s="101" t="str">
        <f>AC7</f>
        <v>T</v>
      </c>
      <c r="BF5" s="104" t="str">
        <f>AD7</f>
        <v>*</v>
      </c>
      <c r="BG5" s="134" t="str">
        <f>AE7</f>
        <v>*</v>
      </c>
      <c r="BH5" s="25"/>
      <c r="BI5" s="132" t="str">
        <f>AI5</f>
        <v>*</v>
      </c>
      <c r="BJ5" s="136" t="str">
        <f>AJ5</f>
        <v>*</v>
      </c>
      <c r="BK5" s="138" t="str">
        <f>AK5</f>
        <v>T</v>
      </c>
      <c r="BL5" s="135" t="str">
        <f>AI6</f>
        <v>*</v>
      </c>
      <c r="BM5" s="133" t="str">
        <f>AJ6</f>
        <v>F</v>
      </c>
      <c r="BN5" s="140" t="str">
        <f>AK6</f>
        <v>*</v>
      </c>
      <c r="BO5" s="101" t="str">
        <f>AI7</f>
        <v>T</v>
      </c>
      <c r="BP5" s="104" t="str">
        <f>AJ7</f>
        <v>*</v>
      </c>
      <c r="BQ5" s="134" t="str">
        <f>AK7</f>
        <v>*</v>
      </c>
      <c r="BR5" s="28"/>
      <c r="BS5"/>
      <c r="BT5"/>
      <c r="BU5"/>
      <c r="BV5"/>
      <c r="BW5"/>
    </row>
    <row r="6" spans="1:75" s="13" customFormat="1" ht="15" customHeight="1" x14ac:dyDescent="0.25">
      <c r="A6" s="225"/>
      <c r="B6" s="239"/>
      <c r="C6" s="13" t="s">
        <v>32</v>
      </c>
      <c r="D6" s="141" t="str">
        <f>'Descision Matrix'!BJ4</f>
        <v>F</v>
      </c>
      <c r="E6" s="142" t="str">
        <f>'Descision Matrix'!BK4</f>
        <v>F</v>
      </c>
      <c r="F6" s="143" t="str">
        <f>'Descision Matrix'!BL4</f>
        <v>*</v>
      </c>
      <c r="G6" s="17"/>
      <c r="H6" s="241"/>
      <c r="I6" s="13" t="s">
        <v>32</v>
      </c>
      <c r="J6" s="141" t="str">
        <f>'Descision Matrix'!BP4</f>
        <v>*</v>
      </c>
      <c r="K6" s="142" t="str">
        <f>'Descision Matrix'!BQ4</f>
        <v>F</v>
      </c>
      <c r="L6" s="143" t="str">
        <f>'Descision Matrix'!BR4</f>
        <v>*</v>
      </c>
      <c r="M6" s="17"/>
      <c r="N6" s="242"/>
      <c r="O6" s="13" t="s">
        <v>32</v>
      </c>
      <c r="P6" s="141" t="str">
        <f>'Descision Matrix'!BV4</f>
        <v>*</v>
      </c>
      <c r="Q6" s="142" t="str">
        <f>'Descision Matrix'!BW4</f>
        <v>F</v>
      </c>
      <c r="R6" s="143" t="str">
        <f>'Descision Matrix'!BX4</f>
        <v>*</v>
      </c>
      <c r="S6"/>
      <c r="T6" s="225"/>
      <c r="U6" s="239"/>
      <c r="V6" s="13" t="s">
        <v>32</v>
      </c>
      <c r="W6" s="156" t="str">
        <f>E5</f>
        <v>F</v>
      </c>
      <c r="X6" s="157" t="str">
        <f>E6</f>
        <v>F</v>
      </c>
      <c r="Y6" s="158" t="str">
        <f>E7</f>
        <v>*</v>
      </c>
      <c r="Z6" s="17"/>
      <c r="AA6" s="241"/>
      <c r="AB6" s="13" t="s">
        <v>32</v>
      </c>
      <c r="AC6" s="156" t="str">
        <f>K5</f>
        <v>*</v>
      </c>
      <c r="AD6" s="157" t="str">
        <f>K6</f>
        <v>F</v>
      </c>
      <c r="AE6" s="158" t="str">
        <f>K7</f>
        <v>*</v>
      </c>
      <c r="AF6" s="17"/>
      <c r="AG6" s="242"/>
      <c r="AH6" s="13" t="s">
        <v>32</v>
      </c>
      <c r="AI6" s="156" t="str">
        <f>Q5</f>
        <v>*</v>
      </c>
      <c r="AJ6" s="157" t="str">
        <f>Q6</f>
        <v>F</v>
      </c>
      <c r="AK6" s="158" t="str">
        <f>Q7</f>
        <v>*</v>
      </c>
      <c r="AL6"/>
      <c r="AM6" s="171"/>
      <c r="AN6" s="171"/>
      <c r="AO6" s="171" t="str">
        <f>IF(AO3=AO5,"","X")</f>
        <v/>
      </c>
      <c r="AP6" s="171" t="str">
        <f t="shared" ref="AP6:BQ6" si="9">IF(AP3=AP5,"","X")</f>
        <v/>
      </c>
      <c r="AQ6" s="171" t="str">
        <f t="shared" si="9"/>
        <v/>
      </c>
      <c r="AR6" s="171" t="str">
        <f t="shared" si="9"/>
        <v/>
      </c>
      <c r="AS6" s="171" t="str">
        <f t="shared" si="9"/>
        <v/>
      </c>
      <c r="AT6" s="171" t="str">
        <f t="shared" si="9"/>
        <v/>
      </c>
      <c r="AU6" s="171" t="str">
        <f t="shared" si="9"/>
        <v/>
      </c>
      <c r="AV6" s="171" t="str">
        <f t="shared" si="9"/>
        <v/>
      </c>
      <c r="AW6" s="171" t="str">
        <f t="shared" si="9"/>
        <v/>
      </c>
      <c r="AX6" s="171"/>
      <c r="AY6" s="171" t="str">
        <f t="shared" si="9"/>
        <v/>
      </c>
      <c r="AZ6" s="171" t="str">
        <f t="shared" si="9"/>
        <v/>
      </c>
      <c r="BA6" s="171" t="str">
        <f t="shared" si="9"/>
        <v/>
      </c>
      <c r="BB6" s="171" t="str">
        <f t="shared" si="9"/>
        <v/>
      </c>
      <c r="BC6" s="171" t="str">
        <f t="shared" si="9"/>
        <v/>
      </c>
      <c r="BD6" s="171" t="str">
        <f t="shared" si="9"/>
        <v/>
      </c>
      <c r="BE6" s="171" t="str">
        <f t="shared" si="9"/>
        <v/>
      </c>
      <c r="BF6" s="171" t="str">
        <f t="shared" si="9"/>
        <v/>
      </c>
      <c r="BG6" s="171" t="str">
        <f t="shared" si="9"/>
        <v/>
      </c>
      <c r="BH6" s="171"/>
      <c r="BI6" s="171" t="str">
        <f t="shared" si="9"/>
        <v/>
      </c>
      <c r="BJ6" s="171" t="str">
        <f t="shared" si="9"/>
        <v/>
      </c>
      <c r="BK6" s="171" t="str">
        <f t="shared" si="9"/>
        <v/>
      </c>
      <c r="BL6" s="171" t="str">
        <f t="shared" si="9"/>
        <v/>
      </c>
      <c r="BM6" s="171" t="str">
        <f t="shared" si="9"/>
        <v/>
      </c>
      <c r="BN6" s="171" t="str">
        <f t="shared" si="9"/>
        <v/>
      </c>
      <c r="BO6" s="171" t="str">
        <f t="shared" si="9"/>
        <v/>
      </c>
      <c r="BP6" s="171" t="str">
        <f t="shared" si="9"/>
        <v/>
      </c>
      <c r="BQ6" s="171" t="str">
        <f t="shared" si="9"/>
        <v/>
      </c>
      <c r="BR6"/>
      <c r="BS6"/>
      <c r="BT6"/>
      <c r="BU6"/>
      <c r="BV6"/>
      <c r="BW6"/>
    </row>
    <row r="7" spans="1:75" s="13" customFormat="1" ht="15" customHeight="1" thickBot="1" x14ac:dyDescent="0.3">
      <c r="A7" s="226"/>
      <c r="B7" s="240"/>
      <c r="C7" s="18" t="s">
        <v>38</v>
      </c>
      <c r="D7" s="144" t="str">
        <f>'Descision Matrix'!BJ5</f>
        <v>*</v>
      </c>
      <c r="E7" s="145" t="str">
        <f>'Descision Matrix'!BK5</f>
        <v>*</v>
      </c>
      <c r="F7" s="162" t="str">
        <f>'Descision Matrix'!BL5</f>
        <v>*</v>
      </c>
      <c r="G7" s="19"/>
      <c r="H7" s="206"/>
      <c r="I7" s="18" t="s">
        <v>38</v>
      </c>
      <c r="J7" s="144" t="str">
        <f>'Descision Matrix'!BP5</f>
        <v>T</v>
      </c>
      <c r="K7" s="145" t="str">
        <f>'Descision Matrix'!BQ5</f>
        <v>*</v>
      </c>
      <c r="L7" s="162" t="str">
        <f>'Descision Matrix'!BR5</f>
        <v>*</v>
      </c>
      <c r="M7" s="19"/>
      <c r="N7" s="208"/>
      <c r="O7" s="18" t="s">
        <v>38</v>
      </c>
      <c r="P7" s="144" t="str">
        <f>'Descision Matrix'!BV5</f>
        <v>T</v>
      </c>
      <c r="Q7" s="145" t="str">
        <f>'Descision Matrix'!BW5</f>
        <v>*</v>
      </c>
      <c r="R7" s="162" t="str">
        <f>'Descision Matrix'!BX5</f>
        <v>*</v>
      </c>
      <c r="S7"/>
      <c r="T7" s="226"/>
      <c r="U7" s="240"/>
      <c r="V7" s="18" t="s">
        <v>38</v>
      </c>
      <c r="W7" s="160" t="str">
        <f>F5</f>
        <v>*</v>
      </c>
      <c r="X7" s="161" t="str">
        <f>F6</f>
        <v>*</v>
      </c>
      <c r="Y7" s="163" t="str">
        <f>F7</f>
        <v>*</v>
      </c>
      <c r="Z7" s="19"/>
      <c r="AA7" s="206"/>
      <c r="AB7" s="18" t="s">
        <v>38</v>
      </c>
      <c r="AC7" s="160" t="str">
        <f>L5</f>
        <v>T</v>
      </c>
      <c r="AD7" s="161" t="str">
        <f>L6</f>
        <v>*</v>
      </c>
      <c r="AE7" s="163" t="str">
        <f>L7</f>
        <v>*</v>
      </c>
      <c r="AF7" s="19"/>
      <c r="AG7" s="208"/>
      <c r="AH7" s="18" t="s">
        <v>38</v>
      </c>
      <c r="AI7" s="160" t="str">
        <f>R5</f>
        <v>T</v>
      </c>
      <c r="AJ7" s="161" t="str">
        <f>R6</f>
        <v>*</v>
      </c>
      <c r="AK7" s="163" t="str">
        <f>R7</f>
        <v>*</v>
      </c>
      <c r="AL7"/>
      <c r="AM7"/>
      <c r="AN7"/>
      <c r="AO7"/>
      <c r="AP7"/>
      <c r="AQ7"/>
      <c r="AR7"/>
      <c r="AS7"/>
      <c r="AT7"/>
      <c r="AU7"/>
      <c r="AV7"/>
      <c r="AW7"/>
      <c r="AX7"/>
      <c r="AY7"/>
      <c r="AZ7"/>
      <c r="BA7"/>
      <c r="BB7"/>
      <c r="BC7"/>
      <c r="BD7"/>
      <c r="BE7"/>
      <c r="BF7"/>
      <c r="BG7"/>
      <c r="BH7"/>
      <c r="BI7"/>
      <c r="BJ7"/>
      <c r="BK7"/>
      <c r="BL7"/>
      <c r="BM7"/>
      <c r="BN7"/>
      <c r="BO7"/>
      <c r="BP7"/>
      <c r="BQ7"/>
      <c r="BR7"/>
      <c r="BS7"/>
      <c r="BT7"/>
      <c r="BU7"/>
      <c r="BV7"/>
      <c r="BW7"/>
    </row>
    <row r="8" spans="1:75" s="13" customFormat="1" ht="15" customHeight="1" thickTop="1" thickBot="1" x14ac:dyDescent="0.3">
      <c r="A8" s="224" t="s">
        <v>44</v>
      </c>
      <c r="B8" s="20"/>
      <c r="C8" s="11"/>
      <c r="D8" s="220" t="s">
        <v>32</v>
      </c>
      <c r="E8" s="220"/>
      <c r="F8" s="220"/>
      <c r="G8" s="12"/>
      <c r="H8" s="11"/>
      <c r="I8" s="11"/>
      <c r="J8" s="220" t="s">
        <v>32</v>
      </c>
      <c r="K8" s="220"/>
      <c r="L8" s="220"/>
      <c r="M8" s="12"/>
      <c r="N8" s="11"/>
      <c r="O8" s="11"/>
      <c r="P8" s="220" t="s">
        <v>32</v>
      </c>
      <c r="Q8" s="220"/>
      <c r="R8" s="220"/>
      <c r="S8"/>
      <c r="T8" s="224" t="s">
        <v>62</v>
      </c>
      <c r="U8" s="20"/>
      <c r="V8" s="11"/>
      <c r="W8" s="220" t="s">
        <v>32</v>
      </c>
      <c r="X8" s="220"/>
      <c r="Y8" s="220"/>
      <c r="Z8" s="12"/>
      <c r="AA8" s="11"/>
      <c r="AB8" s="11"/>
      <c r="AC8" s="220" t="s">
        <v>32</v>
      </c>
      <c r="AD8" s="220"/>
      <c r="AE8" s="220"/>
      <c r="AF8" s="12"/>
      <c r="AG8" s="11"/>
      <c r="AH8" s="11"/>
      <c r="AI8" s="220" t="s">
        <v>32</v>
      </c>
      <c r="AJ8" s="220"/>
      <c r="AK8" s="220"/>
      <c r="AL8"/>
      <c r="AM8" s="24" t="s">
        <v>5</v>
      </c>
      <c r="AN8" s="25"/>
      <c r="AO8" s="132" t="str">
        <f>D10</f>
        <v>F</v>
      </c>
      <c r="AP8" s="135" t="str">
        <f t="shared" ref="AP8:AQ8" si="10">E10</f>
        <v>F</v>
      </c>
      <c r="AQ8" s="137" t="str">
        <f t="shared" si="10"/>
        <v>*</v>
      </c>
      <c r="AR8" s="136" t="str">
        <f>D11</f>
        <v>F</v>
      </c>
      <c r="AS8" s="133" t="str">
        <f t="shared" ref="AS8:AT8" si="11">E11</f>
        <v>F</v>
      </c>
      <c r="AT8" s="139" t="str">
        <f t="shared" si="11"/>
        <v>*</v>
      </c>
      <c r="AU8" s="102" t="str">
        <f>D12</f>
        <v>*</v>
      </c>
      <c r="AV8" s="105" t="str">
        <f t="shared" ref="AV8:AW8" si="12">E12</f>
        <v>*</v>
      </c>
      <c r="AW8" s="134" t="str">
        <f t="shared" si="12"/>
        <v>*</v>
      </c>
      <c r="AX8" s="25"/>
      <c r="AY8" s="132" t="str">
        <f>J10</f>
        <v>F</v>
      </c>
      <c r="AZ8" s="135" t="str">
        <f t="shared" ref="AZ8:BA8" si="13">K10</f>
        <v>*</v>
      </c>
      <c r="BA8" s="137" t="str">
        <f t="shared" si="13"/>
        <v>T</v>
      </c>
      <c r="BB8" s="136" t="str">
        <f>J11</f>
        <v>*</v>
      </c>
      <c r="BC8" s="133" t="str">
        <f t="shared" ref="BC8:BD8" si="14">K11</f>
        <v>F</v>
      </c>
      <c r="BD8" s="139" t="str">
        <f t="shared" si="14"/>
        <v>*</v>
      </c>
      <c r="BE8" s="102" t="str">
        <f>J12</f>
        <v>T</v>
      </c>
      <c r="BF8" s="105" t="str">
        <f t="shared" ref="BF8:BG8" si="15">K12</f>
        <v>*</v>
      </c>
      <c r="BG8" s="134" t="str">
        <f t="shared" si="15"/>
        <v>*</v>
      </c>
      <c r="BH8" s="25"/>
      <c r="BI8" s="132" t="str">
        <f>P10</f>
        <v>T</v>
      </c>
      <c r="BJ8" s="135" t="str">
        <f t="shared" ref="BJ8:BK8" si="16">Q10</f>
        <v>*</v>
      </c>
      <c r="BK8" s="137" t="str">
        <f t="shared" si="16"/>
        <v>T</v>
      </c>
      <c r="BL8" s="136" t="str">
        <f>P11</f>
        <v>*</v>
      </c>
      <c r="BM8" s="133" t="str">
        <f t="shared" ref="BM8:BN8" si="17">Q11</f>
        <v>F</v>
      </c>
      <c r="BN8" s="139" t="str">
        <f t="shared" si="17"/>
        <v>*</v>
      </c>
      <c r="BO8" s="102" t="str">
        <f>P12</f>
        <v>F</v>
      </c>
      <c r="BP8" s="105" t="str">
        <f t="shared" ref="BP8:BQ8" si="18">Q12</f>
        <v>*</v>
      </c>
      <c r="BQ8" s="134" t="str">
        <f t="shared" si="18"/>
        <v>*</v>
      </c>
      <c r="BR8" s="28"/>
      <c r="BS8"/>
      <c r="BT8" s="24" t="str">
        <f>AM8</f>
        <v>Shelters</v>
      </c>
      <c r="BU8" s="29" t="str">
        <f>CONCATENATE(AO8,AP8,AQ8,AR8,AS8,AT8,AU8,AV8,AW8)</f>
        <v>FF*FF****</v>
      </c>
      <c r="BV8" s="30" t="str">
        <f>CONCATENATE(AY8,AZ8,BA8,BB8,BC8,BD8,BE8,BF8,BG8)</f>
        <v>F*T*F*T**</v>
      </c>
      <c r="BW8" s="31" t="str">
        <f>CONCATENATE(BI8,BJ8,BK8,BL8,BM8,BN8,BO8,BP8,BQ8)</f>
        <v>T*T*F*F**</v>
      </c>
    </row>
    <row r="9" spans="1:75" s="13" customFormat="1" ht="15" customHeight="1" thickTop="1" thickBot="1" x14ac:dyDescent="0.3">
      <c r="A9" s="225"/>
      <c r="B9" s="21"/>
      <c r="C9" s="16" t="s">
        <v>36</v>
      </c>
      <c r="D9" s="13" t="s">
        <v>37</v>
      </c>
      <c r="E9" s="13" t="s">
        <v>32</v>
      </c>
      <c r="F9" s="13" t="s">
        <v>38</v>
      </c>
      <c r="G9" s="17"/>
      <c r="I9" s="16" t="s">
        <v>36</v>
      </c>
      <c r="J9" s="13" t="s">
        <v>37</v>
      </c>
      <c r="K9" s="13" t="s">
        <v>32</v>
      </c>
      <c r="L9" s="13" t="s">
        <v>38</v>
      </c>
      <c r="M9" s="17"/>
      <c r="O9" s="16" t="s">
        <v>36</v>
      </c>
      <c r="P9" s="13" t="s">
        <v>37</v>
      </c>
      <c r="Q9" s="13" t="s">
        <v>32</v>
      </c>
      <c r="R9" s="13" t="s">
        <v>38</v>
      </c>
      <c r="S9"/>
      <c r="T9" s="225"/>
      <c r="U9" s="21"/>
      <c r="V9" s="16" t="s">
        <v>36</v>
      </c>
      <c r="W9" s="13" t="s">
        <v>37</v>
      </c>
      <c r="X9" s="13" t="s">
        <v>32</v>
      </c>
      <c r="Y9" s="13" t="s">
        <v>38</v>
      </c>
      <c r="Z9" s="17"/>
      <c r="AB9" s="16" t="s">
        <v>36</v>
      </c>
      <c r="AC9" s="13" t="s">
        <v>37</v>
      </c>
      <c r="AD9" s="13" t="s">
        <v>32</v>
      </c>
      <c r="AE9" s="13" t="s">
        <v>38</v>
      </c>
      <c r="AF9" s="17"/>
      <c r="AH9" s="16" t="s">
        <v>36</v>
      </c>
      <c r="AI9" s="13" t="s">
        <v>37</v>
      </c>
      <c r="AJ9" s="13" t="s">
        <v>32</v>
      </c>
      <c r="AK9" s="13" t="s">
        <v>38</v>
      </c>
      <c r="AL9"/>
      <c r="AM9"/>
      <c r="AN9"/>
      <c r="AO9"/>
      <c r="AP9"/>
      <c r="AQ9"/>
      <c r="AR9"/>
      <c r="AS9"/>
      <c r="AT9"/>
      <c r="AU9"/>
      <c r="AV9"/>
      <c r="AW9"/>
      <c r="AX9"/>
      <c r="AY9"/>
      <c r="AZ9"/>
      <c r="BA9"/>
      <c r="BB9"/>
      <c r="BC9"/>
      <c r="BD9"/>
      <c r="BE9"/>
      <c r="BF9"/>
      <c r="BG9"/>
      <c r="BH9"/>
      <c r="BI9"/>
      <c r="BJ9"/>
      <c r="BK9"/>
      <c r="BL9"/>
      <c r="BM9"/>
      <c r="BN9"/>
      <c r="BO9"/>
      <c r="BP9"/>
      <c r="BQ9"/>
      <c r="BR9"/>
      <c r="BS9"/>
      <c r="BT9"/>
      <c r="BU9"/>
      <c r="BV9"/>
      <c r="BW9"/>
    </row>
    <row r="10" spans="1:75" s="13" customFormat="1" ht="15" customHeight="1" thickTop="1" thickBot="1" x14ac:dyDescent="0.3">
      <c r="A10" s="225"/>
      <c r="B10" s="239" t="s">
        <v>39</v>
      </c>
      <c r="C10" s="146" t="s">
        <v>37</v>
      </c>
      <c r="D10" s="147" t="str">
        <f>'Descision Matrix'!BJ9</f>
        <v>F</v>
      </c>
      <c r="E10" s="148" t="str">
        <f>'Descision Matrix'!BK9</f>
        <v>F</v>
      </c>
      <c r="F10" s="149" t="str">
        <f>'Descision Matrix'!BL9</f>
        <v>*</v>
      </c>
      <c r="G10" s="17"/>
      <c r="H10" s="241" t="s">
        <v>39</v>
      </c>
      <c r="I10" s="13" t="s">
        <v>37</v>
      </c>
      <c r="J10" s="147" t="str">
        <f>'Descision Matrix'!BP9</f>
        <v>F</v>
      </c>
      <c r="K10" s="148" t="str">
        <f>'Descision Matrix'!BQ9</f>
        <v>*</v>
      </c>
      <c r="L10" s="149" t="str">
        <f>'Descision Matrix'!BR9</f>
        <v>T</v>
      </c>
      <c r="M10" s="17"/>
      <c r="N10" s="242" t="s">
        <v>39</v>
      </c>
      <c r="O10" s="13" t="s">
        <v>37</v>
      </c>
      <c r="P10" s="147" t="str">
        <f>'Descision Matrix'!BV9</f>
        <v>T</v>
      </c>
      <c r="Q10" s="148" t="str">
        <f>'Descision Matrix'!BW9</f>
        <v>*</v>
      </c>
      <c r="R10" s="149" t="str">
        <f>'Descision Matrix'!BX9</f>
        <v>T</v>
      </c>
      <c r="S10"/>
      <c r="T10" s="225"/>
      <c r="U10" s="239" t="s">
        <v>39</v>
      </c>
      <c r="V10" s="151" t="s">
        <v>37</v>
      </c>
      <c r="W10" s="152" t="str">
        <f>D10</f>
        <v>F</v>
      </c>
      <c r="X10" s="153" t="str">
        <f>D11</f>
        <v>F</v>
      </c>
      <c r="Y10" s="154" t="str">
        <f>D12</f>
        <v>*</v>
      </c>
      <c r="Z10" s="17"/>
      <c r="AA10" s="241" t="s">
        <v>39</v>
      </c>
      <c r="AB10" s="13" t="s">
        <v>37</v>
      </c>
      <c r="AC10" s="152" t="str">
        <f>J10</f>
        <v>F</v>
      </c>
      <c r="AD10" s="153" t="str">
        <f>J11</f>
        <v>*</v>
      </c>
      <c r="AE10" s="154" t="str">
        <f>J12</f>
        <v>T</v>
      </c>
      <c r="AF10" s="17"/>
      <c r="AG10" s="242" t="s">
        <v>39</v>
      </c>
      <c r="AH10" s="13" t="s">
        <v>37</v>
      </c>
      <c r="AI10" s="152" t="str">
        <f>P10</f>
        <v>T</v>
      </c>
      <c r="AJ10" s="153" t="str">
        <f>P11</f>
        <v>*</v>
      </c>
      <c r="AK10" s="154" t="str">
        <f>P12</f>
        <v>F</v>
      </c>
      <c r="AL10"/>
      <c r="AM10" s="24" t="s">
        <v>6</v>
      </c>
      <c r="AN10" s="25"/>
      <c r="AO10" s="132" t="str">
        <f>W10</f>
        <v>F</v>
      </c>
      <c r="AP10" s="136" t="str">
        <f>X10</f>
        <v>F</v>
      </c>
      <c r="AQ10" s="138" t="str">
        <f>Y10</f>
        <v>*</v>
      </c>
      <c r="AR10" s="135" t="str">
        <f>W11</f>
        <v>F</v>
      </c>
      <c r="AS10" s="133" t="str">
        <f>X11</f>
        <v>F</v>
      </c>
      <c r="AT10" s="140" t="str">
        <f>Y11</f>
        <v>*</v>
      </c>
      <c r="AU10" s="101" t="str">
        <f>W12</f>
        <v>*</v>
      </c>
      <c r="AV10" s="104" t="str">
        <f>X12</f>
        <v>*</v>
      </c>
      <c r="AW10" s="134" t="str">
        <f>Y12</f>
        <v>*</v>
      </c>
      <c r="AX10" s="25"/>
      <c r="AY10" s="132" t="str">
        <f>AC10</f>
        <v>F</v>
      </c>
      <c r="AZ10" s="136" t="str">
        <f>AD10</f>
        <v>*</v>
      </c>
      <c r="BA10" s="138" t="str">
        <f>AE10</f>
        <v>T</v>
      </c>
      <c r="BB10" s="135" t="str">
        <f>AC11</f>
        <v>*</v>
      </c>
      <c r="BC10" s="133" t="str">
        <f>AD11</f>
        <v>F</v>
      </c>
      <c r="BD10" s="140" t="str">
        <f>AE11</f>
        <v>*</v>
      </c>
      <c r="BE10" s="101" t="str">
        <f>AC12</f>
        <v>T</v>
      </c>
      <c r="BF10" s="104" t="str">
        <f>AD12</f>
        <v>*</v>
      </c>
      <c r="BG10" s="134" t="str">
        <f>AE12</f>
        <v>*</v>
      </c>
      <c r="BH10" s="25"/>
      <c r="BI10" s="132" t="str">
        <f>AI10</f>
        <v>T</v>
      </c>
      <c r="BJ10" s="136" t="str">
        <f>AJ10</f>
        <v>*</v>
      </c>
      <c r="BK10" s="138" t="str">
        <f>AK10</f>
        <v>F</v>
      </c>
      <c r="BL10" s="135" t="str">
        <f>AI11</f>
        <v>*</v>
      </c>
      <c r="BM10" s="133" t="str">
        <f>AJ11</f>
        <v>F</v>
      </c>
      <c r="BN10" s="140" t="str">
        <f>AK11</f>
        <v>*</v>
      </c>
      <c r="BO10" s="101" t="str">
        <f>AI12</f>
        <v>T</v>
      </c>
      <c r="BP10" s="104" t="str">
        <f>AJ12</f>
        <v>*</v>
      </c>
      <c r="BQ10" s="134" t="str">
        <f>AK12</f>
        <v>*</v>
      </c>
      <c r="BR10" s="28"/>
      <c r="BS10"/>
      <c r="BT10" s="24" t="str">
        <f>AM10</f>
        <v>Sheltered</v>
      </c>
      <c r="BU10" s="29" t="str">
        <f>CONCATENATE(AO10,AP10,AQ10,AR10,AS10,AT10,AU10,AV10,AW10)</f>
        <v>FF*FF****</v>
      </c>
      <c r="BV10" s="30" t="str">
        <f>CONCATENATE(AY10,AZ10,BA10,BB10,BC10,BD10,BE10,BF10,BG10)</f>
        <v>F*T*F*T**</v>
      </c>
      <c r="BW10" s="31" t="str">
        <f>CONCATENATE(BI10,BJ10,BK10,BL10,BM10,BN10,BO10,BP10,BQ10)</f>
        <v>T*F*F*T**</v>
      </c>
    </row>
    <row r="11" spans="1:75" s="13" customFormat="1" ht="15" customHeight="1" x14ac:dyDescent="0.25">
      <c r="A11" s="225"/>
      <c r="B11" s="239"/>
      <c r="C11" s="150" t="s">
        <v>32</v>
      </c>
      <c r="D11" s="141" t="str">
        <f>'Descision Matrix'!BJ10</f>
        <v>F</v>
      </c>
      <c r="E11" s="142" t="str">
        <f>'Descision Matrix'!BK10</f>
        <v>F</v>
      </c>
      <c r="F11" s="143" t="str">
        <f>'Descision Matrix'!BL10</f>
        <v>*</v>
      </c>
      <c r="G11" s="17"/>
      <c r="H11" s="241"/>
      <c r="I11" s="13" t="s">
        <v>32</v>
      </c>
      <c r="J11" s="141" t="str">
        <f>'Descision Matrix'!BP10</f>
        <v>*</v>
      </c>
      <c r="K11" s="142" t="str">
        <f>'Descision Matrix'!BQ10</f>
        <v>F</v>
      </c>
      <c r="L11" s="143" t="str">
        <f>'Descision Matrix'!BR10</f>
        <v>*</v>
      </c>
      <c r="M11" s="17"/>
      <c r="N11" s="242"/>
      <c r="O11" s="13" t="s">
        <v>32</v>
      </c>
      <c r="P11" s="141" t="str">
        <f>'Descision Matrix'!BV10</f>
        <v>*</v>
      </c>
      <c r="Q11" s="142" t="str">
        <f>'Descision Matrix'!BW10</f>
        <v>F</v>
      </c>
      <c r="R11" s="143" t="str">
        <f>'Descision Matrix'!BX10</f>
        <v>*</v>
      </c>
      <c r="S11"/>
      <c r="T11" s="225"/>
      <c r="U11" s="239"/>
      <c r="V11" s="155" t="s">
        <v>32</v>
      </c>
      <c r="W11" s="156" t="str">
        <f>E10</f>
        <v>F</v>
      </c>
      <c r="X11" s="157" t="str">
        <f>E11</f>
        <v>F</v>
      </c>
      <c r="Y11" s="158" t="str">
        <f>E12</f>
        <v>*</v>
      </c>
      <c r="Z11" s="17"/>
      <c r="AA11" s="241"/>
      <c r="AB11" s="13" t="s">
        <v>32</v>
      </c>
      <c r="AC11" s="156" t="str">
        <f>K10</f>
        <v>*</v>
      </c>
      <c r="AD11" s="157" t="str">
        <f>K11</f>
        <v>F</v>
      </c>
      <c r="AE11" s="158" t="str">
        <f>K12</f>
        <v>*</v>
      </c>
      <c r="AF11" s="17"/>
      <c r="AG11" s="242"/>
      <c r="AH11" s="13" t="s">
        <v>32</v>
      </c>
      <c r="AI11" s="156" t="str">
        <f>Q10</f>
        <v>*</v>
      </c>
      <c r="AJ11" s="157" t="str">
        <f>Q11</f>
        <v>F</v>
      </c>
      <c r="AK11" s="158" t="str">
        <f>Q12</f>
        <v>*</v>
      </c>
      <c r="AL11"/>
      <c r="AM11" s="171"/>
      <c r="AN11" s="171"/>
      <c r="AO11" s="171" t="str">
        <f>IF(AO8=AO10,"","X")</f>
        <v/>
      </c>
      <c r="AP11" s="171" t="str">
        <f t="shared" ref="AP11" si="19">IF(AP8=AP10,"","X")</f>
        <v/>
      </c>
      <c r="AQ11" s="171" t="str">
        <f t="shared" ref="AQ11" si="20">IF(AQ8=AQ10,"","X")</f>
        <v/>
      </c>
      <c r="AR11" s="171" t="str">
        <f t="shared" ref="AR11" si="21">IF(AR8=AR10,"","X")</f>
        <v/>
      </c>
      <c r="AS11" s="171" t="str">
        <f t="shared" ref="AS11" si="22">IF(AS8=AS10,"","X")</f>
        <v/>
      </c>
      <c r="AT11" s="171" t="str">
        <f t="shared" ref="AT11" si="23">IF(AT8=AT10,"","X")</f>
        <v/>
      </c>
      <c r="AU11" s="171" t="str">
        <f t="shared" ref="AU11" si="24">IF(AU8=AU10,"","X")</f>
        <v/>
      </c>
      <c r="AV11" s="171" t="str">
        <f t="shared" ref="AV11" si="25">IF(AV8=AV10,"","X")</f>
        <v/>
      </c>
      <c r="AW11" s="171" t="str">
        <f t="shared" ref="AW11" si="26">IF(AW8=AW10,"","X")</f>
        <v/>
      </c>
      <c r="AX11" s="171"/>
      <c r="AY11" s="171" t="str">
        <f t="shared" ref="AY11" si="27">IF(AY8=AY10,"","X")</f>
        <v/>
      </c>
      <c r="AZ11" s="171" t="str">
        <f t="shared" ref="AZ11" si="28">IF(AZ8=AZ10,"","X")</f>
        <v/>
      </c>
      <c r="BA11" s="171" t="str">
        <f t="shared" ref="BA11" si="29">IF(BA8=BA10,"","X")</f>
        <v/>
      </c>
      <c r="BB11" s="171" t="str">
        <f t="shared" ref="BB11" si="30">IF(BB8=BB10,"","X")</f>
        <v/>
      </c>
      <c r="BC11" s="171" t="str">
        <f t="shared" ref="BC11" si="31">IF(BC8=BC10,"","X")</f>
        <v/>
      </c>
      <c r="BD11" s="171" t="str">
        <f t="shared" ref="BD11" si="32">IF(BD8=BD10,"","X")</f>
        <v/>
      </c>
      <c r="BE11" s="171" t="str">
        <f t="shared" ref="BE11" si="33">IF(BE8=BE10,"","X")</f>
        <v/>
      </c>
      <c r="BF11" s="171" t="str">
        <f t="shared" ref="BF11" si="34">IF(BF8=BF10,"","X")</f>
        <v/>
      </c>
      <c r="BG11" s="171" t="str">
        <f t="shared" ref="BG11" si="35">IF(BG8=BG10,"","X")</f>
        <v/>
      </c>
      <c r="BH11" s="171"/>
      <c r="BI11" s="171" t="str">
        <f t="shared" ref="BI11" si="36">IF(BI8=BI10,"","X")</f>
        <v/>
      </c>
      <c r="BJ11" s="171" t="str">
        <f t="shared" ref="BJ11" si="37">IF(BJ8=BJ10,"","X")</f>
        <v/>
      </c>
      <c r="BK11" s="171" t="str">
        <f t="shared" ref="BK11" si="38">IF(BK8=BK10,"","X")</f>
        <v>X</v>
      </c>
      <c r="BL11" s="171" t="str">
        <f t="shared" ref="BL11" si="39">IF(BL8=BL10,"","X")</f>
        <v/>
      </c>
      <c r="BM11" s="171" t="str">
        <f t="shared" ref="BM11" si="40">IF(BM8=BM10,"","X")</f>
        <v/>
      </c>
      <c r="BN11" s="171" t="str">
        <f t="shared" ref="BN11" si="41">IF(BN8=BN10,"","X")</f>
        <v/>
      </c>
      <c r="BO11" s="171" t="str">
        <f t="shared" ref="BO11" si="42">IF(BO8=BO10,"","X")</f>
        <v>X</v>
      </c>
      <c r="BP11" s="171" t="str">
        <f t="shared" ref="BP11" si="43">IF(BP8=BP10,"","X")</f>
        <v/>
      </c>
      <c r="BQ11" s="171" t="str">
        <f t="shared" ref="BQ11" si="44">IF(BQ8=BQ10,"","X")</f>
        <v/>
      </c>
      <c r="BR11"/>
      <c r="BS11"/>
      <c r="BT11"/>
      <c r="BU11"/>
      <c r="BV11"/>
      <c r="BW11"/>
    </row>
    <row r="12" spans="1:75" s="13" customFormat="1" ht="15" customHeight="1" thickBot="1" x14ac:dyDescent="0.3">
      <c r="A12" s="230"/>
      <c r="B12" s="240"/>
      <c r="C12" s="150" t="s">
        <v>38</v>
      </c>
      <c r="D12" s="144" t="str">
        <f>'Descision Matrix'!BJ11</f>
        <v>*</v>
      </c>
      <c r="E12" s="145" t="str">
        <f>'Descision Matrix'!BK11</f>
        <v>*</v>
      </c>
      <c r="F12" s="162" t="str">
        <f>'Descision Matrix'!BL11</f>
        <v>*</v>
      </c>
      <c r="G12" s="19"/>
      <c r="H12" s="206"/>
      <c r="I12" s="13" t="s">
        <v>38</v>
      </c>
      <c r="J12" s="144" t="str">
        <f>'Descision Matrix'!BP11</f>
        <v>T</v>
      </c>
      <c r="K12" s="145" t="str">
        <f>'Descision Matrix'!BQ11</f>
        <v>*</v>
      </c>
      <c r="L12" s="162" t="str">
        <f>'Descision Matrix'!BR11</f>
        <v>*</v>
      </c>
      <c r="M12" s="19"/>
      <c r="N12" s="208"/>
      <c r="O12" s="13" t="s">
        <v>38</v>
      </c>
      <c r="P12" s="144" t="str">
        <f>'Descision Matrix'!BV11</f>
        <v>F</v>
      </c>
      <c r="Q12" s="145" t="str">
        <f>'Descision Matrix'!BW11</f>
        <v>*</v>
      </c>
      <c r="R12" s="162" t="str">
        <f>'Descision Matrix'!BX11</f>
        <v>*</v>
      </c>
      <c r="S12"/>
      <c r="T12" s="226"/>
      <c r="U12" s="240"/>
      <c r="V12" s="159" t="s">
        <v>38</v>
      </c>
      <c r="W12" s="160" t="str">
        <f>F10</f>
        <v>*</v>
      </c>
      <c r="X12" s="161" t="str">
        <f>F11</f>
        <v>*</v>
      </c>
      <c r="Y12" s="163" t="str">
        <f>F12</f>
        <v>*</v>
      </c>
      <c r="Z12" s="19"/>
      <c r="AA12" s="206"/>
      <c r="AB12" s="13" t="s">
        <v>38</v>
      </c>
      <c r="AC12" s="160" t="str">
        <f>L10</f>
        <v>T</v>
      </c>
      <c r="AD12" s="161" t="str">
        <f>L11</f>
        <v>*</v>
      </c>
      <c r="AE12" s="163" t="str">
        <f>L12</f>
        <v>*</v>
      </c>
      <c r="AF12" s="19"/>
      <c r="AG12" s="208"/>
      <c r="AH12" s="13" t="s">
        <v>38</v>
      </c>
      <c r="AI12" s="160" t="str">
        <f>R10</f>
        <v>T</v>
      </c>
      <c r="AJ12" s="161" t="str">
        <f>R11</f>
        <v>*</v>
      </c>
      <c r="AK12" s="163" t="str">
        <f>R12</f>
        <v>*</v>
      </c>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row>
    <row r="13" spans="1:75" s="13" customFormat="1" ht="15" customHeight="1" thickTop="1" thickBot="1" x14ac:dyDescent="0.3">
      <c r="A13" s="229" t="s">
        <v>45</v>
      </c>
      <c r="B13" s="20"/>
      <c r="C13" s="11"/>
      <c r="D13" s="243" t="s">
        <v>32</v>
      </c>
      <c r="E13" s="243"/>
      <c r="F13" s="243"/>
      <c r="G13" s="12"/>
      <c r="H13" s="11"/>
      <c r="I13" s="11"/>
      <c r="J13" s="220" t="s">
        <v>32</v>
      </c>
      <c r="K13" s="220"/>
      <c r="L13" s="220"/>
      <c r="M13" s="12"/>
      <c r="N13" s="11"/>
      <c r="O13" s="11"/>
      <c r="P13" s="220" t="s">
        <v>32</v>
      </c>
      <c r="Q13" s="220"/>
      <c r="R13" s="220"/>
      <c r="S13"/>
      <c r="T13" s="224" t="s">
        <v>63</v>
      </c>
      <c r="U13" s="20"/>
      <c r="V13" s="11"/>
      <c r="W13" s="220" t="s">
        <v>32</v>
      </c>
      <c r="X13" s="220"/>
      <c r="Y13" s="220"/>
      <c r="Z13" s="12"/>
      <c r="AA13" s="11"/>
      <c r="AB13" s="11"/>
      <c r="AC13" s="220" t="s">
        <v>32</v>
      </c>
      <c r="AD13" s="220"/>
      <c r="AE13" s="220"/>
      <c r="AF13" s="12"/>
      <c r="AG13" s="11"/>
      <c r="AH13" s="11"/>
      <c r="AI13" s="220" t="s">
        <v>32</v>
      </c>
      <c r="AJ13" s="220"/>
      <c r="AK13" s="220"/>
      <c r="AL13"/>
      <c r="AM13" s="24" t="s">
        <v>0</v>
      </c>
      <c r="AN13" s="25"/>
      <c r="AO13" s="132" t="str">
        <f>D15</f>
        <v>F</v>
      </c>
      <c r="AP13" s="135" t="str">
        <f t="shared" ref="AP13:AQ13" si="45">E15</f>
        <v>F</v>
      </c>
      <c r="AQ13" s="137" t="str">
        <f t="shared" si="45"/>
        <v>*</v>
      </c>
      <c r="AR13" s="136" t="str">
        <f>D16</f>
        <v>F</v>
      </c>
      <c r="AS13" s="133" t="str">
        <f t="shared" ref="AS13:AT13" si="46">E16</f>
        <v>F</v>
      </c>
      <c r="AT13" s="139" t="str">
        <f t="shared" si="46"/>
        <v>*</v>
      </c>
      <c r="AU13" s="102" t="str">
        <f>D17</f>
        <v>*</v>
      </c>
      <c r="AV13" s="105" t="str">
        <f t="shared" ref="AV13:AW13" si="47">E17</f>
        <v>*</v>
      </c>
      <c r="AW13" s="134" t="str">
        <f t="shared" si="47"/>
        <v>*</v>
      </c>
      <c r="AX13" s="25"/>
      <c r="AY13" s="132" t="str">
        <f>J15</f>
        <v>T</v>
      </c>
      <c r="AZ13" s="135" t="str">
        <f t="shared" ref="AZ13:BA13" si="48">K15</f>
        <v>*</v>
      </c>
      <c r="BA13" s="137" t="str">
        <f t="shared" si="48"/>
        <v>T</v>
      </c>
      <c r="BB13" s="136" t="str">
        <f>J16</f>
        <v>*</v>
      </c>
      <c r="BC13" s="133" t="str">
        <f t="shared" ref="BC13:BD13" si="49">K16</f>
        <v>F</v>
      </c>
      <c r="BD13" s="139" t="str">
        <f t="shared" si="49"/>
        <v>*</v>
      </c>
      <c r="BE13" s="102" t="str">
        <f>J17</f>
        <v>F</v>
      </c>
      <c r="BF13" s="105" t="str">
        <f t="shared" ref="BF13:BG13" si="50">K17</f>
        <v>*</v>
      </c>
      <c r="BG13" s="134" t="str">
        <f t="shared" si="50"/>
        <v>*</v>
      </c>
      <c r="BH13" s="25"/>
      <c r="BI13" s="132" t="str">
        <f>P15</f>
        <v>*</v>
      </c>
      <c r="BJ13" s="135" t="str">
        <f t="shared" ref="BJ13:BK13" si="51">Q15</f>
        <v>*</v>
      </c>
      <c r="BK13" s="137" t="str">
        <f t="shared" si="51"/>
        <v>*</v>
      </c>
      <c r="BL13" s="136" t="str">
        <f>P16</f>
        <v>*</v>
      </c>
      <c r="BM13" s="133" t="str">
        <f t="shared" ref="BM13:BN13" si="52">Q16</f>
        <v>*</v>
      </c>
      <c r="BN13" s="139" t="str">
        <f t="shared" si="52"/>
        <v>*</v>
      </c>
      <c r="BO13" s="102" t="str">
        <f>P17</f>
        <v>*</v>
      </c>
      <c r="BP13" s="105" t="str">
        <f t="shared" ref="BP13:BQ13" si="53">Q17</f>
        <v>*</v>
      </c>
      <c r="BQ13" s="134" t="str">
        <f t="shared" si="53"/>
        <v>*</v>
      </c>
      <c r="BR13" s="28"/>
      <c r="BS13"/>
      <c r="BT13" s="24" t="str">
        <f>AM13</f>
        <v>Surrounds</v>
      </c>
      <c r="BU13" s="29" t="str">
        <f>CONCATENATE(AO13,AP13,AQ13,AR13,AS13,AT13,AU13,AV13,AW13)</f>
        <v>FF*FF****</v>
      </c>
      <c r="BV13" s="30" t="str">
        <f>CONCATENATE(AY13,AZ13,BA13,BB13,BC13,BD13,BE13,BF13,BG13)</f>
        <v>T*T*F*F**</v>
      </c>
      <c r="BW13" s="31" t="str">
        <f>CONCATENATE(BI13,BJ13,BK13,BL13,BM13,BN13,BO13,BP13,BQ13)</f>
        <v>*********</v>
      </c>
    </row>
    <row r="14" spans="1:75" s="13" customFormat="1" ht="15" customHeight="1" thickTop="1" thickBot="1" x14ac:dyDescent="0.3">
      <c r="A14" s="225"/>
      <c r="B14" s="21"/>
      <c r="C14" s="16" t="s">
        <v>36</v>
      </c>
      <c r="D14" s="13" t="s">
        <v>37</v>
      </c>
      <c r="E14" s="13" t="s">
        <v>32</v>
      </c>
      <c r="F14" s="13" t="s">
        <v>38</v>
      </c>
      <c r="G14" s="17"/>
      <c r="I14" s="16" t="s">
        <v>36</v>
      </c>
      <c r="J14" s="13" t="s">
        <v>37</v>
      </c>
      <c r="K14" s="13" t="s">
        <v>32</v>
      </c>
      <c r="L14" s="13" t="s">
        <v>38</v>
      </c>
      <c r="M14" s="17"/>
      <c r="O14" s="16" t="s">
        <v>36</v>
      </c>
      <c r="P14" s="13" t="s">
        <v>37</v>
      </c>
      <c r="Q14" s="13" t="s">
        <v>32</v>
      </c>
      <c r="R14" s="13" t="s">
        <v>38</v>
      </c>
      <c r="S14"/>
      <c r="T14" s="225"/>
      <c r="U14" s="21"/>
      <c r="V14" s="16" t="s">
        <v>36</v>
      </c>
      <c r="W14" s="13" t="s">
        <v>37</v>
      </c>
      <c r="X14" s="13" t="s">
        <v>32</v>
      </c>
      <c r="Y14" s="13" t="s">
        <v>38</v>
      </c>
      <c r="Z14" s="17"/>
      <c r="AB14" s="16" t="s">
        <v>36</v>
      </c>
      <c r="AC14" s="13" t="s">
        <v>37</v>
      </c>
      <c r="AD14" s="13" t="s">
        <v>32</v>
      </c>
      <c r="AE14" s="13" t="s">
        <v>38</v>
      </c>
      <c r="AF14" s="17"/>
      <c r="AH14" s="16" t="s">
        <v>36</v>
      </c>
      <c r="AI14" s="13" t="s">
        <v>37</v>
      </c>
      <c r="AJ14" s="13" t="s">
        <v>32</v>
      </c>
      <c r="AK14" s="13" t="s">
        <v>38</v>
      </c>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row>
    <row r="15" spans="1:75" s="13" customFormat="1" ht="15" customHeight="1" thickTop="1" thickBot="1" x14ac:dyDescent="0.3">
      <c r="A15" s="225"/>
      <c r="B15" s="239" t="s">
        <v>39</v>
      </c>
      <c r="C15" s="13" t="s">
        <v>37</v>
      </c>
      <c r="D15" s="147" t="str">
        <f>'Descision Matrix'!AQ15</f>
        <v>F</v>
      </c>
      <c r="E15" s="148" t="str">
        <f>'Descision Matrix'!AR15</f>
        <v>F</v>
      </c>
      <c r="F15" s="149" t="str">
        <f>'Descision Matrix'!AS15</f>
        <v>*</v>
      </c>
      <c r="G15" s="17"/>
      <c r="H15" s="241" t="s">
        <v>39</v>
      </c>
      <c r="I15" s="13" t="s">
        <v>37</v>
      </c>
      <c r="J15" s="147" t="str">
        <f>'Descision Matrix'!AW15</f>
        <v>T</v>
      </c>
      <c r="K15" s="148" t="str">
        <f>'Descision Matrix'!AX15</f>
        <v>*</v>
      </c>
      <c r="L15" s="149" t="str">
        <f>'Descision Matrix'!AY15</f>
        <v>T</v>
      </c>
      <c r="M15" s="17"/>
      <c r="N15" s="242" t="s">
        <v>39</v>
      </c>
      <c r="O15" s="13" t="s">
        <v>37</v>
      </c>
      <c r="P15" s="147" t="str">
        <f>'Descision Matrix'!BC15</f>
        <v>*</v>
      </c>
      <c r="Q15" s="148" t="str">
        <f>'Descision Matrix'!BD15</f>
        <v>*</v>
      </c>
      <c r="R15" s="149" t="str">
        <f>'Descision Matrix'!BE15</f>
        <v>*</v>
      </c>
      <c r="S15"/>
      <c r="T15" s="225"/>
      <c r="U15" s="239" t="s">
        <v>39</v>
      </c>
      <c r="V15" s="13" t="s">
        <v>37</v>
      </c>
      <c r="W15" s="152" t="str">
        <f>D15</f>
        <v>F</v>
      </c>
      <c r="X15" s="153" t="str">
        <f>D16</f>
        <v>F</v>
      </c>
      <c r="Y15" s="154" t="str">
        <f>D17</f>
        <v>*</v>
      </c>
      <c r="Z15" s="17"/>
      <c r="AA15" s="241" t="s">
        <v>39</v>
      </c>
      <c r="AB15" s="13" t="s">
        <v>37</v>
      </c>
      <c r="AC15" s="152" t="str">
        <f>J15</f>
        <v>T</v>
      </c>
      <c r="AD15" s="153" t="str">
        <f>J16</f>
        <v>*</v>
      </c>
      <c r="AE15" s="154" t="str">
        <f>J17</f>
        <v>F</v>
      </c>
      <c r="AF15" s="17"/>
      <c r="AG15" s="242" t="s">
        <v>39</v>
      </c>
      <c r="AH15" s="13" t="s">
        <v>37</v>
      </c>
      <c r="AI15" s="152" t="str">
        <f>P15</f>
        <v>*</v>
      </c>
      <c r="AJ15" s="153" t="str">
        <f>P16</f>
        <v>*</v>
      </c>
      <c r="AK15" s="154" t="str">
        <f>P17</f>
        <v>*</v>
      </c>
      <c r="AL15"/>
      <c r="AM15" s="24" t="s">
        <v>1</v>
      </c>
      <c r="AN15" s="25"/>
      <c r="AO15" s="132" t="str">
        <f>W15</f>
        <v>F</v>
      </c>
      <c r="AP15" s="136" t="str">
        <f>X15</f>
        <v>F</v>
      </c>
      <c r="AQ15" s="138" t="str">
        <f>Y15</f>
        <v>*</v>
      </c>
      <c r="AR15" s="135" t="str">
        <f>W16</f>
        <v>F</v>
      </c>
      <c r="AS15" s="133" t="str">
        <f>X16</f>
        <v>F</v>
      </c>
      <c r="AT15" s="140" t="str">
        <f>Y16</f>
        <v>*</v>
      </c>
      <c r="AU15" s="101" t="str">
        <f>W17</f>
        <v>*</v>
      </c>
      <c r="AV15" s="104" t="str">
        <f>X17</f>
        <v>*</v>
      </c>
      <c r="AW15" s="134" t="str">
        <f>Y17</f>
        <v>*</v>
      </c>
      <c r="AX15" s="25"/>
      <c r="AY15" s="132" t="str">
        <f>AC15</f>
        <v>T</v>
      </c>
      <c r="AZ15" s="136" t="str">
        <f>AD15</f>
        <v>*</v>
      </c>
      <c r="BA15" s="138" t="str">
        <f>AE15</f>
        <v>F</v>
      </c>
      <c r="BB15" s="135" t="str">
        <f>AC16</f>
        <v>*</v>
      </c>
      <c r="BC15" s="133" t="str">
        <f>AD16</f>
        <v>F</v>
      </c>
      <c r="BD15" s="140" t="str">
        <f>AE16</f>
        <v>*</v>
      </c>
      <c r="BE15" s="101" t="str">
        <f>AC17</f>
        <v>T</v>
      </c>
      <c r="BF15" s="104" t="str">
        <f>AD17</f>
        <v>*</v>
      </c>
      <c r="BG15" s="134" t="str">
        <f>AE17</f>
        <v>*</v>
      </c>
      <c r="BH15" s="25"/>
      <c r="BI15" s="132" t="str">
        <f>AI15</f>
        <v>*</v>
      </c>
      <c r="BJ15" s="136" t="str">
        <f>AJ15</f>
        <v>*</v>
      </c>
      <c r="BK15" s="138" t="str">
        <f>AK15</f>
        <v>*</v>
      </c>
      <c r="BL15" s="135" t="str">
        <f>AI16</f>
        <v>*</v>
      </c>
      <c r="BM15" s="133" t="str">
        <f>AJ16</f>
        <v>*</v>
      </c>
      <c r="BN15" s="140" t="str">
        <f>AK16</f>
        <v>*</v>
      </c>
      <c r="BO15" s="101" t="str">
        <f>AI17</f>
        <v>*</v>
      </c>
      <c r="BP15" s="104" t="str">
        <f>AJ17</f>
        <v>*</v>
      </c>
      <c r="BQ15" s="134" t="str">
        <f>AK17</f>
        <v>*</v>
      </c>
      <c r="BR15" s="28"/>
      <c r="BS15"/>
      <c r="BT15" s="24" t="str">
        <f>AM15</f>
        <v>Enclosed</v>
      </c>
      <c r="BU15" s="29" t="str">
        <f>CONCATENATE(AO15,AP15,AQ15,AR15,AS15,AT15,AU15,AV15,AW15)</f>
        <v>FF*FF****</v>
      </c>
      <c r="BV15" s="30" t="str">
        <f>CONCATENATE(AY15,AZ15,BA15,BB15,BC15,BD15,BE15,BF15,BG15)</f>
        <v>T*F*F*T**</v>
      </c>
      <c r="BW15" s="31" t="str">
        <f>CONCATENATE(BI15,BJ15,BK15,BL15,BM15,BN15,BO15,BP15,BQ15)</f>
        <v>*********</v>
      </c>
    </row>
    <row r="16" spans="1:75" s="13" customFormat="1" ht="15" customHeight="1" x14ac:dyDescent="0.25">
      <c r="A16" s="225"/>
      <c r="B16" s="239"/>
      <c r="C16" s="13" t="s">
        <v>32</v>
      </c>
      <c r="D16" s="141" t="str">
        <f>'Descision Matrix'!AQ16</f>
        <v>F</v>
      </c>
      <c r="E16" s="142" t="str">
        <f>'Descision Matrix'!AR16</f>
        <v>F</v>
      </c>
      <c r="F16" s="143" t="str">
        <f>'Descision Matrix'!AS16</f>
        <v>*</v>
      </c>
      <c r="G16" s="17"/>
      <c r="H16" s="241"/>
      <c r="I16" s="13" t="s">
        <v>32</v>
      </c>
      <c r="J16" s="141" t="str">
        <f>'Descision Matrix'!AW16</f>
        <v>*</v>
      </c>
      <c r="K16" s="142" t="str">
        <f>'Descision Matrix'!AX16</f>
        <v>F</v>
      </c>
      <c r="L16" s="143" t="str">
        <f>'Descision Matrix'!AY16</f>
        <v>*</v>
      </c>
      <c r="M16" s="17"/>
      <c r="N16" s="242"/>
      <c r="O16" s="13" t="s">
        <v>32</v>
      </c>
      <c r="P16" s="141" t="str">
        <f>'Descision Matrix'!BC16</f>
        <v>*</v>
      </c>
      <c r="Q16" s="142" t="str">
        <f>'Descision Matrix'!BD16</f>
        <v>*</v>
      </c>
      <c r="R16" s="143" t="str">
        <f>'Descision Matrix'!BE16</f>
        <v>*</v>
      </c>
      <c r="S16"/>
      <c r="T16" s="225"/>
      <c r="U16" s="239"/>
      <c r="V16" s="13" t="s">
        <v>32</v>
      </c>
      <c r="W16" s="156" t="str">
        <f>E15</f>
        <v>F</v>
      </c>
      <c r="X16" s="157" t="str">
        <f>E16</f>
        <v>F</v>
      </c>
      <c r="Y16" s="158" t="str">
        <f>E17</f>
        <v>*</v>
      </c>
      <c r="Z16" s="17"/>
      <c r="AA16" s="241"/>
      <c r="AB16" s="13" t="s">
        <v>32</v>
      </c>
      <c r="AC16" s="156" t="str">
        <f>K15</f>
        <v>*</v>
      </c>
      <c r="AD16" s="157" t="str">
        <f>K16</f>
        <v>F</v>
      </c>
      <c r="AE16" s="158" t="str">
        <f>K17</f>
        <v>*</v>
      </c>
      <c r="AF16" s="17"/>
      <c r="AG16" s="242"/>
      <c r="AH16" s="13" t="s">
        <v>32</v>
      </c>
      <c r="AI16" s="156" t="str">
        <f>Q15</f>
        <v>*</v>
      </c>
      <c r="AJ16" s="157" t="str">
        <f>Q16</f>
        <v>*</v>
      </c>
      <c r="AK16" s="158" t="str">
        <f>Q17</f>
        <v>*</v>
      </c>
      <c r="AL16"/>
      <c r="AM16" s="171"/>
      <c r="AN16" s="171"/>
      <c r="AO16" s="171" t="str">
        <f>IF(AO13=AO15,"","X")</f>
        <v/>
      </c>
      <c r="AP16" s="171" t="str">
        <f t="shared" ref="AP16" si="54">IF(AP13=AP15,"","X")</f>
        <v/>
      </c>
      <c r="AQ16" s="171" t="str">
        <f t="shared" ref="AQ16" si="55">IF(AQ13=AQ15,"","X")</f>
        <v/>
      </c>
      <c r="AR16" s="171" t="str">
        <f t="shared" ref="AR16" si="56">IF(AR13=AR15,"","X")</f>
        <v/>
      </c>
      <c r="AS16" s="171" t="str">
        <f t="shared" ref="AS16" si="57">IF(AS13=AS15,"","X")</f>
        <v/>
      </c>
      <c r="AT16" s="171" t="str">
        <f t="shared" ref="AT16" si="58">IF(AT13=AT15,"","X")</f>
        <v/>
      </c>
      <c r="AU16" s="171" t="str">
        <f t="shared" ref="AU16" si="59">IF(AU13=AU15,"","X")</f>
        <v/>
      </c>
      <c r="AV16" s="171" t="str">
        <f t="shared" ref="AV16" si="60">IF(AV13=AV15,"","X")</f>
        <v/>
      </c>
      <c r="AW16" s="171" t="str">
        <f t="shared" ref="AW16" si="61">IF(AW13=AW15,"","X")</f>
        <v/>
      </c>
      <c r="AX16" s="171"/>
      <c r="AY16" s="171" t="str">
        <f t="shared" ref="AY16" si="62">IF(AY13=AY15,"","X")</f>
        <v/>
      </c>
      <c r="AZ16" s="171" t="str">
        <f t="shared" ref="AZ16" si="63">IF(AZ13=AZ15,"","X")</f>
        <v/>
      </c>
      <c r="BA16" s="171" t="str">
        <f t="shared" ref="BA16" si="64">IF(BA13=BA15,"","X")</f>
        <v>X</v>
      </c>
      <c r="BB16" s="171" t="str">
        <f t="shared" ref="BB16" si="65">IF(BB13=BB15,"","X")</f>
        <v/>
      </c>
      <c r="BC16" s="171" t="str">
        <f t="shared" ref="BC16" si="66">IF(BC13=BC15,"","X")</f>
        <v/>
      </c>
      <c r="BD16" s="171" t="str">
        <f t="shared" ref="BD16" si="67">IF(BD13=BD15,"","X")</f>
        <v/>
      </c>
      <c r="BE16" s="171" t="str">
        <f t="shared" ref="BE16" si="68">IF(BE13=BE15,"","X")</f>
        <v>X</v>
      </c>
      <c r="BF16" s="171" t="str">
        <f t="shared" ref="BF16" si="69">IF(BF13=BF15,"","X")</f>
        <v/>
      </c>
      <c r="BG16" s="171" t="str">
        <f t="shared" ref="BG16" si="70">IF(BG13=BG15,"","X")</f>
        <v/>
      </c>
      <c r="BH16" s="171"/>
      <c r="BI16" s="171" t="str">
        <f t="shared" ref="BI16" si="71">IF(BI13=BI15,"","X")</f>
        <v/>
      </c>
      <c r="BJ16" s="171" t="str">
        <f t="shared" ref="BJ16" si="72">IF(BJ13=BJ15,"","X")</f>
        <v/>
      </c>
      <c r="BK16" s="171" t="str">
        <f t="shared" ref="BK16" si="73">IF(BK13=BK15,"","X")</f>
        <v/>
      </c>
      <c r="BL16" s="171" t="str">
        <f t="shared" ref="BL16" si="74">IF(BL13=BL15,"","X")</f>
        <v/>
      </c>
      <c r="BM16" s="171" t="str">
        <f t="shared" ref="BM16" si="75">IF(BM13=BM15,"","X")</f>
        <v/>
      </c>
      <c r="BN16" s="171" t="str">
        <f t="shared" ref="BN16" si="76">IF(BN13=BN15,"","X")</f>
        <v/>
      </c>
      <c r="BO16" s="171" t="str">
        <f t="shared" ref="BO16" si="77">IF(BO13=BO15,"","X")</f>
        <v/>
      </c>
      <c r="BP16" s="171" t="str">
        <f t="shared" ref="BP16" si="78">IF(BP13=BP15,"","X")</f>
        <v/>
      </c>
      <c r="BQ16" s="171" t="str">
        <f t="shared" ref="BQ16" si="79">IF(BQ13=BQ15,"","X")</f>
        <v/>
      </c>
      <c r="BR16" s="171"/>
      <c r="BS16"/>
      <c r="BT16"/>
      <c r="BU16"/>
      <c r="BV16"/>
      <c r="BW16"/>
    </row>
    <row r="17" spans="1:75" s="13" customFormat="1" ht="15" customHeight="1" thickBot="1" x14ac:dyDescent="0.3">
      <c r="A17" s="226"/>
      <c r="B17" s="240"/>
      <c r="C17" s="13" t="s">
        <v>38</v>
      </c>
      <c r="D17" s="144" t="str">
        <f>'Descision Matrix'!AQ17</f>
        <v>*</v>
      </c>
      <c r="E17" s="145" t="str">
        <f>'Descision Matrix'!AR17</f>
        <v>*</v>
      </c>
      <c r="F17" s="162" t="str">
        <f>'Descision Matrix'!AS17</f>
        <v>*</v>
      </c>
      <c r="G17" s="19"/>
      <c r="H17" s="206"/>
      <c r="I17" s="13" t="s">
        <v>38</v>
      </c>
      <c r="J17" s="144" t="str">
        <f>'Descision Matrix'!AW17</f>
        <v>F</v>
      </c>
      <c r="K17" s="145" t="str">
        <f>'Descision Matrix'!AX17</f>
        <v>*</v>
      </c>
      <c r="L17" s="162" t="str">
        <f>'Descision Matrix'!AY17</f>
        <v>*</v>
      </c>
      <c r="M17" s="19"/>
      <c r="N17" s="208"/>
      <c r="O17" s="13" t="s">
        <v>38</v>
      </c>
      <c r="P17" s="144" t="str">
        <f>'Descision Matrix'!BC17</f>
        <v>*</v>
      </c>
      <c r="Q17" s="145" t="str">
        <f>'Descision Matrix'!BD17</f>
        <v>*</v>
      </c>
      <c r="R17" s="162" t="str">
        <f>'Descision Matrix'!BE17</f>
        <v>*</v>
      </c>
      <c r="S17"/>
      <c r="T17" s="226"/>
      <c r="U17" s="240"/>
      <c r="V17" s="13" t="s">
        <v>38</v>
      </c>
      <c r="W17" s="160" t="str">
        <f>F15</f>
        <v>*</v>
      </c>
      <c r="X17" s="161" t="str">
        <f>F16</f>
        <v>*</v>
      </c>
      <c r="Y17" s="163" t="str">
        <f>F17</f>
        <v>*</v>
      </c>
      <c r="Z17" s="19"/>
      <c r="AA17" s="206"/>
      <c r="AB17" s="13" t="s">
        <v>38</v>
      </c>
      <c r="AC17" s="160" t="str">
        <f>L15</f>
        <v>T</v>
      </c>
      <c r="AD17" s="161" t="str">
        <f>L16</f>
        <v>*</v>
      </c>
      <c r="AE17" s="163" t="str">
        <f>L17</f>
        <v>*</v>
      </c>
      <c r="AF17" s="19"/>
      <c r="AG17" s="208"/>
      <c r="AH17" s="13" t="s">
        <v>38</v>
      </c>
      <c r="AI17" s="160" t="str">
        <f>R15</f>
        <v>*</v>
      </c>
      <c r="AJ17" s="161" t="str">
        <f>R16</f>
        <v>*</v>
      </c>
      <c r="AK17" s="163" t="str">
        <f>R17</f>
        <v>*</v>
      </c>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row>
    <row r="18" spans="1:75" s="13" customFormat="1" ht="15" customHeight="1" thickTop="1" thickBot="1" x14ac:dyDescent="0.3">
      <c r="A18" s="224" t="s">
        <v>46</v>
      </c>
      <c r="B18" s="20"/>
      <c r="C18" s="11"/>
      <c r="D18" s="220" t="s">
        <v>32</v>
      </c>
      <c r="E18" s="220"/>
      <c r="F18" s="220"/>
      <c r="G18" s="12"/>
      <c r="H18" s="11"/>
      <c r="I18" s="11"/>
      <c r="J18" s="220" t="s">
        <v>32</v>
      </c>
      <c r="K18" s="220"/>
      <c r="L18" s="220"/>
      <c r="M18" s="12"/>
      <c r="N18" s="11"/>
      <c r="O18" s="11"/>
      <c r="P18" s="220" t="s">
        <v>32</v>
      </c>
      <c r="Q18" s="220"/>
      <c r="R18" s="220"/>
      <c r="S18"/>
      <c r="T18" s="224" t="s">
        <v>46</v>
      </c>
      <c r="U18" s="20"/>
      <c r="V18" s="11"/>
      <c r="W18" s="220" t="s">
        <v>32</v>
      </c>
      <c r="X18" s="220"/>
      <c r="Y18" s="220"/>
      <c r="Z18" s="12"/>
      <c r="AA18" s="11"/>
      <c r="AB18" s="11"/>
      <c r="AC18" s="220" t="s">
        <v>32</v>
      </c>
      <c r="AD18" s="220"/>
      <c r="AE18" s="220"/>
      <c r="AF18" s="12"/>
      <c r="AG18" s="11"/>
      <c r="AH18" s="11"/>
      <c r="AI18" s="220" t="s">
        <v>32</v>
      </c>
      <c r="AJ18" s="220"/>
      <c r="AK18" s="220"/>
      <c r="AL18"/>
      <c r="AM18" s="24" t="s">
        <v>13</v>
      </c>
      <c r="AN18" s="25"/>
      <c r="AO18" s="132" t="str">
        <f>D20</f>
        <v>F</v>
      </c>
      <c r="AP18" s="135" t="str">
        <f t="shared" ref="AP18:AQ18" si="80">E20</f>
        <v>*</v>
      </c>
      <c r="AQ18" s="137" t="str">
        <f t="shared" si="80"/>
        <v>*</v>
      </c>
      <c r="AR18" s="136" t="str">
        <f>D21</f>
        <v>*</v>
      </c>
      <c r="AS18" s="133" t="str">
        <f t="shared" ref="AS18:AT18" si="81">E21</f>
        <v>T</v>
      </c>
      <c r="AT18" s="139" t="str">
        <f t="shared" si="81"/>
        <v>*</v>
      </c>
      <c r="AU18" s="102" t="str">
        <f>D22</f>
        <v>*</v>
      </c>
      <c r="AV18" s="105" t="str">
        <f t="shared" ref="AV18:AW18" si="82">E22</f>
        <v>*</v>
      </c>
      <c r="AW18" s="134" t="str">
        <f t="shared" si="82"/>
        <v>*</v>
      </c>
      <c r="AX18" s="25"/>
      <c r="AY18" s="132" t="str">
        <f>J20</f>
        <v>F</v>
      </c>
      <c r="AZ18" s="135" t="str">
        <f t="shared" ref="AZ18:BA18" si="83">K20</f>
        <v>*</v>
      </c>
      <c r="BA18" s="137" t="str">
        <f t="shared" si="83"/>
        <v>T</v>
      </c>
      <c r="BB18" s="136" t="str">
        <f>J21</f>
        <v>*</v>
      </c>
      <c r="BC18" s="133" t="str">
        <f t="shared" ref="BC18:BD18" si="84">K21</f>
        <v>*</v>
      </c>
      <c r="BD18" s="139" t="str">
        <f t="shared" si="84"/>
        <v>*</v>
      </c>
      <c r="BE18" s="102" t="str">
        <f>J22</f>
        <v>T</v>
      </c>
      <c r="BF18" s="105" t="str">
        <f t="shared" ref="BF18:BG18" si="85">K22</f>
        <v>*</v>
      </c>
      <c r="BG18" s="134" t="str">
        <f t="shared" si="85"/>
        <v>*</v>
      </c>
      <c r="BH18" s="25"/>
      <c r="BI18" s="132" t="str">
        <f>P20</f>
        <v>*</v>
      </c>
      <c r="BJ18" s="135" t="str">
        <f t="shared" ref="BJ18:BK18" si="86">Q20</f>
        <v>*</v>
      </c>
      <c r="BK18" s="137" t="str">
        <f t="shared" si="86"/>
        <v>*</v>
      </c>
      <c r="BL18" s="136" t="str">
        <f>P21</f>
        <v>*</v>
      </c>
      <c r="BM18" s="133" t="str">
        <f t="shared" ref="BM18:BN18" si="87">Q21</f>
        <v>*</v>
      </c>
      <c r="BN18" s="139" t="str">
        <f t="shared" si="87"/>
        <v>*</v>
      </c>
      <c r="BO18" s="102" t="str">
        <f>P22</f>
        <v>*</v>
      </c>
      <c r="BP18" s="105" t="str">
        <f t="shared" ref="BP18:BQ18" si="88">Q22</f>
        <v>*</v>
      </c>
      <c r="BQ18" s="134" t="str">
        <f t="shared" si="88"/>
        <v>*</v>
      </c>
      <c r="BR18" s="28"/>
      <c r="BS18"/>
      <c r="BT18" s="24" t="str">
        <f>AM18</f>
        <v>Borders</v>
      </c>
      <c r="BU18" s="29" t="str">
        <f>CONCATENATE(AO18,AP18,AQ18,AR18,AS18,AT18,AU18,AV18,AW18)</f>
        <v>F***T****</v>
      </c>
      <c r="BV18" s="30" t="str">
        <f>CONCATENATE(AY18,AZ18,BA18,BB18,BC18,BD18,BE18,BF18,BG18)</f>
        <v>F*T***T**</v>
      </c>
      <c r="BW18" s="31" t="str">
        <f>CONCATENATE(BI18,BJ18,BK18,BL18,BM18,BN18,BO18,BP18,BQ18)</f>
        <v>*********</v>
      </c>
    </row>
    <row r="19" spans="1:75" s="13" customFormat="1" ht="15" customHeight="1" thickTop="1" thickBot="1" x14ac:dyDescent="0.3">
      <c r="A19" s="225"/>
      <c r="B19" s="21"/>
      <c r="C19" s="16" t="s">
        <v>36</v>
      </c>
      <c r="D19" s="13" t="s">
        <v>37</v>
      </c>
      <c r="E19" s="13" t="s">
        <v>32</v>
      </c>
      <c r="F19" s="13" t="s">
        <v>38</v>
      </c>
      <c r="G19" s="17"/>
      <c r="I19" s="16" t="s">
        <v>36</v>
      </c>
      <c r="J19" s="13" t="s">
        <v>37</v>
      </c>
      <c r="K19" s="13" t="s">
        <v>32</v>
      </c>
      <c r="L19" s="13" t="s">
        <v>38</v>
      </c>
      <c r="M19" s="17"/>
      <c r="O19" s="16" t="s">
        <v>36</v>
      </c>
      <c r="P19" s="13" t="s">
        <v>37</v>
      </c>
      <c r="Q19" s="13" t="s">
        <v>32</v>
      </c>
      <c r="R19" s="13" t="s">
        <v>38</v>
      </c>
      <c r="S19"/>
      <c r="T19" s="225"/>
      <c r="U19" s="21"/>
      <c r="V19" s="16" t="s">
        <v>36</v>
      </c>
      <c r="W19" s="13" t="s">
        <v>37</v>
      </c>
      <c r="X19" s="13" t="s">
        <v>32</v>
      </c>
      <c r="Y19" s="13" t="s">
        <v>38</v>
      </c>
      <c r="Z19" s="17"/>
      <c r="AB19" s="16" t="s">
        <v>36</v>
      </c>
      <c r="AC19" s="13" t="s">
        <v>37</v>
      </c>
      <c r="AD19" s="13" t="s">
        <v>32</v>
      </c>
      <c r="AE19" s="13" t="s">
        <v>38</v>
      </c>
      <c r="AF19" s="17"/>
      <c r="AH19" s="16" t="s">
        <v>36</v>
      </c>
      <c r="AI19" s="13" t="s">
        <v>37</v>
      </c>
      <c r="AJ19" s="13" t="s">
        <v>32</v>
      </c>
      <c r="AK19" s="13" t="s">
        <v>38</v>
      </c>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row>
    <row r="20" spans="1:75" s="13" customFormat="1" ht="15" customHeight="1" thickTop="1" thickBot="1" x14ac:dyDescent="0.3">
      <c r="A20" s="225"/>
      <c r="B20" s="239" t="s">
        <v>39</v>
      </c>
      <c r="C20" s="13" t="s">
        <v>37</v>
      </c>
      <c r="D20" s="147" t="str">
        <f>'Descision Matrix'!AQ21</f>
        <v>F</v>
      </c>
      <c r="E20" s="148" t="str">
        <f>'Descision Matrix'!AR21</f>
        <v>*</v>
      </c>
      <c r="F20" s="149" t="str">
        <f>'Descision Matrix'!AS21</f>
        <v>*</v>
      </c>
      <c r="G20" s="17"/>
      <c r="H20" s="241" t="s">
        <v>39</v>
      </c>
      <c r="I20" s="13" t="s">
        <v>37</v>
      </c>
      <c r="J20" s="147" t="str">
        <f>'Descision Matrix'!AW21</f>
        <v>F</v>
      </c>
      <c r="K20" s="148" t="str">
        <f>'Descision Matrix'!AX21</f>
        <v>*</v>
      </c>
      <c r="L20" s="149" t="str">
        <f>'Descision Matrix'!AY21</f>
        <v>T</v>
      </c>
      <c r="M20" s="17"/>
      <c r="N20" s="242" t="s">
        <v>39</v>
      </c>
      <c r="O20" s="13" t="s">
        <v>37</v>
      </c>
      <c r="P20" s="147" t="str">
        <f>'Descision Matrix'!BC21</f>
        <v>*</v>
      </c>
      <c r="Q20" s="148" t="str">
        <f>'Descision Matrix'!BD21</f>
        <v>*</v>
      </c>
      <c r="R20" s="149" t="str">
        <f>'Descision Matrix'!BE21</f>
        <v>*</v>
      </c>
      <c r="S20"/>
      <c r="T20" s="225"/>
      <c r="U20" s="239" t="s">
        <v>39</v>
      </c>
      <c r="V20" s="13" t="s">
        <v>37</v>
      </c>
      <c r="W20" s="152" t="str">
        <f>D20</f>
        <v>F</v>
      </c>
      <c r="X20" s="153" t="str">
        <f>D21</f>
        <v>*</v>
      </c>
      <c r="Y20" s="154" t="str">
        <f>D22</f>
        <v>*</v>
      </c>
      <c r="Z20" s="17"/>
      <c r="AA20" s="241" t="s">
        <v>39</v>
      </c>
      <c r="AB20" s="13" t="s">
        <v>37</v>
      </c>
      <c r="AC20" s="152" t="str">
        <f>J20</f>
        <v>F</v>
      </c>
      <c r="AD20" s="153" t="str">
        <f>J21</f>
        <v>*</v>
      </c>
      <c r="AE20" s="154" t="str">
        <f>J22</f>
        <v>T</v>
      </c>
      <c r="AF20" s="17"/>
      <c r="AG20" s="242" t="s">
        <v>39</v>
      </c>
      <c r="AH20" s="13" t="s">
        <v>37</v>
      </c>
      <c r="AI20" s="152" t="str">
        <f>P20</f>
        <v>*</v>
      </c>
      <c r="AJ20" s="153" t="str">
        <f>P21</f>
        <v>*</v>
      </c>
      <c r="AK20" s="154" t="str">
        <f>P22</f>
        <v>*</v>
      </c>
      <c r="AL20"/>
      <c r="AM20" s="24" t="s">
        <v>13</v>
      </c>
      <c r="AN20" s="25"/>
      <c r="AO20" s="132" t="str">
        <f>W20</f>
        <v>F</v>
      </c>
      <c r="AP20" s="136" t="str">
        <f>X20</f>
        <v>*</v>
      </c>
      <c r="AQ20" s="138" t="str">
        <f>Y20</f>
        <v>*</v>
      </c>
      <c r="AR20" s="135" t="str">
        <f>W21</f>
        <v>*</v>
      </c>
      <c r="AS20" s="133" t="str">
        <f>X21</f>
        <v>T</v>
      </c>
      <c r="AT20" s="140" t="str">
        <f>Y21</f>
        <v>*</v>
      </c>
      <c r="AU20" s="101" t="str">
        <f>W22</f>
        <v>*</v>
      </c>
      <c r="AV20" s="104" t="str">
        <f>X22</f>
        <v>*</v>
      </c>
      <c r="AW20" s="134" t="str">
        <f>Y22</f>
        <v>*</v>
      </c>
      <c r="AX20" s="25"/>
      <c r="AY20" s="132" t="str">
        <f>AC20</f>
        <v>F</v>
      </c>
      <c r="AZ20" s="136" t="str">
        <f>AD20</f>
        <v>*</v>
      </c>
      <c r="BA20" s="138" t="str">
        <f>AE20</f>
        <v>T</v>
      </c>
      <c r="BB20" s="135" t="str">
        <f>AC21</f>
        <v>*</v>
      </c>
      <c r="BC20" s="133" t="str">
        <f>AD21</f>
        <v>*</v>
      </c>
      <c r="BD20" s="140" t="str">
        <f>AE21</f>
        <v>*</v>
      </c>
      <c r="BE20" s="101" t="str">
        <f>AC22</f>
        <v>T</v>
      </c>
      <c r="BF20" s="104" t="str">
        <f>AD22</f>
        <v>*</v>
      </c>
      <c r="BG20" s="134" t="str">
        <f>AE22</f>
        <v>*</v>
      </c>
      <c r="BH20" s="25"/>
      <c r="BI20" s="132" t="str">
        <f>AI20</f>
        <v>*</v>
      </c>
      <c r="BJ20" s="136" t="str">
        <f>AJ20</f>
        <v>*</v>
      </c>
      <c r="BK20" s="138" t="str">
        <f>AK20</f>
        <v>*</v>
      </c>
      <c r="BL20" s="135" t="str">
        <f>AI21</f>
        <v>*</v>
      </c>
      <c r="BM20" s="133" t="str">
        <f>AJ21</f>
        <v>*</v>
      </c>
      <c r="BN20" s="140" t="str">
        <f>AK21</f>
        <v>*</v>
      </c>
      <c r="BO20" s="101" t="str">
        <f>AI22</f>
        <v>*</v>
      </c>
      <c r="BP20" s="104" t="str">
        <f>AJ22</f>
        <v>*</v>
      </c>
      <c r="BQ20" s="134" t="str">
        <f>AK22</f>
        <v>*</v>
      </c>
      <c r="BR20" s="28"/>
      <c r="BS20"/>
      <c r="BT20"/>
      <c r="BU20"/>
      <c r="BV20"/>
      <c r="BW20"/>
    </row>
    <row r="21" spans="1:75" s="13" customFormat="1" ht="15" customHeight="1" x14ac:dyDescent="0.25">
      <c r="A21" s="225"/>
      <c r="B21" s="239"/>
      <c r="C21" s="13" t="s">
        <v>32</v>
      </c>
      <c r="D21" s="141" t="str">
        <f>'Descision Matrix'!AQ22</f>
        <v>*</v>
      </c>
      <c r="E21" s="142" t="str">
        <f>'Descision Matrix'!AR22</f>
        <v>T</v>
      </c>
      <c r="F21" s="143" t="str">
        <f>'Descision Matrix'!AS22</f>
        <v>*</v>
      </c>
      <c r="G21" s="17"/>
      <c r="H21" s="241"/>
      <c r="I21" s="13" t="s">
        <v>32</v>
      </c>
      <c r="J21" s="141" t="str">
        <f>'Descision Matrix'!AW22</f>
        <v>*</v>
      </c>
      <c r="K21" s="142" t="str">
        <f>'Descision Matrix'!AX22</f>
        <v>*</v>
      </c>
      <c r="L21" s="143" t="str">
        <f>'Descision Matrix'!AY22</f>
        <v>*</v>
      </c>
      <c r="M21" s="17"/>
      <c r="N21" s="242"/>
      <c r="O21" s="13" t="s">
        <v>32</v>
      </c>
      <c r="P21" s="141" t="str">
        <f>'Descision Matrix'!BC22</f>
        <v>*</v>
      </c>
      <c r="Q21" s="142" t="str">
        <f>'Descision Matrix'!BD22</f>
        <v>*</v>
      </c>
      <c r="R21" s="143" t="str">
        <f>'Descision Matrix'!BE22</f>
        <v>*</v>
      </c>
      <c r="S21"/>
      <c r="T21" s="225"/>
      <c r="U21" s="239"/>
      <c r="V21" s="13" t="s">
        <v>32</v>
      </c>
      <c r="W21" s="156" t="str">
        <f>E20</f>
        <v>*</v>
      </c>
      <c r="X21" s="157" t="str">
        <f>E21</f>
        <v>T</v>
      </c>
      <c r="Y21" s="158" t="str">
        <f>E22</f>
        <v>*</v>
      </c>
      <c r="Z21" s="17"/>
      <c r="AA21" s="241"/>
      <c r="AB21" s="13" t="s">
        <v>32</v>
      </c>
      <c r="AC21" s="156" t="str">
        <f>K20</f>
        <v>*</v>
      </c>
      <c r="AD21" s="157" t="str">
        <f>K21</f>
        <v>*</v>
      </c>
      <c r="AE21" s="158" t="str">
        <f>K22</f>
        <v>*</v>
      </c>
      <c r="AF21" s="17"/>
      <c r="AG21" s="242"/>
      <c r="AH21" s="13" t="s">
        <v>32</v>
      </c>
      <c r="AI21" s="156" t="str">
        <f>Q20</f>
        <v>*</v>
      </c>
      <c r="AJ21" s="157" t="str">
        <f>Q21</f>
        <v>*</v>
      </c>
      <c r="AK21" s="158" t="str">
        <f>Q22</f>
        <v>*</v>
      </c>
      <c r="AL21"/>
      <c r="AM21" s="171"/>
      <c r="AN21" s="171"/>
      <c r="AO21" s="171" t="str">
        <f>IF(AO18=AO20,"","X")</f>
        <v/>
      </c>
      <c r="AP21" s="171" t="str">
        <f t="shared" ref="AP21" si="89">IF(AP18=AP20,"","X")</f>
        <v/>
      </c>
      <c r="AQ21" s="171" t="str">
        <f t="shared" ref="AQ21" si="90">IF(AQ18=AQ20,"","X")</f>
        <v/>
      </c>
      <c r="AR21" s="171" t="str">
        <f t="shared" ref="AR21" si="91">IF(AR18=AR20,"","X")</f>
        <v/>
      </c>
      <c r="AS21" s="171" t="str">
        <f t="shared" ref="AS21" si="92">IF(AS18=AS20,"","X")</f>
        <v/>
      </c>
      <c r="AT21" s="171" t="str">
        <f t="shared" ref="AT21" si="93">IF(AT18=AT20,"","X")</f>
        <v/>
      </c>
      <c r="AU21" s="171" t="str">
        <f t="shared" ref="AU21" si="94">IF(AU18=AU20,"","X")</f>
        <v/>
      </c>
      <c r="AV21" s="171" t="str">
        <f t="shared" ref="AV21" si="95">IF(AV18=AV20,"","X")</f>
        <v/>
      </c>
      <c r="AW21" s="171" t="str">
        <f t="shared" ref="AW21" si="96">IF(AW18=AW20,"","X")</f>
        <v/>
      </c>
      <c r="AX21" s="171"/>
      <c r="AY21" s="171" t="str">
        <f t="shared" ref="AY21" si="97">IF(AY18=AY20,"","X")</f>
        <v/>
      </c>
      <c r="AZ21" s="171" t="str">
        <f t="shared" ref="AZ21" si="98">IF(AZ18=AZ20,"","X")</f>
        <v/>
      </c>
      <c r="BA21" s="171" t="str">
        <f t="shared" ref="BA21" si="99">IF(BA18=BA20,"","X")</f>
        <v/>
      </c>
      <c r="BB21" s="171" t="str">
        <f t="shared" ref="BB21" si="100">IF(BB18=BB20,"","X")</f>
        <v/>
      </c>
      <c r="BC21" s="171" t="str">
        <f t="shared" ref="BC21" si="101">IF(BC18=BC20,"","X")</f>
        <v/>
      </c>
      <c r="BD21" s="171" t="str">
        <f t="shared" ref="BD21" si="102">IF(BD18=BD20,"","X")</f>
        <v/>
      </c>
      <c r="BE21" s="171" t="str">
        <f t="shared" ref="BE21" si="103">IF(BE18=BE20,"","X")</f>
        <v/>
      </c>
      <c r="BF21" s="171" t="str">
        <f t="shared" ref="BF21" si="104">IF(BF18=BF20,"","X")</f>
        <v/>
      </c>
      <c r="BG21" s="171" t="str">
        <f t="shared" ref="BG21" si="105">IF(BG18=BG20,"","X")</f>
        <v/>
      </c>
      <c r="BH21" s="171"/>
      <c r="BI21" s="171" t="str">
        <f t="shared" ref="BI21" si="106">IF(BI18=BI20,"","X")</f>
        <v/>
      </c>
      <c r="BJ21" s="171" t="str">
        <f t="shared" ref="BJ21" si="107">IF(BJ18=BJ20,"","X")</f>
        <v/>
      </c>
      <c r="BK21" s="171" t="str">
        <f t="shared" ref="BK21" si="108">IF(BK18=BK20,"","X")</f>
        <v/>
      </c>
      <c r="BL21" s="171" t="str">
        <f t="shared" ref="BL21" si="109">IF(BL18=BL20,"","X")</f>
        <v/>
      </c>
      <c r="BM21" s="171" t="str">
        <f t="shared" ref="BM21" si="110">IF(BM18=BM20,"","X")</f>
        <v/>
      </c>
      <c r="BN21" s="171" t="str">
        <f t="shared" ref="BN21" si="111">IF(BN18=BN20,"","X")</f>
        <v/>
      </c>
      <c r="BO21" s="171" t="str">
        <f t="shared" ref="BO21" si="112">IF(BO18=BO20,"","X")</f>
        <v/>
      </c>
      <c r="BP21" s="171" t="str">
        <f t="shared" ref="BP21" si="113">IF(BP18=BP20,"","X")</f>
        <v/>
      </c>
      <c r="BQ21" s="171" t="str">
        <f t="shared" ref="BQ21" si="114">IF(BQ18=BQ20,"","X")</f>
        <v/>
      </c>
      <c r="BR21"/>
      <c r="BS21"/>
      <c r="BT21"/>
      <c r="BU21"/>
      <c r="BV21"/>
      <c r="BW21"/>
    </row>
    <row r="22" spans="1:75" s="13" customFormat="1" ht="15" customHeight="1" thickBot="1" x14ac:dyDescent="0.3">
      <c r="A22" s="226"/>
      <c r="B22" s="240"/>
      <c r="C22" s="13" t="s">
        <v>38</v>
      </c>
      <c r="D22" s="144" t="str">
        <f>'Descision Matrix'!AQ23</f>
        <v>*</v>
      </c>
      <c r="E22" s="145" t="str">
        <f>'Descision Matrix'!AR23</f>
        <v>*</v>
      </c>
      <c r="F22" s="162" t="str">
        <f>'Descision Matrix'!AS23</f>
        <v>*</v>
      </c>
      <c r="G22" s="19"/>
      <c r="H22" s="206"/>
      <c r="I22" s="13" t="s">
        <v>38</v>
      </c>
      <c r="J22" s="144" t="str">
        <f>'Descision Matrix'!AW23</f>
        <v>T</v>
      </c>
      <c r="K22" s="145" t="str">
        <f>'Descision Matrix'!AX23</f>
        <v>*</v>
      </c>
      <c r="L22" s="162" t="str">
        <f>'Descision Matrix'!AY23</f>
        <v>*</v>
      </c>
      <c r="M22" s="19"/>
      <c r="N22" s="208"/>
      <c r="O22" s="13" t="s">
        <v>38</v>
      </c>
      <c r="P22" s="144" t="str">
        <f>'Descision Matrix'!BC23</f>
        <v>*</v>
      </c>
      <c r="Q22" s="145" t="str">
        <f>'Descision Matrix'!BD23</f>
        <v>*</v>
      </c>
      <c r="R22" s="162" t="str">
        <f>'Descision Matrix'!BE23</f>
        <v>*</v>
      </c>
      <c r="S22"/>
      <c r="T22" s="226"/>
      <c r="U22" s="240"/>
      <c r="V22" s="13" t="s">
        <v>38</v>
      </c>
      <c r="W22" s="160" t="str">
        <f>F20</f>
        <v>*</v>
      </c>
      <c r="X22" s="161" t="str">
        <f>F21</f>
        <v>*</v>
      </c>
      <c r="Y22" s="163" t="str">
        <f>F22</f>
        <v>*</v>
      </c>
      <c r="Z22" s="19"/>
      <c r="AA22" s="206"/>
      <c r="AB22" s="13" t="s">
        <v>38</v>
      </c>
      <c r="AC22" s="160" t="str">
        <f>L20</f>
        <v>T</v>
      </c>
      <c r="AD22" s="161" t="str">
        <f>L21</f>
        <v>*</v>
      </c>
      <c r="AE22" s="163" t="str">
        <f>L22</f>
        <v>*</v>
      </c>
      <c r="AF22" s="19"/>
      <c r="AG22" s="208"/>
      <c r="AH22" s="13" t="s">
        <v>38</v>
      </c>
      <c r="AI22" s="160" t="str">
        <f>R20</f>
        <v>*</v>
      </c>
      <c r="AJ22" s="161" t="str">
        <f>R21</f>
        <v>*</v>
      </c>
      <c r="AK22" s="163" t="str">
        <f>R22</f>
        <v>*</v>
      </c>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row>
    <row r="23" spans="1:75" s="13" customFormat="1" ht="15" customHeight="1" thickTop="1" thickBot="1" x14ac:dyDescent="0.3">
      <c r="A23" s="224" t="s">
        <v>47</v>
      </c>
      <c r="B23" s="20"/>
      <c r="C23" s="11"/>
      <c r="D23" s="220" t="s">
        <v>32</v>
      </c>
      <c r="E23" s="220"/>
      <c r="F23" s="220"/>
      <c r="G23" s="12"/>
      <c r="H23" s="11"/>
      <c r="I23" s="11"/>
      <c r="J23" s="220" t="s">
        <v>32</v>
      </c>
      <c r="K23" s="220"/>
      <c r="L23" s="220"/>
      <c r="M23" s="12"/>
      <c r="N23" s="11"/>
      <c r="O23" s="11"/>
      <c r="P23" s="220" t="s">
        <v>32</v>
      </c>
      <c r="Q23" s="220"/>
      <c r="R23" s="220"/>
      <c r="S23"/>
      <c r="T23" s="224" t="s">
        <v>64</v>
      </c>
      <c r="U23" s="20"/>
      <c r="V23" s="11"/>
      <c r="W23" s="220" t="s">
        <v>32</v>
      </c>
      <c r="X23" s="220"/>
      <c r="Y23" s="220"/>
      <c r="Z23" s="12"/>
      <c r="AA23" s="11"/>
      <c r="AB23" s="11"/>
      <c r="AC23" s="220" t="s">
        <v>32</v>
      </c>
      <c r="AD23" s="220"/>
      <c r="AE23" s="220"/>
      <c r="AF23" s="12"/>
      <c r="AG23" s="11"/>
      <c r="AH23" s="11"/>
      <c r="AI23" s="220" t="s">
        <v>32</v>
      </c>
      <c r="AJ23" s="220"/>
      <c r="AK23" s="220"/>
      <c r="AL23"/>
      <c r="AM23" s="24" t="s">
        <v>15</v>
      </c>
      <c r="AN23" s="25"/>
      <c r="AO23" s="132" t="str">
        <f>D25</f>
        <v>F</v>
      </c>
      <c r="AP23" s="135" t="str">
        <f t="shared" ref="AP23:AQ23" si="115">E25</f>
        <v>*</v>
      </c>
      <c r="AQ23" s="137" t="str">
        <f t="shared" si="115"/>
        <v>*</v>
      </c>
      <c r="AR23" s="136" t="str">
        <f>D26</f>
        <v>*</v>
      </c>
      <c r="AS23" s="133" t="str">
        <f t="shared" ref="AS23:AT23" si="116">E26</f>
        <v>T</v>
      </c>
      <c r="AT23" s="139" t="str">
        <f t="shared" si="116"/>
        <v>*</v>
      </c>
      <c r="AU23" s="102" t="str">
        <f>D27</f>
        <v>*</v>
      </c>
      <c r="AV23" s="105" t="str">
        <f t="shared" ref="AV23:AW23" si="117">E27</f>
        <v>*</v>
      </c>
      <c r="AW23" s="134" t="str">
        <f t="shared" si="117"/>
        <v>*</v>
      </c>
      <c r="AX23" s="25"/>
      <c r="AY23" s="132" t="str">
        <f>J25</f>
        <v>T</v>
      </c>
      <c r="AZ23" s="135" t="str">
        <f t="shared" ref="AZ23:BA23" si="118">K25</f>
        <v>*</v>
      </c>
      <c r="BA23" s="137" t="str">
        <f t="shared" si="118"/>
        <v>T</v>
      </c>
      <c r="BB23" s="136" t="str">
        <f>J26</f>
        <v>*</v>
      </c>
      <c r="BC23" s="133" t="str">
        <f t="shared" ref="BC23:BD23" si="119">K26</f>
        <v>*</v>
      </c>
      <c r="BD23" s="139" t="str">
        <f t="shared" si="119"/>
        <v>*</v>
      </c>
      <c r="BE23" s="102" t="str">
        <f>J27</f>
        <v>F</v>
      </c>
      <c r="BF23" s="105" t="str">
        <f t="shared" ref="BF23:BG23" si="120">K27</f>
        <v>*</v>
      </c>
      <c r="BG23" s="134" t="str">
        <f t="shared" si="120"/>
        <v>*</v>
      </c>
      <c r="BH23" s="25"/>
      <c r="BI23" s="132" t="str">
        <f>P25</f>
        <v>*</v>
      </c>
      <c r="BJ23" s="135" t="str">
        <f t="shared" ref="BJ23:BK23" si="121">Q25</f>
        <v>*</v>
      </c>
      <c r="BK23" s="137" t="str">
        <f t="shared" si="121"/>
        <v>*</v>
      </c>
      <c r="BL23" s="136" t="str">
        <f>P26</f>
        <v>*</v>
      </c>
      <c r="BM23" s="133" t="str">
        <f t="shared" ref="BM23:BN23" si="122">Q26</f>
        <v>*</v>
      </c>
      <c r="BN23" s="139" t="str">
        <f t="shared" si="122"/>
        <v>*</v>
      </c>
      <c r="BO23" s="102" t="str">
        <f>P27</f>
        <v>*</v>
      </c>
      <c r="BP23" s="105" t="str">
        <f t="shared" ref="BP23:BQ23" si="123">Q27</f>
        <v>*</v>
      </c>
      <c r="BQ23" s="134" t="str">
        <f t="shared" si="123"/>
        <v>*</v>
      </c>
      <c r="BR23" s="28"/>
      <c r="BS23"/>
      <c r="BT23" s="24" t="str">
        <f>AM23</f>
        <v>Confines</v>
      </c>
      <c r="BU23" s="29" t="str">
        <f>CONCATENATE(AO23,AP23,AQ23,AR23,AS23,AT23,AU23,AV23,AW23)</f>
        <v>F***T****</v>
      </c>
      <c r="BV23" s="30" t="str">
        <f>CONCATENATE(AY23,AZ23,BA23,BB23,BC23,BD23,BE23,BF23,BG23)</f>
        <v>T*T***F**</v>
      </c>
      <c r="BW23" s="31" t="str">
        <f>CONCATENATE(BI23,BJ23,BK23,BL23,BM23,BN23,BO23,BP23,BQ23)</f>
        <v>*********</v>
      </c>
    </row>
    <row r="24" spans="1:75" s="13" customFormat="1" ht="15" customHeight="1" thickTop="1" thickBot="1" x14ac:dyDescent="0.3">
      <c r="A24" s="225"/>
      <c r="B24" s="21"/>
      <c r="C24" s="16" t="s">
        <v>36</v>
      </c>
      <c r="D24" s="13" t="s">
        <v>37</v>
      </c>
      <c r="E24" s="13" t="s">
        <v>32</v>
      </c>
      <c r="F24" s="13" t="s">
        <v>38</v>
      </c>
      <c r="G24" s="17"/>
      <c r="I24" s="16" t="s">
        <v>36</v>
      </c>
      <c r="J24" s="13" t="s">
        <v>37</v>
      </c>
      <c r="K24" s="13" t="s">
        <v>32</v>
      </c>
      <c r="L24" s="13" t="s">
        <v>38</v>
      </c>
      <c r="M24" s="17"/>
      <c r="O24" s="16" t="s">
        <v>36</v>
      </c>
      <c r="P24" s="13" t="s">
        <v>37</v>
      </c>
      <c r="Q24" s="13" t="s">
        <v>32</v>
      </c>
      <c r="R24" s="13" t="s">
        <v>38</v>
      </c>
      <c r="S24"/>
      <c r="T24" s="225"/>
      <c r="U24" s="21"/>
      <c r="V24" s="16" t="s">
        <v>36</v>
      </c>
      <c r="W24" s="13" t="s">
        <v>37</v>
      </c>
      <c r="X24" s="13" t="s">
        <v>32</v>
      </c>
      <c r="Y24" s="13" t="s">
        <v>38</v>
      </c>
      <c r="Z24" s="17"/>
      <c r="AB24" s="16" t="s">
        <v>36</v>
      </c>
      <c r="AC24" s="13" t="s">
        <v>37</v>
      </c>
      <c r="AD24" s="13" t="s">
        <v>32</v>
      </c>
      <c r="AE24" s="13" t="s">
        <v>38</v>
      </c>
      <c r="AF24" s="17"/>
      <c r="AH24" s="16" t="s">
        <v>36</v>
      </c>
      <c r="AI24" s="13" t="s">
        <v>37</v>
      </c>
      <c r="AJ24" s="13" t="s">
        <v>32</v>
      </c>
      <c r="AK24" s="13" t="s">
        <v>38</v>
      </c>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row>
    <row r="25" spans="1:75" s="13" customFormat="1" ht="15" customHeight="1" thickTop="1" thickBot="1" x14ac:dyDescent="0.3">
      <c r="A25" s="225"/>
      <c r="B25" s="239" t="s">
        <v>39</v>
      </c>
      <c r="C25" s="13" t="s">
        <v>37</v>
      </c>
      <c r="D25" s="147" t="str">
        <f>'Descision Matrix'!AQ27</f>
        <v>F</v>
      </c>
      <c r="E25" s="148" t="str">
        <f>'Descision Matrix'!AR27</f>
        <v>*</v>
      </c>
      <c r="F25" s="149" t="str">
        <f>'Descision Matrix'!AS27</f>
        <v>*</v>
      </c>
      <c r="G25" s="17"/>
      <c r="H25" s="241" t="s">
        <v>39</v>
      </c>
      <c r="I25" s="13" t="s">
        <v>37</v>
      </c>
      <c r="J25" s="147" t="str">
        <f>'Descision Matrix'!AW27</f>
        <v>T</v>
      </c>
      <c r="K25" s="148" t="str">
        <f>'Descision Matrix'!AX27</f>
        <v>*</v>
      </c>
      <c r="L25" s="149" t="str">
        <f>'Descision Matrix'!AY27</f>
        <v>T</v>
      </c>
      <c r="M25" s="17"/>
      <c r="N25" s="242" t="s">
        <v>39</v>
      </c>
      <c r="O25" s="13" t="s">
        <v>37</v>
      </c>
      <c r="P25" s="147" t="str">
        <f>'Descision Matrix'!BC27</f>
        <v>*</v>
      </c>
      <c r="Q25" s="148" t="str">
        <f>'Descision Matrix'!BD27</f>
        <v>*</v>
      </c>
      <c r="R25" s="149" t="str">
        <f>'Descision Matrix'!BE27</f>
        <v>*</v>
      </c>
      <c r="S25"/>
      <c r="T25" s="225"/>
      <c r="U25" s="239" t="s">
        <v>39</v>
      </c>
      <c r="V25" s="13" t="s">
        <v>37</v>
      </c>
      <c r="W25" s="152" t="str">
        <f>D25</f>
        <v>F</v>
      </c>
      <c r="X25" s="153" t="str">
        <f>D26</f>
        <v>*</v>
      </c>
      <c r="Y25" s="154" t="str">
        <f>D27</f>
        <v>*</v>
      </c>
      <c r="Z25" s="17"/>
      <c r="AA25" s="241" t="s">
        <v>39</v>
      </c>
      <c r="AB25" s="13" t="s">
        <v>37</v>
      </c>
      <c r="AC25" s="89" t="str">
        <f>J25</f>
        <v>T</v>
      </c>
      <c r="AD25" s="89" t="str">
        <f>J26</f>
        <v>*</v>
      </c>
      <c r="AE25" s="89" t="str">
        <f>J27</f>
        <v>F</v>
      </c>
      <c r="AF25" s="17"/>
      <c r="AG25" s="242" t="s">
        <v>39</v>
      </c>
      <c r="AH25" s="13" t="s">
        <v>37</v>
      </c>
      <c r="AI25" s="152" t="str">
        <f>P25</f>
        <v>*</v>
      </c>
      <c r="AJ25" s="153" t="str">
        <f>P26</f>
        <v>*</v>
      </c>
      <c r="AK25" s="154" t="str">
        <f>P27</f>
        <v>*</v>
      </c>
      <c r="AL25"/>
      <c r="AM25" s="24" t="s">
        <v>16</v>
      </c>
      <c r="AN25" s="25"/>
      <c r="AO25" s="132" t="str">
        <f>W25</f>
        <v>F</v>
      </c>
      <c r="AP25" s="136" t="str">
        <f>X25</f>
        <v>*</v>
      </c>
      <c r="AQ25" s="138" t="str">
        <f>Y25</f>
        <v>*</v>
      </c>
      <c r="AR25" s="135" t="str">
        <f>W26</f>
        <v>*</v>
      </c>
      <c r="AS25" s="133" t="str">
        <f>X26</f>
        <v>T</v>
      </c>
      <c r="AT25" s="140" t="str">
        <f>Y26</f>
        <v>*</v>
      </c>
      <c r="AU25" s="101" t="str">
        <f>W27</f>
        <v>*</v>
      </c>
      <c r="AV25" s="104" t="str">
        <f>X27</f>
        <v>*</v>
      </c>
      <c r="AW25" s="134" t="str">
        <f>Y27</f>
        <v>*</v>
      </c>
      <c r="AX25" s="25"/>
      <c r="AY25" s="132" t="str">
        <f>AC25</f>
        <v>T</v>
      </c>
      <c r="AZ25" s="136" t="str">
        <f>AD25</f>
        <v>*</v>
      </c>
      <c r="BA25" s="138" t="str">
        <f>AE25</f>
        <v>F</v>
      </c>
      <c r="BB25" s="135" t="str">
        <f>AC26</f>
        <v>*</v>
      </c>
      <c r="BC25" s="133" t="str">
        <f>AD26</f>
        <v>*</v>
      </c>
      <c r="BD25" s="140" t="str">
        <f>AE26</f>
        <v>*</v>
      </c>
      <c r="BE25" s="101" t="str">
        <f>AC27</f>
        <v>T</v>
      </c>
      <c r="BF25" s="104" t="str">
        <f>AD27</f>
        <v>*</v>
      </c>
      <c r="BG25" s="134" t="str">
        <f>AE27</f>
        <v>*</v>
      </c>
      <c r="BH25" s="25"/>
      <c r="BI25" s="132" t="str">
        <f>AI25</f>
        <v>*</v>
      </c>
      <c r="BJ25" s="136" t="str">
        <f>AJ25</f>
        <v>*</v>
      </c>
      <c r="BK25" s="138" t="str">
        <f>AK25</f>
        <v>*</v>
      </c>
      <c r="BL25" s="135" t="str">
        <f>AI26</f>
        <v>*</v>
      </c>
      <c r="BM25" s="133" t="str">
        <f>AJ26</f>
        <v>*</v>
      </c>
      <c r="BN25" s="140" t="str">
        <f>AK26</f>
        <v>*</v>
      </c>
      <c r="BO25" s="101" t="str">
        <f>AI27</f>
        <v>*</v>
      </c>
      <c r="BP25" s="104" t="str">
        <f>AJ27</f>
        <v>*</v>
      </c>
      <c r="BQ25" s="134" t="str">
        <f>AK27</f>
        <v>*</v>
      </c>
      <c r="BR25" s="28"/>
      <c r="BS25"/>
      <c r="BT25" s="24" t="str">
        <f>AM25</f>
        <v>Confined</v>
      </c>
      <c r="BU25" s="29" t="str">
        <f>CONCATENATE(AO25,AP25,AQ25,AR25,AS25,AT25,AU25,AV25,AW25)</f>
        <v>F***T****</v>
      </c>
      <c r="BV25" s="30" t="str">
        <f>CONCATENATE(AY25,AZ25,BA25,BB25,BC25,BD25,BE25,BF25,BG25)</f>
        <v>T*F***T**</v>
      </c>
      <c r="BW25" s="31" t="str">
        <f>CONCATENATE(BI25,BJ25,BK25,BL25,BM25,BN25,BO25,BP25,BQ25)</f>
        <v>*********</v>
      </c>
    </row>
    <row r="26" spans="1:75" s="13" customFormat="1" ht="15" customHeight="1" x14ac:dyDescent="0.25">
      <c r="A26" s="225"/>
      <c r="B26" s="239"/>
      <c r="C26" s="13" t="s">
        <v>32</v>
      </c>
      <c r="D26" s="141" t="str">
        <f>'Descision Matrix'!AQ28</f>
        <v>*</v>
      </c>
      <c r="E26" s="142" t="str">
        <f>'Descision Matrix'!AR28</f>
        <v>T</v>
      </c>
      <c r="F26" s="143" t="str">
        <f>'Descision Matrix'!AS28</f>
        <v>*</v>
      </c>
      <c r="G26" s="17"/>
      <c r="H26" s="241"/>
      <c r="I26" s="13" t="s">
        <v>32</v>
      </c>
      <c r="J26" s="141" t="str">
        <f>'Descision Matrix'!AW28</f>
        <v>*</v>
      </c>
      <c r="K26" s="142" t="str">
        <f>'Descision Matrix'!AX28</f>
        <v>*</v>
      </c>
      <c r="L26" s="143" t="str">
        <f>'Descision Matrix'!AY28</f>
        <v>*</v>
      </c>
      <c r="M26" s="17"/>
      <c r="N26" s="242"/>
      <c r="O26" s="13" t="s">
        <v>32</v>
      </c>
      <c r="P26" s="141" t="str">
        <f>'Descision Matrix'!BC28</f>
        <v>*</v>
      </c>
      <c r="Q26" s="142" t="str">
        <f>'Descision Matrix'!BD28</f>
        <v>*</v>
      </c>
      <c r="R26" s="143" t="str">
        <f>'Descision Matrix'!BE28</f>
        <v>*</v>
      </c>
      <c r="S26"/>
      <c r="T26" s="225"/>
      <c r="U26" s="239"/>
      <c r="V26" s="13" t="s">
        <v>32</v>
      </c>
      <c r="W26" s="156" t="str">
        <f>E25</f>
        <v>*</v>
      </c>
      <c r="X26" s="157" t="str">
        <f>E26</f>
        <v>T</v>
      </c>
      <c r="Y26" s="158" t="str">
        <f>E27</f>
        <v>*</v>
      </c>
      <c r="Z26" s="17"/>
      <c r="AA26" s="241"/>
      <c r="AB26" s="13" t="s">
        <v>32</v>
      </c>
      <c r="AC26" s="91" t="str">
        <f>K25</f>
        <v>*</v>
      </c>
      <c r="AD26" s="91" t="str">
        <f>K26</f>
        <v>*</v>
      </c>
      <c r="AE26" s="91" t="str">
        <f>K27</f>
        <v>*</v>
      </c>
      <c r="AF26" s="17"/>
      <c r="AG26" s="242"/>
      <c r="AH26" s="13" t="s">
        <v>32</v>
      </c>
      <c r="AI26" s="156" t="str">
        <f>Q25</f>
        <v>*</v>
      </c>
      <c r="AJ26" s="157" t="str">
        <f>Q26</f>
        <v>*</v>
      </c>
      <c r="AK26" s="158" t="str">
        <f>Q27</f>
        <v>*</v>
      </c>
      <c r="AL26"/>
      <c r="AM26" s="171"/>
      <c r="AN26" s="171"/>
      <c r="AO26" s="171" t="str">
        <f>IF(AO23=AO25,"","X")</f>
        <v/>
      </c>
      <c r="AP26" s="171" t="str">
        <f t="shared" ref="AP26" si="124">IF(AP23=AP25,"","X")</f>
        <v/>
      </c>
      <c r="AQ26" s="171" t="str">
        <f t="shared" ref="AQ26" si="125">IF(AQ23=AQ25,"","X")</f>
        <v/>
      </c>
      <c r="AR26" s="171" t="str">
        <f t="shared" ref="AR26" si="126">IF(AR23=AR25,"","X")</f>
        <v/>
      </c>
      <c r="AS26" s="171" t="str">
        <f t="shared" ref="AS26" si="127">IF(AS23=AS25,"","X")</f>
        <v/>
      </c>
      <c r="AT26" s="171" t="str">
        <f t="shared" ref="AT26" si="128">IF(AT23=AT25,"","X")</f>
        <v/>
      </c>
      <c r="AU26" s="171" t="str">
        <f t="shared" ref="AU26" si="129">IF(AU23=AU25,"","X")</f>
        <v/>
      </c>
      <c r="AV26" s="171" t="str">
        <f t="shared" ref="AV26" si="130">IF(AV23=AV25,"","X")</f>
        <v/>
      </c>
      <c r="AW26" s="171" t="str">
        <f t="shared" ref="AW26" si="131">IF(AW23=AW25,"","X")</f>
        <v/>
      </c>
      <c r="AX26" s="171"/>
      <c r="AY26" s="171" t="str">
        <f t="shared" ref="AY26" si="132">IF(AY23=AY25,"","X")</f>
        <v/>
      </c>
      <c r="AZ26" s="171" t="str">
        <f t="shared" ref="AZ26" si="133">IF(AZ23=AZ25,"","X")</f>
        <v/>
      </c>
      <c r="BA26" s="171" t="str">
        <f t="shared" ref="BA26" si="134">IF(BA23=BA25,"","X")</f>
        <v>X</v>
      </c>
      <c r="BB26" s="171" t="str">
        <f t="shared" ref="BB26" si="135">IF(BB23=BB25,"","X")</f>
        <v/>
      </c>
      <c r="BC26" s="171" t="str">
        <f t="shared" ref="BC26" si="136">IF(BC23=BC25,"","X")</f>
        <v/>
      </c>
      <c r="BD26" s="171" t="str">
        <f t="shared" ref="BD26" si="137">IF(BD23=BD25,"","X")</f>
        <v/>
      </c>
      <c r="BE26" s="171" t="str">
        <f t="shared" ref="BE26" si="138">IF(BE23=BE25,"","X")</f>
        <v>X</v>
      </c>
      <c r="BF26" s="171" t="str">
        <f t="shared" ref="BF26" si="139">IF(BF23=BF25,"","X")</f>
        <v/>
      </c>
      <c r="BG26" s="171" t="str">
        <f t="shared" ref="BG26" si="140">IF(BG23=BG25,"","X")</f>
        <v/>
      </c>
      <c r="BH26" s="171"/>
      <c r="BI26" s="171" t="str">
        <f t="shared" ref="BI26" si="141">IF(BI23=BI25,"","X")</f>
        <v/>
      </c>
      <c r="BJ26" s="171" t="str">
        <f t="shared" ref="BJ26" si="142">IF(BJ23=BJ25,"","X")</f>
        <v/>
      </c>
      <c r="BK26" s="171" t="str">
        <f t="shared" ref="BK26" si="143">IF(BK23=BK25,"","X")</f>
        <v/>
      </c>
      <c r="BL26" s="171" t="str">
        <f t="shared" ref="BL26" si="144">IF(BL23=BL25,"","X")</f>
        <v/>
      </c>
      <c r="BM26" s="171" t="str">
        <f t="shared" ref="BM26" si="145">IF(BM23=BM25,"","X")</f>
        <v/>
      </c>
      <c r="BN26" s="171" t="str">
        <f t="shared" ref="BN26" si="146">IF(BN23=BN25,"","X")</f>
        <v/>
      </c>
      <c r="BO26" s="171" t="str">
        <f t="shared" ref="BO26" si="147">IF(BO23=BO25,"","X")</f>
        <v/>
      </c>
      <c r="BP26" s="171" t="str">
        <f t="shared" ref="BP26" si="148">IF(BP23=BP25,"","X")</f>
        <v/>
      </c>
      <c r="BQ26" s="171" t="str">
        <f t="shared" ref="BQ26" si="149">IF(BQ23=BQ25,"","X")</f>
        <v/>
      </c>
      <c r="BR26"/>
      <c r="BS26"/>
      <c r="BT26"/>
      <c r="BU26"/>
      <c r="BV26"/>
      <c r="BW26"/>
    </row>
    <row r="27" spans="1:75" s="13" customFormat="1" ht="15" customHeight="1" thickBot="1" x14ac:dyDescent="0.3">
      <c r="A27" s="230"/>
      <c r="B27" s="240"/>
      <c r="C27" s="13" t="s">
        <v>38</v>
      </c>
      <c r="D27" s="144" t="str">
        <f>'Descision Matrix'!AQ29</f>
        <v>*</v>
      </c>
      <c r="E27" s="145" t="str">
        <f>'Descision Matrix'!AR29</f>
        <v>*</v>
      </c>
      <c r="F27" s="162" t="str">
        <f>'Descision Matrix'!AS29</f>
        <v>*</v>
      </c>
      <c r="G27" s="19"/>
      <c r="H27" s="206"/>
      <c r="I27" s="13" t="s">
        <v>38</v>
      </c>
      <c r="J27" s="144" t="str">
        <f>'Descision Matrix'!AW29</f>
        <v>F</v>
      </c>
      <c r="K27" s="145" t="str">
        <f>'Descision Matrix'!AX29</f>
        <v>*</v>
      </c>
      <c r="L27" s="162" t="str">
        <f>'Descision Matrix'!AY29</f>
        <v>*</v>
      </c>
      <c r="M27" s="19"/>
      <c r="N27" s="208"/>
      <c r="O27" s="13" t="s">
        <v>38</v>
      </c>
      <c r="P27" s="144" t="str">
        <f>'Descision Matrix'!BC29</f>
        <v>*</v>
      </c>
      <c r="Q27" s="145" t="str">
        <f>'Descision Matrix'!BD29</f>
        <v>*</v>
      </c>
      <c r="R27" s="162" t="str">
        <f>'Descision Matrix'!BE29</f>
        <v>*</v>
      </c>
      <c r="S27"/>
      <c r="T27" s="230"/>
      <c r="U27" s="240"/>
      <c r="V27" s="13" t="s">
        <v>38</v>
      </c>
      <c r="W27" s="160" t="str">
        <f>F25</f>
        <v>*</v>
      </c>
      <c r="X27" s="161" t="str">
        <f>F26</f>
        <v>*</v>
      </c>
      <c r="Y27" s="163" t="str">
        <f>F27</f>
        <v>*</v>
      </c>
      <c r="Z27" s="19"/>
      <c r="AA27" s="206"/>
      <c r="AB27" s="13" t="s">
        <v>38</v>
      </c>
      <c r="AC27" s="93" t="str">
        <f>L25</f>
        <v>T</v>
      </c>
      <c r="AD27" s="93" t="str">
        <f>L26</f>
        <v>*</v>
      </c>
      <c r="AE27" s="93" t="str">
        <f>L27</f>
        <v>*</v>
      </c>
      <c r="AF27" s="19"/>
      <c r="AG27" s="208"/>
      <c r="AH27" s="13" t="s">
        <v>38</v>
      </c>
      <c r="AI27" s="160" t="str">
        <f>R25</f>
        <v>*</v>
      </c>
      <c r="AJ27" s="161" t="str">
        <f>R26</f>
        <v>*</v>
      </c>
      <c r="AK27" s="163" t="str">
        <f>R27</f>
        <v>*</v>
      </c>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row>
    <row r="28" spans="1:75" s="13" customFormat="1" ht="15" customHeight="1" thickTop="1" thickBot="1" x14ac:dyDescent="0.3">
      <c r="A28" s="229" t="s">
        <v>49</v>
      </c>
      <c r="B28" s="20"/>
      <c r="C28" s="11"/>
      <c r="D28" s="220" t="s">
        <v>32</v>
      </c>
      <c r="E28" s="220"/>
      <c r="F28" s="220"/>
      <c r="G28" s="12"/>
      <c r="H28" s="11"/>
      <c r="I28" s="11"/>
      <c r="J28" s="220" t="s">
        <v>32</v>
      </c>
      <c r="K28" s="220"/>
      <c r="L28" s="220"/>
      <c r="M28" s="12"/>
      <c r="N28" s="11"/>
      <c r="O28" s="11"/>
      <c r="P28" s="220" t="s">
        <v>32</v>
      </c>
      <c r="Q28" s="220"/>
      <c r="R28" s="220"/>
      <c r="S28"/>
      <c r="T28" s="224" t="s">
        <v>65</v>
      </c>
      <c r="U28" s="20"/>
      <c r="V28" s="11"/>
      <c r="W28" s="220" t="s">
        <v>32</v>
      </c>
      <c r="X28" s="220"/>
      <c r="Y28" s="220"/>
      <c r="Z28" s="12"/>
      <c r="AA28" s="11"/>
      <c r="AB28" s="11"/>
      <c r="AC28" s="220" t="s">
        <v>32</v>
      </c>
      <c r="AD28" s="220"/>
      <c r="AE28" s="220"/>
      <c r="AF28" s="12"/>
      <c r="AG28" s="11"/>
      <c r="AH28" s="11"/>
      <c r="AI28" s="220" t="s">
        <v>32</v>
      </c>
      <c r="AJ28" s="220"/>
      <c r="AK28" s="220"/>
      <c r="AL28"/>
      <c r="AM28" s="24" t="s">
        <v>24</v>
      </c>
      <c r="AN28" s="25"/>
      <c r="AO28" s="132" t="str">
        <f>D30</f>
        <v>T</v>
      </c>
      <c r="AP28" s="135" t="str">
        <f t="shared" ref="AP28:AQ28" si="150">E30</f>
        <v>T</v>
      </c>
      <c r="AQ28" s="137" t="str">
        <f t="shared" si="150"/>
        <v>T</v>
      </c>
      <c r="AR28" s="136" t="str">
        <f>D31</f>
        <v>F</v>
      </c>
      <c r="AS28" s="133" t="str">
        <f t="shared" ref="AS28:AT28" si="151">E31</f>
        <v>F</v>
      </c>
      <c r="AT28" s="139" t="str">
        <f t="shared" si="151"/>
        <v>*</v>
      </c>
      <c r="AU28" s="102" t="str">
        <f>D32</f>
        <v>F</v>
      </c>
      <c r="AV28" s="105" t="str">
        <f t="shared" ref="AV28:AW28" si="152">E32</f>
        <v>*</v>
      </c>
      <c r="AW28" s="134" t="str">
        <f t="shared" si="152"/>
        <v>*</v>
      </c>
      <c r="AX28" s="25"/>
      <c r="AY28" s="132" t="str">
        <f>J30</f>
        <v>T</v>
      </c>
      <c r="AZ28" s="135" t="str">
        <f t="shared" ref="AZ28:BA28" si="153">K30</f>
        <v>*</v>
      </c>
      <c r="BA28" s="137" t="str">
        <f t="shared" si="153"/>
        <v>*</v>
      </c>
      <c r="BB28" s="136" t="str">
        <f>J31</f>
        <v>*</v>
      </c>
      <c r="BC28" s="133" t="str">
        <f t="shared" ref="BC28:BD28" si="154">K31</f>
        <v>*</v>
      </c>
      <c r="BD28" s="139" t="str">
        <f t="shared" si="154"/>
        <v>*</v>
      </c>
      <c r="BE28" s="102" t="str">
        <f>J32</f>
        <v>*</v>
      </c>
      <c r="BF28" s="105" t="str">
        <f t="shared" ref="BF28:BG28" si="155">K32</f>
        <v>*</v>
      </c>
      <c r="BG28" s="134" t="str">
        <f t="shared" si="155"/>
        <v>*</v>
      </c>
      <c r="BH28" s="25"/>
      <c r="BI28" s="132" t="str">
        <f>P30</f>
        <v>T</v>
      </c>
      <c r="BJ28" s="135" t="str">
        <f t="shared" ref="BJ28:BK28" si="156">Q30</f>
        <v>*</v>
      </c>
      <c r="BK28" s="137" t="str">
        <f t="shared" si="156"/>
        <v>*</v>
      </c>
      <c r="BL28" s="136" t="str">
        <f>P31</f>
        <v>*</v>
      </c>
      <c r="BM28" s="133" t="str">
        <f t="shared" ref="BM28:BN28" si="157">Q31</f>
        <v>*</v>
      </c>
      <c r="BN28" s="139" t="str">
        <f t="shared" si="157"/>
        <v>*</v>
      </c>
      <c r="BO28" s="102" t="str">
        <f>P32</f>
        <v>*</v>
      </c>
      <c r="BP28" s="105" t="str">
        <f t="shared" ref="BP28:BQ28" si="158">Q32</f>
        <v>*</v>
      </c>
      <c r="BQ28" s="134" t="str">
        <f t="shared" si="158"/>
        <v>*</v>
      </c>
      <c r="BR28" s="28"/>
      <c r="BS28"/>
      <c r="BT28" s="24" t="str">
        <f>AM28</f>
        <v>Contains</v>
      </c>
      <c r="BU28" s="29" t="str">
        <f>CONCATENATE(AO28,AP28,AQ28,AR28,AS28,AT28,AU28,AV28,AW28)</f>
        <v>TTTFF*F**</v>
      </c>
      <c r="BV28" s="30" t="str">
        <f>CONCATENATE(AY28,AZ28,BA28,BB28,BC28,BD28,BE28,BF28,BG28)</f>
        <v>T********</v>
      </c>
      <c r="BW28" s="31" t="str">
        <f>CONCATENATE(BI28,BJ28,BK28,BL28,BM28,BN28,BO28,BP28,BQ28)</f>
        <v>T********</v>
      </c>
    </row>
    <row r="29" spans="1:75" s="13" customFormat="1" ht="15" customHeight="1" thickTop="1" thickBot="1" x14ac:dyDescent="0.3">
      <c r="A29" s="225"/>
      <c r="B29" s="21"/>
      <c r="C29" s="16" t="s">
        <v>36</v>
      </c>
      <c r="D29" s="13" t="s">
        <v>37</v>
      </c>
      <c r="E29" s="13" t="s">
        <v>32</v>
      </c>
      <c r="F29" s="13" t="s">
        <v>38</v>
      </c>
      <c r="G29" s="17"/>
      <c r="I29" s="16" t="s">
        <v>36</v>
      </c>
      <c r="J29" s="13" t="s">
        <v>37</v>
      </c>
      <c r="K29" s="13" t="s">
        <v>32</v>
      </c>
      <c r="L29" s="13" t="s">
        <v>38</v>
      </c>
      <c r="M29" s="17"/>
      <c r="O29" s="16" t="s">
        <v>36</v>
      </c>
      <c r="P29" s="13" t="s">
        <v>37</v>
      </c>
      <c r="Q29" s="13" t="s">
        <v>32</v>
      </c>
      <c r="R29" s="13" t="s">
        <v>38</v>
      </c>
      <c r="S29"/>
      <c r="T29" s="225"/>
      <c r="U29" s="21"/>
      <c r="V29" s="16" t="s">
        <v>36</v>
      </c>
      <c r="W29" s="13" t="s">
        <v>37</v>
      </c>
      <c r="X29" s="13" t="s">
        <v>32</v>
      </c>
      <c r="Y29" s="13" t="s">
        <v>38</v>
      </c>
      <c r="Z29" s="17"/>
      <c r="AB29" s="16" t="s">
        <v>36</v>
      </c>
      <c r="AC29" s="13" t="s">
        <v>37</v>
      </c>
      <c r="AD29" s="13" t="s">
        <v>32</v>
      </c>
      <c r="AE29" s="13" t="s">
        <v>38</v>
      </c>
      <c r="AF29" s="17"/>
      <c r="AH29" s="16" t="s">
        <v>36</v>
      </c>
      <c r="AI29" s="13" t="s">
        <v>37</v>
      </c>
      <c r="AJ29" s="13" t="s">
        <v>32</v>
      </c>
      <c r="AK29" s="13" t="s">
        <v>38</v>
      </c>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row>
    <row r="30" spans="1:75" s="13" customFormat="1" ht="15" customHeight="1" thickTop="1" thickBot="1" x14ac:dyDescent="0.3">
      <c r="A30" s="225"/>
      <c r="B30" s="239" t="s">
        <v>39</v>
      </c>
      <c r="C30" s="13" t="s">
        <v>37</v>
      </c>
      <c r="D30" s="147" t="str">
        <f>'Descision Matrix'!AQ33</f>
        <v>T</v>
      </c>
      <c r="E30" s="148" t="str">
        <f>'Descision Matrix'!AR33</f>
        <v>T</v>
      </c>
      <c r="F30" s="149" t="str">
        <f>'Descision Matrix'!AS33</f>
        <v>T</v>
      </c>
      <c r="G30" s="17"/>
      <c r="H30" s="241" t="s">
        <v>39</v>
      </c>
      <c r="I30" s="13" t="s">
        <v>37</v>
      </c>
      <c r="J30" s="147" t="str">
        <f>'Descision Matrix'!AW33</f>
        <v>T</v>
      </c>
      <c r="K30" s="148" t="str">
        <f>'Descision Matrix'!AX33</f>
        <v>*</v>
      </c>
      <c r="L30" s="149" t="str">
        <f>'Descision Matrix'!AY33</f>
        <v>*</v>
      </c>
      <c r="M30" s="17"/>
      <c r="N30" s="242" t="s">
        <v>39</v>
      </c>
      <c r="O30" s="13" t="s">
        <v>37</v>
      </c>
      <c r="P30" s="147" t="str">
        <f>'Descision Matrix'!BC33</f>
        <v>T</v>
      </c>
      <c r="Q30" s="148" t="str">
        <f>'Descision Matrix'!BD33</f>
        <v>*</v>
      </c>
      <c r="R30" s="149" t="str">
        <f>'Descision Matrix'!BE33</f>
        <v>*</v>
      </c>
      <c r="S30"/>
      <c r="T30" s="225"/>
      <c r="U30" s="239" t="s">
        <v>39</v>
      </c>
      <c r="V30" s="13" t="s">
        <v>37</v>
      </c>
      <c r="W30" s="152" t="str">
        <f>D30</f>
        <v>T</v>
      </c>
      <c r="X30" s="153" t="str">
        <f>D31</f>
        <v>F</v>
      </c>
      <c r="Y30" s="154" t="str">
        <f>D32</f>
        <v>F</v>
      </c>
      <c r="Z30" s="17"/>
      <c r="AA30" s="241" t="s">
        <v>39</v>
      </c>
      <c r="AB30" s="13" t="s">
        <v>37</v>
      </c>
      <c r="AC30" s="152" t="str">
        <f>J30</f>
        <v>T</v>
      </c>
      <c r="AD30" s="153" t="str">
        <f>J31</f>
        <v>*</v>
      </c>
      <c r="AE30" s="154" t="str">
        <f>J32</f>
        <v>*</v>
      </c>
      <c r="AF30" s="17"/>
      <c r="AG30" s="242" t="s">
        <v>39</v>
      </c>
      <c r="AH30" s="13" t="s">
        <v>37</v>
      </c>
      <c r="AI30" s="152" t="str">
        <f>P30</f>
        <v>T</v>
      </c>
      <c r="AJ30" s="153" t="str">
        <f>P31</f>
        <v>*</v>
      </c>
      <c r="AK30" s="154" t="str">
        <f>P32</f>
        <v>*</v>
      </c>
      <c r="AL30"/>
      <c r="AM30" s="24" t="s">
        <v>25</v>
      </c>
      <c r="AN30" s="25"/>
      <c r="AO30" s="132" t="str">
        <f>W30</f>
        <v>T</v>
      </c>
      <c r="AP30" s="136" t="str">
        <f>X30</f>
        <v>F</v>
      </c>
      <c r="AQ30" s="138" t="str">
        <f>Y30</f>
        <v>F</v>
      </c>
      <c r="AR30" s="135" t="str">
        <f>W31</f>
        <v>T</v>
      </c>
      <c r="AS30" s="133" t="str">
        <f>X31</f>
        <v>F</v>
      </c>
      <c r="AT30" s="140" t="str">
        <f>Y31</f>
        <v>*</v>
      </c>
      <c r="AU30" s="101" t="str">
        <f>W32</f>
        <v>T</v>
      </c>
      <c r="AV30" s="104" t="str">
        <f>X32</f>
        <v>*</v>
      </c>
      <c r="AW30" s="134" t="str">
        <f>Y32</f>
        <v>*</v>
      </c>
      <c r="AX30" s="25"/>
      <c r="AY30" s="132" t="str">
        <f>AC30</f>
        <v>T</v>
      </c>
      <c r="AZ30" s="136" t="str">
        <f>AD30</f>
        <v>*</v>
      </c>
      <c r="BA30" s="138" t="str">
        <f>AE30</f>
        <v>*</v>
      </c>
      <c r="BB30" s="135" t="str">
        <f>AC31</f>
        <v>*</v>
      </c>
      <c r="BC30" s="133" t="str">
        <f>AD31</f>
        <v>*</v>
      </c>
      <c r="BD30" s="140" t="str">
        <f>AE31</f>
        <v>*</v>
      </c>
      <c r="BE30" s="101" t="str">
        <f>AC32</f>
        <v>*</v>
      </c>
      <c r="BF30" s="104" t="str">
        <f>AD32</f>
        <v>*</v>
      </c>
      <c r="BG30" s="134" t="str">
        <f>AE32</f>
        <v>*</v>
      </c>
      <c r="BH30" s="25"/>
      <c r="BI30" s="132" t="str">
        <f>AI30</f>
        <v>T</v>
      </c>
      <c r="BJ30" s="136" t="str">
        <f>AJ30</f>
        <v>*</v>
      </c>
      <c r="BK30" s="138" t="str">
        <f>AK30</f>
        <v>*</v>
      </c>
      <c r="BL30" s="135" t="str">
        <f>AI31</f>
        <v>*</v>
      </c>
      <c r="BM30" s="133" t="str">
        <f>AJ31</f>
        <v>*</v>
      </c>
      <c r="BN30" s="140" t="str">
        <f>AK31</f>
        <v>*</v>
      </c>
      <c r="BO30" s="101" t="str">
        <f>AI32</f>
        <v>*</v>
      </c>
      <c r="BP30" s="104" t="str">
        <f>AJ32</f>
        <v>*</v>
      </c>
      <c r="BQ30" s="134" t="str">
        <f>AK32</f>
        <v>*</v>
      </c>
      <c r="BR30" s="28"/>
      <c r="BS30"/>
      <c r="BT30" s="24" t="str">
        <f>AM30</f>
        <v>Within</v>
      </c>
      <c r="BU30" s="29" t="str">
        <f>CONCATENATE(AO30,AP30,AQ30,AR30,AS30,AT30,AU30,AV30,AW30)</f>
        <v>TFFTF*T**</v>
      </c>
      <c r="BV30" s="30" t="str">
        <f>CONCATENATE(AY30,AZ30,BA30,BB30,BC30,BD30,BE30,BF30,BG30)</f>
        <v>T********</v>
      </c>
      <c r="BW30" s="31" t="str">
        <f>CONCATENATE(BI30,BJ30,BK30,BL30,BM30,BN30,BO30,BP30,BQ30)</f>
        <v>T********</v>
      </c>
    </row>
    <row r="31" spans="1:75" s="13" customFormat="1" ht="15" customHeight="1" x14ac:dyDescent="0.25">
      <c r="A31" s="225"/>
      <c r="B31" s="239"/>
      <c r="C31" s="13" t="s">
        <v>32</v>
      </c>
      <c r="D31" s="141" t="str">
        <f>'Descision Matrix'!AQ34</f>
        <v>F</v>
      </c>
      <c r="E31" s="142" t="str">
        <f>'Descision Matrix'!AR34</f>
        <v>F</v>
      </c>
      <c r="F31" s="143" t="str">
        <f>'Descision Matrix'!AS34</f>
        <v>*</v>
      </c>
      <c r="G31" s="17"/>
      <c r="H31" s="241"/>
      <c r="I31" s="13" t="s">
        <v>32</v>
      </c>
      <c r="J31" s="141" t="str">
        <f>'Descision Matrix'!AW34</f>
        <v>*</v>
      </c>
      <c r="K31" s="142" t="str">
        <f>'Descision Matrix'!AX34</f>
        <v>*</v>
      </c>
      <c r="L31" s="143" t="str">
        <f>'Descision Matrix'!AY34</f>
        <v>*</v>
      </c>
      <c r="M31" s="17"/>
      <c r="N31" s="242"/>
      <c r="O31" s="13" t="s">
        <v>32</v>
      </c>
      <c r="P31" s="141" t="str">
        <f>'Descision Matrix'!BC34</f>
        <v>*</v>
      </c>
      <c r="Q31" s="142" t="str">
        <f>'Descision Matrix'!BD34</f>
        <v>*</v>
      </c>
      <c r="R31" s="143" t="str">
        <f>'Descision Matrix'!BE34</f>
        <v>*</v>
      </c>
      <c r="S31"/>
      <c r="T31" s="225"/>
      <c r="U31" s="239"/>
      <c r="V31" s="13" t="s">
        <v>32</v>
      </c>
      <c r="W31" s="156" t="str">
        <f>E30</f>
        <v>T</v>
      </c>
      <c r="X31" s="157" t="str">
        <f>E31</f>
        <v>F</v>
      </c>
      <c r="Y31" s="158" t="str">
        <f>E32</f>
        <v>*</v>
      </c>
      <c r="Z31" s="17"/>
      <c r="AA31" s="241"/>
      <c r="AB31" s="13" t="s">
        <v>32</v>
      </c>
      <c r="AC31" s="156" t="str">
        <f>K30</f>
        <v>*</v>
      </c>
      <c r="AD31" s="157" t="str">
        <f>K31</f>
        <v>*</v>
      </c>
      <c r="AE31" s="158" t="str">
        <f>K32</f>
        <v>*</v>
      </c>
      <c r="AF31" s="17"/>
      <c r="AG31" s="242"/>
      <c r="AH31" s="13" t="s">
        <v>32</v>
      </c>
      <c r="AI31" s="156" t="str">
        <f>Q30</f>
        <v>*</v>
      </c>
      <c r="AJ31" s="157" t="str">
        <f>Q31</f>
        <v>*</v>
      </c>
      <c r="AK31" s="158" t="str">
        <f>Q32</f>
        <v>*</v>
      </c>
      <c r="AL31"/>
      <c r="AM31" s="171"/>
      <c r="AN31" s="171"/>
      <c r="AO31" s="171" t="str">
        <f>IF(AO28=AO30,"","X")</f>
        <v/>
      </c>
      <c r="AP31" s="171" t="str">
        <f t="shared" ref="AP31" si="159">IF(AP28=AP30,"","X")</f>
        <v>X</v>
      </c>
      <c r="AQ31" s="171" t="str">
        <f t="shared" ref="AQ31" si="160">IF(AQ28=AQ30,"","X")</f>
        <v>X</v>
      </c>
      <c r="AR31" s="171" t="str">
        <f t="shared" ref="AR31" si="161">IF(AR28=AR30,"","X")</f>
        <v>X</v>
      </c>
      <c r="AS31" s="171" t="str">
        <f t="shared" ref="AS31" si="162">IF(AS28=AS30,"","X")</f>
        <v/>
      </c>
      <c r="AT31" s="171" t="str">
        <f t="shared" ref="AT31" si="163">IF(AT28=AT30,"","X")</f>
        <v/>
      </c>
      <c r="AU31" s="171" t="str">
        <f t="shared" ref="AU31" si="164">IF(AU28=AU30,"","X")</f>
        <v>X</v>
      </c>
      <c r="AV31" s="171" t="str">
        <f t="shared" ref="AV31" si="165">IF(AV28=AV30,"","X")</f>
        <v/>
      </c>
      <c r="AW31" s="171" t="str">
        <f t="shared" ref="AW31" si="166">IF(AW28=AW30,"","X")</f>
        <v/>
      </c>
      <c r="AX31" s="171"/>
      <c r="AY31" s="171" t="str">
        <f t="shared" ref="AY31" si="167">IF(AY28=AY30,"","X")</f>
        <v/>
      </c>
      <c r="AZ31" s="171" t="str">
        <f t="shared" ref="AZ31" si="168">IF(AZ28=AZ30,"","X")</f>
        <v/>
      </c>
      <c r="BA31" s="171" t="str">
        <f t="shared" ref="BA31" si="169">IF(BA28=BA30,"","X")</f>
        <v/>
      </c>
      <c r="BB31" s="171" t="str">
        <f t="shared" ref="BB31" si="170">IF(BB28=BB30,"","X")</f>
        <v/>
      </c>
      <c r="BC31" s="171" t="str">
        <f t="shared" ref="BC31" si="171">IF(BC28=BC30,"","X")</f>
        <v/>
      </c>
      <c r="BD31" s="171" t="str">
        <f t="shared" ref="BD31" si="172">IF(BD28=BD30,"","X")</f>
        <v/>
      </c>
      <c r="BE31" s="171" t="str">
        <f t="shared" ref="BE31" si="173">IF(BE28=BE30,"","X")</f>
        <v/>
      </c>
      <c r="BF31" s="171" t="str">
        <f t="shared" ref="BF31" si="174">IF(BF28=BF30,"","X")</f>
        <v/>
      </c>
      <c r="BG31" s="171" t="str">
        <f t="shared" ref="BG31" si="175">IF(BG28=BG30,"","X")</f>
        <v/>
      </c>
      <c r="BH31" s="171"/>
      <c r="BI31" s="171" t="str">
        <f t="shared" ref="BI31" si="176">IF(BI28=BI30,"","X")</f>
        <v/>
      </c>
      <c r="BJ31" s="171" t="str">
        <f t="shared" ref="BJ31" si="177">IF(BJ28=BJ30,"","X")</f>
        <v/>
      </c>
      <c r="BK31" s="171" t="str">
        <f t="shared" ref="BK31" si="178">IF(BK28=BK30,"","X")</f>
        <v/>
      </c>
      <c r="BL31" s="171" t="str">
        <f t="shared" ref="BL31" si="179">IF(BL28=BL30,"","X")</f>
        <v/>
      </c>
      <c r="BM31" s="171" t="str">
        <f t="shared" ref="BM31" si="180">IF(BM28=BM30,"","X")</f>
        <v/>
      </c>
      <c r="BN31" s="171" t="str">
        <f t="shared" ref="BN31" si="181">IF(BN28=BN30,"","X")</f>
        <v/>
      </c>
      <c r="BO31" s="171" t="str">
        <f t="shared" ref="BO31" si="182">IF(BO28=BO30,"","X")</f>
        <v/>
      </c>
      <c r="BP31" s="171" t="str">
        <f t="shared" ref="BP31" si="183">IF(BP28=BP30,"","X")</f>
        <v/>
      </c>
      <c r="BQ31" s="171" t="str">
        <f t="shared" ref="BQ31" si="184">IF(BQ28=BQ30,"","X")</f>
        <v/>
      </c>
      <c r="BR31"/>
      <c r="BS31"/>
      <c r="BT31"/>
      <c r="BU31"/>
      <c r="BV31"/>
      <c r="BW31"/>
    </row>
    <row r="32" spans="1:75" s="13" customFormat="1" ht="15" customHeight="1" thickBot="1" x14ac:dyDescent="0.3">
      <c r="A32" s="226"/>
      <c r="B32" s="240"/>
      <c r="C32" s="13" t="s">
        <v>38</v>
      </c>
      <c r="D32" s="144" t="str">
        <f>'Descision Matrix'!AQ35</f>
        <v>F</v>
      </c>
      <c r="E32" s="145" t="str">
        <f>'Descision Matrix'!AR35</f>
        <v>*</v>
      </c>
      <c r="F32" s="162" t="str">
        <f>'Descision Matrix'!AS35</f>
        <v>*</v>
      </c>
      <c r="G32" s="19"/>
      <c r="H32" s="206"/>
      <c r="I32" s="13" t="s">
        <v>38</v>
      </c>
      <c r="J32" s="144" t="str">
        <f>'Descision Matrix'!AW35</f>
        <v>*</v>
      </c>
      <c r="K32" s="145" t="str">
        <f>'Descision Matrix'!AX35</f>
        <v>*</v>
      </c>
      <c r="L32" s="162" t="str">
        <f>'Descision Matrix'!AY35</f>
        <v>*</v>
      </c>
      <c r="M32" s="19"/>
      <c r="N32" s="208"/>
      <c r="O32" s="13" t="s">
        <v>38</v>
      </c>
      <c r="P32" s="144" t="str">
        <f>'Descision Matrix'!BC35</f>
        <v>*</v>
      </c>
      <c r="Q32" s="145" t="str">
        <f>'Descision Matrix'!BD35</f>
        <v>*</v>
      </c>
      <c r="R32" s="162" t="str">
        <f>'Descision Matrix'!BE35</f>
        <v>*</v>
      </c>
      <c r="S32"/>
      <c r="T32" s="226"/>
      <c r="U32" s="240"/>
      <c r="V32" s="13" t="s">
        <v>38</v>
      </c>
      <c r="W32" s="160" t="str">
        <f>F30</f>
        <v>T</v>
      </c>
      <c r="X32" s="161" t="str">
        <f>F31</f>
        <v>*</v>
      </c>
      <c r="Y32" s="163" t="str">
        <f>F32</f>
        <v>*</v>
      </c>
      <c r="Z32" s="19"/>
      <c r="AA32" s="206"/>
      <c r="AB32" s="13" t="s">
        <v>38</v>
      </c>
      <c r="AC32" s="160" t="str">
        <f>L30</f>
        <v>*</v>
      </c>
      <c r="AD32" s="161" t="str">
        <f>L31</f>
        <v>*</v>
      </c>
      <c r="AE32" s="163" t="str">
        <f>L32</f>
        <v>*</v>
      </c>
      <c r="AF32" s="19"/>
      <c r="AG32" s="208"/>
      <c r="AH32" s="13" t="s">
        <v>38</v>
      </c>
      <c r="AI32" s="160" t="str">
        <f>R30</f>
        <v>*</v>
      </c>
      <c r="AJ32" s="161" t="str">
        <f>R31</f>
        <v>*</v>
      </c>
      <c r="AK32" s="163" t="str">
        <f>R32</f>
        <v>*</v>
      </c>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row>
    <row r="33" spans="1:75" s="13" customFormat="1" ht="15" customHeight="1" thickTop="1" thickBot="1" x14ac:dyDescent="0.3">
      <c r="A33" s="224" t="s">
        <v>51</v>
      </c>
      <c r="B33" s="20"/>
      <c r="C33" s="11"/>
      <c r="D33" s="220" t="s">
        <v>32</v>
      </c>
      <c r="E33" s="220"/>
      <c r="F33" s="220"/>
      <c r="G33" s="12"/>
      <c r="H33" s="11"/>
      <c r="I33" s="11"/>
      <c r="J33" s="220" t="s">
        <v>32</v>
      </c>
      <c r="K33" s="220"/>
      <c r="L33" s="220"/>
      <c r="M33" s="12"/>
      <c r="N33" s="11"/>
      <c r="O33" s="11"/>
      <c r="P33" s="220" t="s">
        <v>32</v>
      </c>
      <c r="Q33" s="220"/>
      <c r="R33" s="220"/>
      <c r="S33"/>
      <c r="T33" s="224" t="s">
        <v>51</v>
      </c>
      <c r="U33" s="20"/>
      <c r="V33" s="11"/>
      <c r="W33" s="220" t="s">
        <v>32</v>
      </c>
      <c r="X33" s="220"/>
      <c r="Y33" s="220"/>
      <c r="Z33" s="12"/>
      <c r="AA33" s="11"/>
      <c r="AB33" s="11"/>
      <c r="AC33" s="220" t="s">
        <v>32</v>
      </c>
      <c r="AD33" s="220"/>
      <c r="AE33" s="220"/>
      <c r="AF33" s="12"/>
      <c r="AG33" s="11"/>
      <c r="AH33" s="11"/>
      <c r="AI33" s="220" t="s">
        <v>32</v>
      </c>
      <c r="AJ33" s="220"/>
      <c r="AK33" s="220"/>
      <c r="AL33"/>
      <c r="AM33" s="24" t="s">
        <v>27</v>
      </c>
      <c r="AN33" s="25"/>
      <c r="AO33" s="132" t="str">
        <f>D35</f>
        <v>T</v>
      </c>
      <c r="AP33" s="135" t="str">
        <f t="shared" ref="AP33:AQ33" si="185">E35</f>
        <v>*</v>
      </c>
      <c r="AQ33" s="137" t="str">
        <f t="shared" si="185"/>
        <v>F</v>
      </c>
      <c r="AR33" s="136" t="str">
        <f>D36</f>
        <v>*</v>
      </c>
      <c r="AS33" s="133" t="str">
        <f t="shared" ref="AS33:AT33" si="186">E36</f>
        <v>T</v>
      </c>
      <c r="AT33" s="139" t="str">
        <f t="shared" si="186"/>
        <v>*</v>
      </c>
      <c r="AU33" s="102" t="str">
        <f>D37</f>
        <v>F</v>
      </c>
      <c r="AV33" s="105" t="str">
        <f t="shared" ref="AV33:AW33" si="187">E37</f>
        <v>*</v>
      </c>
      <c r="AW33" s="134" t="str">
        <f t="shared" si="187"/>
        <v>*</v>
      </c>
      <c r="AX33" s="25"/>
      <c r="AY33" s="132" t="str">
        <f>J35</f>
        <v>*</v>
      </c>
      <c r="AZ33" s="135" t="str">
        <f t="shared" ref="AZ33:BA33" si="188">K35</f>
        <v>*</v>
      </c>
      <c r="BA33" s="137" t="str">
        <f t="shared" si="188"/>
        <v>*</v>
      </c>
      <c r="BB33" s="136" t="str">
        <f>J36</f>
        <v>*</v>
      </c>
      <c r="BC33" s="133" t="str">
        <f t="shared" ref="BC33:BD33" si="189">K36</f>
        <v>*</v>
      </c>
      <c r="BD33" s="139" t="str">
        <f t="shared" si="189"/>
        <v>*</v>
      </c>
      <c r="BE33" s="102" t="str">
        <f>J37</f>
        <v>*</v>
      </c>
      <c r="BF33" s="105" t="str">
        <f t="shared" ref="BF33:BG33" si="190">K37</f>
        <v>*</v>
      </c>
      <c r="BG33" s="134" t="str">
        <f t="shared" si="190"/>
        <v>*</v>
      </c>
      <c r="BH33" s="25"/>
      <c r="BI33" s="132" t="str">
        <f>P35</f>
        <v>*</v>
      </c>
      <c r="BJ33" s="135" t="str">
        <f t="shared" ref="BJ33:BK33" si="191">Q35</f>
        <v>*</v>
      </c>
      <c r="BK33" s="137" t="str">
        <f t="shared" si="191"/>
        <v>*</v>
      </c>
      <c r="BL33" s="136" t="str">
        <f>P36</f>
        <v>*</v>
      </c>
      <c r="BM33" s="133" t="str">
        <f t="shared" ref="BM33:BN33" si="192">Q36</f>
        <v>*</v>
      </c>
      <c r="BN33" s="139" t="str">
        <f t="shared" si="192"/>
        <v>*</v>
      </c>
      <c r="BO33" s="102" t="str">
        <f>P37</f>
        <v>*</v>
      </c>
      <c r="BP33" s="105" t="str">
        <f t="shared" ref="BP33:BQ33" si="193">Q37</f>
        <v>*</v>
      </c>
      <c r="BQ33" s="134" t="str">
        <f t="shared" si="193"/>
        <v>*</v>
      </c>
      <c r="BR33" s="28"/>
      <c r="BS33"/>
      <c r="BT33" s="24" t="str">
        <f>AM33</f>
        <v>Equals</v>
      </c>
      <c r="BU33" s="29" t="str">
        <f>CONCATENATE(AO33,AP33,AQ33,AR33,AS33,AT33,AU33,AV33,AW33)</f>
        <v>T*F*T*F**</v>
      </c>
      <c r="BV33" s="30" t="str">
        <f>CONCATENATE(AY33,AZ33,BA33,BB33,BC33,BD33,BE33,BF33,BG33)</f>
        <v>*********</v>
      </c>
      <c r="BW33" s="31" t="str">
        <f>CONCATENATE(BI33,BJ33,BK33,BL33,BM33,BN33,BO33,BP33,BQ33)</f>
        <v>*********</v>
      </c>
    </row>
    <row r="34" spans="1:75" s="13" customFormat="1" ht="15" customHeight="1" thickTop="1" thickBot="1" x14ac:dyDescent="0.3">
      <c r="A34" s="225"/>
      <c r="B34" s="21"/>
      <c r="C34" s="16" t="s">
        <v>36</v>
      </c>
      <c r="D34" s="13" t="s">
        <v>37</v>
      </c>
      <c r="E34" s="13" t="s">
        <v>32</v>
      </c>
      <c r="F34" s="13" t="s">
        <v>38</v>
      </c>
      <c r="G34" s="17"/>
      <c r="I34" s="16" t="s">
        <v>36</v>
      </c>
      <c r="J34" s="13" t="s">
        <v>37</v>
      </c>
      <c r="K34" s="13" t="s">
        <v>32</v>
      </c>
      <c r="L34" s="13" t="s">
        <v>38</v>
      </c>
      <c r="M34" s="17"/>
      <c r="O34" s="16" t="s">
        <v>36</v>
      </c>
      <c r="P34" s="13" t="s">
        <v>37</v>
      </c>
      <c r="Q34" s="13" t="s">
        <v>32</v>
      </c>
      <c r="R34" s="13" t="s">
        <v>38</v>
      </c>
      <c r="S34"/>
      <c r="T34" s="225"/>
      <c r="U34" s="21"/>
      <c r="V34" s="16" t="s">
        <v>36</v>
      </c>
      <c r="W34" s="13" t="s">
        <v>37</v>
      </c>
      <c r="X34" s="13" t="s">
        <v>32</v>
      </c>
      <c r="Y34" s="13" t="s">
        <v>38</v>
      </c>
      <c r="Z34" s="17"/>
      <c r="AB34" s="16" t="s">
        <v>36</v>
      </c>
      <c r="AC34" s="13" t="s">
        <v>37</v>
      </c>
      <c r="AD34" s="13" t="s">
        <v>32</v>
      </c>
      <c r="AE34" s="13" t="s">
        <v>38</v>
      </c>
      <c r="AF34" s="17"/>
      <c r="AH34" s="16" t="s">
        <v>36</v>
      </c>
      <c r="AI34" s="13" t="s">
        <v>37</v>
      </c>
      <c r="AJ34" s="13" t="s">
        <v>32</v>
      </c>
      <c r="AK34" s="13" t="s">
        <v>38</v>
      </c>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row>
    <row r="35" spans="1:75" s="13" customFormat="1" ht="15" customHeight="1" thickTop="1" thickBot="1" x14ac:dyDescent="0.3">
      <c r="A35" s="225"/>
      <c r="B35" s="239" t="s">
        <v>39</v>
      </c>
      <c r="C35" s="13" t="s">
        <v>37</v>
      </c>
      <c r="D35" s="147" t="str">
        <f>'Descision Matrix'!BJ39</f>
        <v>T</v>
      </c>
      <c r="E35" s="148" t="str">
        <f>'Descision Matrix'!BK39</f>
        <v>*</v>
      </c>
      <c r="F35" s="149" t="str">
        <f>'Descision Matrix'!BL39</f>
        <v>F</v>
      </c>
      <c r="G35" s="17"/>
      <c r="H35" s="241" t="s">
        <v>39</v>
      </c>
      <c r="I35" s="13" t="s">
        <v>37</v>
      </c>
      <c r="J35" s="147" t="str">
        <f>'Descision Matrix'!BP39</f>
        <v>*</v>
      </c>
      <c r="K35" s="148" t="str">
        <f>'Descision Matrix'!BQ39</f>
        <v>*</v>
      </c>
      <c r="L35" s="149" t="str">
        <f>'Descision Matrix'!BR39</f>
        <v>*</v>
      </c>
      <c r="M35" s="17"/>
      <c r="N35" s="242" t="s">
        <v>39</v>
      </c>
      <c r="O35" s="13" t="s">
        <v>37</v>
      </c>
      <c r="P35" s="147" t="str">
        <f>'Descision Matrix'!BV39</f>
        <v>*</v>
      </c>
      <c r="Q35" s="148" t="str">
        <f>'Descision Matrix'!BW39</f>
        <v>*</v>
      </c>
      <c r="R35" s="149" t="str">
        <f>'Descision Matrix'!BX39</f>
        <v>*</v>
      </c>
      <c r="S35"/>
      <c r="T35" s="225"/>
      <c r="U35" s="239" t="s">
        <v>39</v>
      </c>
      <c r="V35" s="13" t="s">
        <v>37</v>
      </c>
      <c r="W35" s="152" t="str">
        <f>D35</f>
        <v>T</v>
      </c>
      <c r="X35" s="153" t="str">
        <f>D36</f>
        <v>*</v>
      </c>
      <c r="Y35" s="154" t="str">
        <f>D37</f>
        <v>F</v>
      </c>
      <c r="Z35" s="17"/>
      <c r="AA35" s="241" t="s">
        <v>39</v>
      </c>
      <c r="AB35" s="13" t="s">
        <v>37</v>
      </c>
      <c r="AC35" s="152" t="str">
        <f>J35</f>
        <v>*</v>
      </c>
      <c r="AD35" s="153" t="str">
        <f>J36</f>
        <v>*</v>
      </c>
      <c r="AE35" s="154" t="str">
        <f>J37</f>
        <v>*</v>
      </c>
      <c r="AF35" s="17"/>
      <c r="AG35" s="242" t="s">
        <v>39</v>
      </c>
      <c r="AH35" s="13" t="s">
        <v>37</v>
      </c>
      <c r="AI35" s="152" t="str">
        <f>P35</f>
        <v>*</v>
      </c>
      <c r="AJ35" s="153" t="str">
        <f>P36</f>
        <v>*</v>
      </c>
      <c r="AK35" s="154" t="str">
        <f>P37</f>
        <v>*</v>
      </c>
      <c r="AL35"/>
      <c r="AM35" s="24" t="s">
        <v>27</v>
      </c>
      <c r="AN35" s="25"/>
      <c r="AO35" s="132" t="str">
        <f>W35</f>
        <v>T</v>
      </c>
      <c r="AP35" s="136" t="str">
        <f>X35</f>
        <v>*</v>
      </c>
      <c r="AQ35" s="138" t="str">
        <f>Y35</f>
        <v>F</v>
      </c>
      <c r="AR35" s="135" t="str">
        <f>W36</f>
        <v>*</v>
      </c>
      <c r="AS35" s="133" t="str">
        <f>X36</f>
        <v>T</v>
      </c>
      <c r="AT35" s="140" t="str">
        <f>Y36</f>
        <v>*</v>
      </c>
      <c r="AU35" s="101" t="str">
        <f>W37</f>
        <v>F</v>
      </c>
      <c r="AV35" s="104" t="str">
        <f>X37</f>
        <v>*</v>
      </c>
      <c r="AW35" s="134" t="str">
        <f>Y37</f>
        <v>*</v>
      </c>
      <c r="AX35" s="25"/>
      <c r="AY35" s="132" t="str">
        <f>AC35</f>
        <v>*</v>
      </c>
      <c r="AZ35" s="136" t="str">
        <f>AD35</f>
        <v>*</v>
      </c>
      <c r="BA35" s="138" t="str">
        <f>AE35</f>
        <v>*</v>
      </c>
      <c r="BB35" s="135" t="str">
        <f>AC36</f>
        <v>*</v>
      </c>
      <c r="BC35" s="133" t="str">
        <f>AD36</f>
        <v>*</v>
      </c>
      <c r="BD35" s="140" t="str">
        <f>AE36</f>
        <v>*</v>
      </c>
      <c r="BE35" s="101" t="str">
        <f>AC37</f>
        <v>*</v>
      </c>
      <c r="BF35" s="104" t="str">
        <f>AD37</f>
        <v>*</v>
      </c>
      <c r="BG35" s="134" t="str">
        <f>AE37</f>
        <v>*</v>
      </c>
      <c r="BH35" s="25"/>
      <c r="BI35" s="132" t="str">
        <f>AI35</f>
        <v>*</v>
      </c>
      <c r="BJ35" s="136" t="str">
        <f>AJ35</f>
        <v>*</v>
      </c>
      <c r="BK35" s="138" t="str">
        <f>AK35</f>
        <v>*</v>
      </c>
      <c r="BL35" s="135" t="str">
        <f>AI36</f>
        <v>*</v>
      </c>
      <c r="BM35" s="133" t="str">
        <f>AJ36</f>
        <v>*</v>
      </c>
      <c r="BN35" s="140" t="str">
        <f>AK36</f>
        <v>*</v>
      </c>
      <c r="BO35" s="101" t="str">
        <f>AI37</f>
        <v>*</v>
      </c>
      <c r="BP35" s="104" t="str">
        <f>AJ37</f>
        <v>*</v>
      </c>
      <c r="BQ35" s="134" t="str">
        <f>AK37</f>
        <v>*</v>
      </c>
      <c r="BR35" s="28"/>
      <c r="BS35"/>
      <c r="BT35"/>
      <c r="BU35"/>
      <c r="BV35"/>
      <c r="BW35"/>
    </row>
    <row r="36" spans="1:75" s="13" customFormat="1" ht="15" customHeight="1" x14ac:dyDescent="0.25">
      <c r="A36" s="225"/>
      <c r="B36" s="239"/>
      <c r="C36" s="13" t="s">
        <v>32</v>
      </c>
      <c r="D36" s="141" t="str">
        <f>'Descision Matrix'!BJ40</f>
        <v>*</v>
      </c>
      <c r="E36" s="142" t="str">
        <f>'Descision Matrix'!BK40</f>
        <v>T</v>
      </c>
      <c r="F36" s="143" t="str">
        <f>'Descision Matrix'!BL40</f>
        <v>*</v>
      </c>
      <c r="G36" s="17"/>
      <c r="H36" s="241"/>
      <c r="I36" s="13" t="s">
        <v>32</v>
      </c>
      <c r="J36" s="141" t="str">
        <f>'Descision Matrix'!BP40</f>
        <v>*</v>
      </c>
      <c r="K36" s="142" t="str">
        <f>'Descision Matrix'!BQ40</f>
        <v>*</v>
      </c>
      <c r="L36" s="143" t="str">
        <f>'Descision Matrix'!BR40</f>
        <v>*</v>
      </c>
      <c r="M36" s="17"/>
      <c r="N36" s="242"/>
      <c r="O36" s="13" t="s">
        <v>32</v>
      </c>
      <c r="P36" s="141" t="str">
        <f>'Descision Matrix'!BV40</f>
        <v>*</v>
      </c>
      <c r="Q36" s="142" t="str">
        <f>'Descision Matrix'!BW40</f>
        <v>*</v>
      </c>
      <c r="R36" s="143" t="str">
        <f>'Descision Matrix'!BX40</f>
        <v>*</v>
      </c>
      <c r="S36"/>
      <c r="T36" s="225"/>
      <c r="U36" s="239"/>
      <c r="V36" s="13" t="s">
        <v>32</v>
      </c>
      <c r="W36" s="156" t="str">
        <f>E35</f>
        <v>*</v>
      </c>
      <c r="X36" s="157" t="str">
        <f>E36</f>
        <v>T</v>
      </c>
      <c r="Y36" s="158" t="str">
        <f>E37</f>
        <v>*</v>
      </c>
      <c r="Z36" s="17"/>
      <c r="AA36" s="241"/>
      <c r="AB36" s="13" t="s">
        <v>32</v>
      </c>
      <c r="AC36" s="156" t="str">
        <f>K35</f>
        <v>*</v>
      </c>
      <c r="AD36" s="157" t="str">
        <f>K36</f>
        <v>*</v>
      </c>
      <c r="AE36" s="158" t="str">
        <f>K37</f>
        <v>*</v>
      </c>
      <c r="AF36" s="17"/>
      <c r="AG36" s="242"/>
      <c r="AH36" s="13" t="s">
        <v>32</v>
      </c>
      <c r="AI36" s="156" t="str">
        <f>Q35</f>
        <v>*</v>
      </c>
      <c r="AJ36" s="157" t="str">
        <f>Q36</f>
        <v>*</v>
      </c>
      <c r="AK36" s="158" t="str">
        <f>Q37</f>
        <v>*</v>
      </c>
      <c r="AL36"/>
      <c r="AM36" s="171"/>
      <c r="AN36" s="171"/>
      <c r="AO36" s="171" t="str">
        <f>IF(AO33=AO35,"","X")</f>
        <v/>
      </c>
      <c r="AP36" s="171" t="str">
        <f t="shared" ref="AP36" si="194">IF(AP33=AP35,"","X")</f>
        <v/>
      </c>
      <c r="AQ36" s="171" t="str">
        <f t="shared" ref="AQ36" si="195">IF(AQ33=AQ35,"","X")</f>
        <v/>
      </c>
      <c r="AR36" s="171" t="str">
        <f t="shared" ref="AR36" si="196">IF(AR33=AR35,"","X")</f>
        <v/>
      </c>
      <c r="AS36" s="171" t="str">
        <f t="shared" ref="AS36" si="197">IF(AS33=AS35,"","X")</f>
        <v/>
      </c>
      <c r="AT36" s="171" t="str">
        <f t="shared" ref="AT36" si="198">IF(AT33=AT35,"","X")</f>
        <v/>
      </c>
      <c r="AU36" s="171" t="str">
        <f t="shared" ref="AU36" si="199">IF(AU33=AU35,"","X")</f>
        <v/>
      </c>
      <c r="AV36" s="171" t="str">
        <f t="shared" ref="AV36" si="200">IF(AV33=AV35,"","X")</f>
        <v/>
      </c>
      <c r="AW36" s="171" t="str">
        <f t="shared" ref="AW36" si="201">IF(AW33=AW35,"","X")</f>
        <v/>
      </c>
      <c r="AX36" s="171"/>
      <c r="AY36" s="171" t="str">
        <f t="shared" ref="AY36" si="202">IF(AY33=AY35,"","X")</f>
        <v/>
      </c>
      <c r="AZ36" s="171" t="str">
        <f t="shared" ref="AZ36" si="203">IF(AZ33=AZ35,"","X")</f>
        <v/>
      </c>
      <c r="BA36" s="171" t="str">
        <f t="shared" ref="BA36" si="204">IF(BA33=BA35,"","X")</f>
        <v/>
      </c>
      <c r="BB36" s="171" t="str">
        <f t="shared" ref="BB36" si="205">IF(BB33=BB35,"","X")</f>
        <v/>
      </c>
      <c r="BC36" s="171" t="str">
        <f t="shared" ref="BC36" si="206">IF(BC33=BC35,"","X")</f>
        <v/>
      </c>
      <c r="BD36" s="171" t="str">
        <f t="shared" ref="BD36" si="207">IF(BD33=BD35,"","X")</f>
        <v/>
      </c>
      <c r="BE36" s="171" t="str">
        <f t="shared" ref="BE36" si="208">IF(BE33=BE35,"","X")</f>
        <v/>
      </c>
      <c r="BF36" s="171" t="str">
        <f t="shared" ref="BF36" si="209">IF(BF33=BF35,"","X")</f>
        <v/>
      </c>
      <c r="BG36" s="171" t="str">
        <f t="shared" ref="BG36" si="210">IF(BG33=BG35,"","X")</f>
        <v/>
      </c>
      <c r="BH36" s="171"/>
      <c r="BI36" s="171" t="str">
        <f t="shared" ref="BI36" si="211">IF(BI33=BI35,"","X")</f>
        <v/>
      </c>
      <c r="BJ36" s="171" t="str">
        <f t="shared" ref="BJ36" si="212">IF(BJ33=BJ35,"","X")</f>
        <v/>
      </c>
      <c r="BK36" s="171" t="str">
        <f t="shared" ref="BK36" si="213">IF(BK33=BK35,"","X")</f>
        <v/>
      </c>
      <c r="BL36" s="171" t="str">
        <f t="shared" ref="BL36" si="214">IF(BL33=BL35,"","X")</f>
        <v/>
      </c>
      <c r="BM36" s="171" t="str">
        <f t="shared" ref="BM36" si="215">IF(BM33=BM35,"","X")</f>
        <v/>
      </c>
      <c r="BN36" s="171" t="str">
        <f t="shared" ref="BN36" si="216">IF(BN33=BN35,"","X")</f>
        <v/>
      </c>
      <c r="BO36" s="171" t="str">
        <f t="shared" ref="BO36" si="217">IF(BO33=BO35,"","X")</f>
        <v/>
      </c>
      <c r="BP36" s="171" t="str">
        <f t="shared" ref="BP36" si="218">IF(BP33=BP35,"","X")</f>
        <v/>
      </c>
      <c r="BQ36" s="171" t="str">
        <f t="shared" ref="BQ36" si="219">IF(BQ33=BQ35,"","X")</f>
        <v/>
      </c>
      <c r="BR36"/>
      <c r="BS36"/>
      <c r="BT36"/>
      <c r="BU36"/>
      <c r="BV36"/>
      <c r="BW36"/>
    </row>
    <row r="37" spans="1:75" s="13" customFormat="1" ht="15" customHeight="1" thickBot="1" x14ac:dyDescent="0.3">
      <c r="A37" s="226"/>
      <c r="B37" s="240"/>
      <c r="C37" s="13" t="s">
        <v>38</v>
      </c>
      <c r="D37" s="144" t="str">
        <f>'Descision Matrix'!BJ41</f>
        <v>F</v>
      </c>
      <c r="E37" s="145" t="str">
        <f>'Descision Matrix'!BK41</f>
        <v>*</v>
      </c>
      <c r="F37" s="162" t="str">
        <f>'Descision Matrix'!BL41</f>
        <v>*</v>
      </c>
      <c r="G37" s="19"/>
      <c r="H37" s="206"/>
      <c r="I37" s="13" t="s">
        <v>38</v>
      </c>
      <c r="J37" s="144" t="str">
        <f>'Descision Matrix'!BP41</f>
        <v>*</v>
      </c>
      <c r="K37" s="145" t="str">
        <f>'Descision Matrix'!BQ41</f>
        <v>*</v>
      </c>
      <c r="L37" s="162" t="str">
        <f>'Descision Matrix'!BR41</f>
        <v>*</v>
      </c>
      <c r="M37" s="19"/>
      <c r="N37" s="208"/>
      <c r="O37" s="13" t="s">
        <v>38</v>
      </c>
      <c r="P37" s="144" t="str">
        <f>'Descision Matrix'!BV41</f>
        <v>*</v>
      </c>
      <c r="Q37" s="145" t="str">
        <f>'Descision Matrix'!BW41</f>
        <v>*</v>
      </c>
      <c r="R37" s="162" t="str">
        <f>'Descision Matrix'!BX41</f>
        <v>*</v>
      </c>
      <c r="S37"/>
      <c r="T37" s="226"/>
      <c r="U37" s="240"/>
      <c r="V37" s="13" t="s">
        <v>38</v>
      </c>
      <c r="W37" s="160" t="str">
        <f>F35</f>
        <v>F</v>
      </c>
      <c r="X37" s="161" t="str">
        <f>F36</f>
        <v>*</v>
      </c>
      <c r="Y37" s="163" t="str">
        <f>F37</f>
        <v>*</v>
      </c>
      <c r="Z37" s="19"/>
      <c r="AA37" s="206"/>
      <c r="AB37" s="13" t="s">
        <v>38</v>
      </c>
      <c r="AC37" s="160" t="str">
        <f>L35</f>
        <v>*</v>
      </c>
      <c r="AD37" s="161" t="str">
        <f>L36</f>
        <v>*</v>
      </c>
      <c r="AE37" s="163" t="str">
        <f>L37</f>
        <v>*</v>
      </c>
      <c r="AF37" s="19"/>
      <c r="AG37" s="208"/>
      <c r="AH37" s="13" t="s">
        <v>38</v>
      </c>
      <c r="AI37" s="160" t="str">
        <f>R35</f>
        <v>*</v>
      </c>
      <c r="AJ37" s="161" t="str">
        <f>R36</f>
        <v>*</v>
      </c>
      <c r="AK37" s="163" t="str">
        <f>R37</f>
        <v>*</v>
      </c>
      <c r="AL37"/>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row>
    <row r="38" spans="1:75" s="13" customFormat="1" ht="15" customHeight="1" thickTop="1" thickBot="1" x14ac:dyDescent="0.3">
      <c r="A38" s="224" t="s">
        <v>58</v>
      </c>
      <c r="B38" s="20"/>
      <c r="C38" s="11"/>
      <c r="D38" s="220" t="s">
        <v>32</v>
      </c>
      <c r="E38" s="220"/>
      <c r="F38" s="220"/>
      <c r="G38" s="12"/>
      <c r="H38" s="11"/>
      <c r="I38" s="11"/>
      <c r="J38" s="220" t="s">
        <v>32</v>
      </c>
      <c r="K38" s="220"/>
      <c r="L38" s="220"/>
      <c r="M38" s="12"/>
      <c r="N38" s="11"/>
      <c r="O38" s="11"/>
      <c r="P38" s="220" t="s">
        <v>32</v>
      </c>
      <c r="Q38" s="220"/>
      <c r="R38" s="220"/>
      <c r="S38"/>
      <c r="T38" s="224" t="s">
        <v>66</v>
      </c>
      <c r="U38" s="20"/>
      <c r="V38" s="11"/>
      <c r="W38" s="220" t="s">
        <v>32</v>
      </c>
      <c r="X38" s="220"/>
      <c r="Y38" s="220"/>
      <c r="Z38" s="12"/>
      <c r="AA38" s="11"/>
      <c r="AB38" s="11"/>
      <c r="AC38" s="220" t="s">
        <v>32</v>
      </c>
      <c r="AD38" s="220"/>
      <c r="AE38" s="220"/>
      <c r="AF38" s="12"/>
      <c r="AG38" s="11"/>
      <c r="AH38" s="11"/>
      <c r="AI38" s="220" t="s">
        <v>32</v>
      </c>
      <c r="AJ38" s="220"/>
      <c r="AK38" s="220"/>
      <c r="AL38"/>
      <c r="AM38" s="24" t="s">
        <v>20</v>
      </c>
      <c r="AN38" s="25"/>
      <c r="AO38" s="132" t="str">
        <f>D40</f>
        <v>T</v>
      </c>
      <c r="AP38" s="135" t="str">
        <f t="shared" ref="AP38:AQ38" si="220">E40</f>
        <v>*</v>
      </c>
      <c r="AQ38" s="137" t="str">
        <f t="shared" si="220"/>
        <v>T</v>
      </c>
      <c r="AR38" s="136" t="str">
        <f>D41</f>
        <v>*</v>
      </c>
      <c r="AS38" s="133" t="str">
        <f t="shared" ref="AS38:AT38" si="221">E41</f>
        <v>T</v>
      </c>
      <c r="AT38" s="139" t="str">
        <f t="shared" si="221"/>
        <v>*</v>
      </c>
      <c r="AU38" s="102" t="str">
        <f>D42</f>
        <v>F</v>
      </c>
      <c r="AV38" s="105" t="str">
        <f t="shared" ref="AV38:AW38" si="222">E42</f>
        <v>*</v>
      </c>
      <c r="AW38" s="134" t="str">
        <f t="shared" si="222"/>
        <v>*</v>
      </c>
      <c r="AX38" s="25"/>
      <c r="AY38" s="132" t="str">
        <f>J40</f>
        <v>*</v>
      </c>
      <c r="AZ38" s="135" t="str">
        <f t="shared" ref="AZ38:BA38" si="223">K40</f>
        <v>*</v>
      </c>
      <c r="BA38" s="137" t="str">
        <f t="shared" si="223"/>
        <v>*</v>
      </c>
      <c r="BB38" s="136" t="str">
        <f>J41</f>
        <v>*</v>
      </c>
      <c r="BC38" s="133" t="str">
        <f t="shared" ref="BC38:BD38" si="224">K41</f>
        <v>*</v>
      </c>
      <c r="BD38" s="139" t="str">
        <f t="shared" si="224"/>
        <v>*</v>
      </c>
      <c r="BE38" s="102" t="str">
        <f>J42</f>
        <v>*</v>
      </c>
      <c r="BF38" s="105" t="str">
        <f t="shared" ref="BF38:BG38" si="225">K42</f>
        <v>*</v>
      </c>
      <c r="BG38" s="134" t="str">
        <f t="shared" si="225"/>
        <v>*</v>
      </c>
      <c r="BH38" s="25"/>
      <c r="BI38" s="132" t="str">
        <f>P40</f>
        <v>*</v>
      </c>
      <c r="BJ38" s="135" t="str">
        <f t="shared" ref="BJ38:BK38" si="226">Q40</f>
        <v>*</v>
      </c>
      <c r="BK38" s="137" t="str">
        <f t="shared" si="226"/>
        <v>*</v>
      </c>
      <c r="BL38" s="136" t="str">
        <f>P41</f>
        <v>*</v>
      </c>
      <c r="BM38" s="133" t="str">
        <f t="shared" ref="BM38:BN38" si="227">Q41</f>
        <v>*</v>
      </c>
      <c r="BN38" s="139" t="str">
        <f t="shared" si="227"/>
        <v>*</v>
      </c>
      <c r="BO38" s="102" t="str">
        <f>P42</f>
        <v>*</v>
      </c>
      <c r="BP38" s="105" t="str">
        <f t="shared" ref="BP38:BQ38" si="228">Q42</f>
        <v>*</v>
      </c>
      <c r="BQ38" s="134" t="str">
        <f t="shared" si="228"/>
        <v>*</v>
      </c>
      <c r="BR38" s="28"/>
      <c r="BS38"/>
      <c r="BT38" s="24" t="str">
        <f>AM38</f>
        <v>Partitioned</v>
      </c>
      <c r="BU38" s="29" t="str">
        <f>CONCATENATE(AO38,AP38,AQ38,AR38,AS38,AT38,AU38,AV38,AW38)</f>
        <v>T*T*T*F**</v>
      </c>
      <c r="BV38" s="30" t="str">
        <f>CONCATENATE(AY38,AZ38,BA38,BB38,BC38,BD38,BE38,BF38,BG38)</f>
        <v>*********</v>
      </c>
      <c r="BW38" s="31" t="str">
        <f>CONCATENATE(BI38,BJ38,BK38,BL38,BM38,BN38,BO38,BP38,BQ38)</f>
        <v>*********</v>
      </c>
    </row>
    <row r="39" spans="1:75" s="13" customFormat="1" ht="15" customHeight="1" thickTop="1" thickBot="1" x14ac:dyDescent="0.3">
      <c r="A39" s="225"/>
      <c r="B39" s="21"/>
      <c r="C39" s="16" t="s">
        <v>36</v>
      </c>
      <c r="D39" s="13" t="s">
        <v>37</v>
      </c>
      <c r="E39" s="13" t="s">
        <v>32</v>
      </c>
      <c r="F39" s="13" t="s">
        <v>38</v>
      </c>
      <c r="G39" s="17"/>
      <c r="I39" s="16" t="s">
        <v>36</v>
      </c>
      <c r="J39" s="13" t="s">
        <v>37</v>
      </c>
      <c r="K39" s="13" t="s">
        <v>32</v>
      </c>
      <c r="L39" s="13" t="s">
        <v>38</v>
      </c>
      <c r="M39" s="17"/>
      <c r="O39" s="16" t="s">
        <v>36</v>
      </c>
      <c r="P39" s="13" t="s">
        <v>37</v>
      </c>
      <c r="Q39" s="13" t="s">
        <v>32</v>
      </c>
      <c r="R39" s="13" t="s">
        <v>38</v>
      </c>
      <c r="S39"/>
      <c r="T39" s="225"/>
      <c r="U39" s="21"/>
      <c r="V39" s="86" t="s">
        <v>36</v>
      </c>
      <c r="W39" s="87" t="s">
        <v>37</v>
      </c>
      <c r="X39" s="87" t="s">
        <v>32</v>
      </c>
      <c r="Y39" s="87" t="s">
        <v>38</v>
      </c>
      <c r="Z39" s="17"/>
      <c r="AB39" s="86" t="s">
        <v>36</v>
      </c>
      <c r="AC39" s="87" t="s">
        <v>37</v>
      </c>
      <c r="AD39" s="87" t="s">
        <v>32</v>
      </c>
      <c r="AE39" s="87" t="s">
        <v>38</v>
      </c>
      <c r="AF39" s="17"/>
      <c r="AH39" s="86" t="s">
        <v>36</v>
      </c>
      <c r="AI39" s="87" t="s">
        <v>37</v>
      </c>
      <c r="AJ39" s="87" t="s">
        <v>32</v>
      </c>
      <c r="AK39" s="87" t="s">
        <v>38</v>
      </c>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row>
    <row r="40" spans="1:75" s="13" customFormat="1" ht="15" customHeight="1" thickTop="1" thickBot="1" x14ac:dyDescent="0.3">
      <c r="A40" s="225"/>
      <c r="B40" s="239" t="s">
        <v>39</v>
      </c>
      <c r="C40" s="13" t="s">
        <v>37</v>
      </c>
      <c r="D40" s="147" t="str">
        <f>'Descision Matrix'!BJ45</f>
        <v>T</v>
      </c>
      <c r="E40" s="148" t="str">
        <f>'Descision Matrix'!BK45</f>
        <v>*</v>
      </c>
      <c r="F40" s="149" t="str">
        <f>'Descision Matrix'!BL45</f>
        <v>T</v>
      </c>
      <c r="G40" s="17"/>
      <c r="H40" s="241" t="s">
        <v>39</v>
      </c>
      <c r="I40" s="13" t="s">
        <v>37</v>
      </c>
      <c r="J40" s="147" t="str">
        <f>'Descision Matrix'!BP45</f>
        <v>*</v>
      </c>
      <c r="K40" s="148" t="str">
        <f>'Descision Matrix'!BQ45</f>
        <v>*</v>
      </c>
      <c r="L40" s="149" t="str">
        <f>'Descision Matrix'!BR45</f>
        <v>*</v>
      </c>
      <c r="M40" s="17"/>
      <c r="N40" s="242" t="s">
        <v>39</v>
      </c>
      <c r="O40" s="13" t="s">
        <v>37</v>
      </c>
      <c r="P40" s="147" t="str">
        <f>'Descision Matrix'!BV45</f>
        <v>*</v>
      </c>
      <c r="Q40" s="148" t="str">
        <f>'Descision Matrix'!BW45</f>
        <v>*</v>
      </c>
      <c r="R40" s="149" t="str">
        <f>'Descision Matrix'!BX45</f>
        <v>*</v>
      </c>
      <c r="S40"/>
      <c r="T40" s="225"/>
      <c r="U40" s="239" t="s">
        <v>39</v>
      </c>
      <c r="V40" s="88" t="s">
        <v>37</v>
      </c>
      <c r="W40" s="152" t="str">
        <f>D40</f>
        <v>T</v>
      </c>
      <c r="X40" s="164" t="str">
        <f>D41</f>
        <v>*</v>
      </c>
      <c r="Y40" s="165" t="str">
        <f>D42</f>
        <v>F</v>
      </c>
      <c r="Z40" s="17"/>
      <c r="AA40" s="241" t="s">
        <v>39</v>
      </c>
      <c r="AB40" s="88" t="s">
        <v>37</v>
      </c>
      <c r="AC40" s="152" t="str">
        <f>J40</f>
        <v>*</v>
      </c>
      <c r="AD40" s="164" t="str">
        <f>J41</f>
        <v>*</v>
      </c>
      <c r="AE40" s="165" t="str">
        <f>J42</f>
        <v>*</v>
      </c>
      <c r="AF40" s="17"/>
      <c r="AG40" s="241" t="s">
        <v>39</v>
      </c>
      <c r="AH40" s="88" t="s">
        <v>37</v>
      </c>
      <c r="AI40" s="152" t="str">
        <f>P40</f>
        <v>*</v>
      </c>
      <c r="AJ40" s="164" t="str">
        <f>P41</f>
        <v>*</v>
      </c>
      <c r="AK40" s="165" t="str">
        <f>P42</f>
        <v>*</v>
      </c>
      <c r="AL40"/>
      <c r="AM40" s="24" t="s">
        <v>21</v>
      </c>
      <c r="AN40" s="25"/>
      <c r="AO40" s="132" t="str">
        <f>W40</f>
        <v>T</v>
      </c>
      <c r="AP40" s="136" t="str">
        <f>X40</f>
        <v>*</v>
      </c>
      <c r="AQ40" s="138" t="str">
        <f>Y40</f>
        <v>F</v>
      </c>
      <c r="AR40" s="135" t="str">
        <f>W41</f>
        <v>*</v>
      </c>
      <c r="AS40" s="133" t="str">
        <f>X41</f>
        <v>T</v>
      </c>
      <c r="AT40" s="140" t="str">
        <f>Y41</f>
        <v>*</v>
      </c>
      <c r="AU40" s="101" t="str">
        <f>W42</f>
        <v>T</v>
      </c>
      <c r="AV40" s="104" t="str">
        <f>X42</f>
        <v>*</v>
      </c>
      <c r="AW40" s="134" t="str">
        <f>Y42</f>
        <v>*</v>
      </c>
      <c r="AX40" s="25"/>
      <c r="AY40" s="132" t="str">
        <f>AC40</f>
        <v>*</v>
      </c>
      <c r="AZ40" s="136" t="str">
        <f>AD40</f>
        <v>*</v>
      </c>
      <c r="BA40" s="138" t="str">
        <f>AE40</f>
        <v>*</v>
      </c>
      <c r="BB40" s="135" t="str">
        <f>AC41</f>
        <v>*</v>
      </c>
      <c r="BC40" s="133" t="str">
        <f>AD41</f>
        <v>*</v>
      </c>
      <c r="BD40" s="140" t="str">
        <f>AE41</f>
        <v>*</v>
      </c>
      <c r="BE40" s="101" t="str">
        <f>AC42</f>
        <v>*</v>
      </c>
      <c r="BF40" s="104" t="str">
        <f>AD42</f>
        <v>*</v>
      </c>
      <c r="BG40" s="134" t="str">
        <f>AE42</f>
        <v>*</v>
      </c>
      <c r="BH40" s="25"/>
      <c r="BI40" s="132" t="str">
        <f>AI40</f>
        <v>*</v>
      </c>
      <c r="BJ40" s="136" t="str">
        <f>AJ40</f>
        <v>*</v>
      </c>
      <c r="BK40" s="138" t="str">
        <f>AK40</f>
        <v>*</v>
      </c>
      <c r="BL40" s="135" t="str">
        <f>AI41</f>
        <v>*</v>
      </c>
      <c r="BM40" s="133" t="str">
        <f>AJ41</f>
        <v>*</v>
      </c>
      <c r="BN40" s="140" t="str">
        <f>AK41</f>
        <v>*</v>
      </c>
      <c r="BO40" s="101" t="str">
        <f>AI42</f>
        <v>*</v>
      </c>
      <c r="BP40" s="104" t="str">
        <f>AJ42</f>
        <v>*</v>
      </c>
      <c r="BQ40" s="134" t="str">
        <f>AK42</f>
        <v>*</v>
      </c>
      <c r="BR40" s="28"/>
      <c r="BS40"/>
      <c r="BT40" s="24" t="str">
        <f>AM40</f>
        <v>Partitions</v>
      </c>
      <c r="BU40" s="29" t="str">
        <f>CONCATENATE(AO40,AP40,AQ40,AR40,AS40,AT40,AU40,AV40,AW40)</f>
        <v>T*F*T*T**</v>
      </c>
      <c r="BV40" s="30" t="str">
        <f>CONCATENATE(AY40,AZ40,BA40,BB40,BC40,BD40,BE40,BF40,BG40)</f>
        <v>*********</v>
      </c>
      <c r="BW40" s="31" t="str">
        <f>CONCATENATE(BI40,BJ40,BK40,BL40,BM40,BN40,BO40,BP40,BQ40)</f>
        <v>*********</v>
      </c>
    </row>
    <row r="41" spans="1:75" s="13" customFormat="1" ht="15" customHeight="1" x14ac:dyDescent="0.25">
      <c r="A41" s="225"/>
      <c r="B41" s="239"/>
      <c r="C41" s="13" t="s">
        <v>32</v>
      </c>
      <c r="D41" s="141" t="str">
        <f>'Descision Matrix'!BJ46</f>
        <v>*</v>
      </c>
      <c r="E41" s="142" t="str">
        <f>'Descision Matrix'!BK46</f>
        <v>T</v>
      </c>
      <c r="F41" s="143" t="str">
        <f>'Descision Matrix'!BL46</f>
        <v>*</v>
      </c>
      <c r="G41" s="17"/>
      <c r="H41" s="241"/>
      <c r="I41" s="13" t="s">
        <v>32</v>
      </c>
      <c r="J41" s="141" t="str">
        <f>'Descision Matrix'!BP46</f>
        <v>*</v>
      </c>
      <c r="K41" s="142" t="str">
        <f>'Descision Matrix'!BQ46</f>
        <v>*</v>
      </c>
      <c r="L41" s="143" t="str">
        <f>'Descision Matrix'!BR46</f>
        <v>*</v>
      </c>
      <c r="M41" s="17"/>
      <c r="N41" s="242"/>
      <c r="O41" s="13" t="s">
        <v>32</v>
      </c>
      <c r="P41" s="141" t="str">
        <f>'Descision Matrix'!BV46</f>
        <v>*</v>
      </c>
      <c r="Q41" s="142" t="str">
        <f>'Descision Matrix'!BW46</f>
        <v>*</v>
      </c>
      <c r="R41" s="143" t="str">
        <f>'Descision Matrix'!BX46</f>
        <v>*</v>
      </c>
      <c r="S41"/>
      <c r="T41" s="225"/>
      <c r="U41" s="239"/>
      <c r="V41" s="90" t="s">
        <v>32</v>
      </c>
      <c r="W41" s="166" t="str">
        <f>E40</f>
        <v>*</v>
      </c>
      <c r="X41" s="157" t="str">
        <f>E41</f>
        <v>T</v>
      </c>
      <c r="Y41" s="167" t="str">
        <f>E42</f>
        <v>*</v>
      </c>
      <c r="Z41" s="17"/>
      <c r="AA41" s="241"/>
      <c r="AB41" s="90" t="s">
        <v>32</v>
      </c>
      <c r="AC41" s="166" t="str">
        <f>K40</f>
        <v>*</v>
      </c>
      <c r="AD41" s="157" t="str">
        <f>K41</f>
        <v>*</v>
      </c>
      <c r="AE41" s="167" t="str">
        <f>K42</f>
        <v>*</v>
      </c>
      <c r="AF41" s="17"/>
      <c r="AG41" s="241"/>
      <c r="AH41" s="90" t="s">
        <v>32</v>
      </c>
      <c r="AI41" s="166" t="str">
        <f>Q40</f>
        <v>*</v>
      </c>
      <c r="AJ41" s="157" t="str">
        <f>Q41</f>
        <v>*</v>
      </c>
      <c r="AK41" s="167" t="str">
        <f>Q42</f>
        <v>*</v>
      </c>
      <c r="AL41"/>
      <c r="AM41" s="171"/>
      <c r="AN41" s="171"/>
      <c r="AO41" s="171" t="str">
        <f>IF(AO38=AO40,"","X")</f>
        <v/>
      </c>
      <c r="AP41" s="171" t="str">
        <f t="shared" ref="AP41" si="229">IF(AP38=AP40,"","X")</f>
        <v/>
      </c>
      <c r="AQ41" s="171" t="str">
        <f t="shared" ref="AQ41" si="230">IF(AQ38=AQ40,"","X")</f>
        <v>X</v>
      </c>
      <c r="AR41" s="171" t="str">
        <f t="shared" ref="AR41" si="231">IF(AR38=AR40,"","X")</f>
        <v/>
      </c>
      <c r="AS41" s="171" t="str">
        <f t="shared" ref="AS41" si="232">IF(AS38=AS40,"","X")</f>
        <v/>
      </c>
      <c r="AT41" s="171" t="str">
        <f t="shared" ref="AT41" si="233">IF(AT38=AT40,"","X")</f>
        <v/>
      </c>
      <c r="AU41" s="171" t="str">
        <f t="shared" ref="AU41" si="234">IF(AU38=AU40,"","X")</f>
        <v>X</v>
      </c>
      <c r="AV41" s="171" t="str">
        <f t="shared" ref="AV41" si="235">IF(AV38=AV40,"","X")</f>
        <v/>
      </c>
      <c r="AW41" s="171" t="str">
        <f t="shared" ref="AW41" si="236">IF(AW38=AW40,"","X")</f>
        <v/>
      </c>
      <c r="AX41" s="171"/>
      <c r="AY41" s="171" t="str">
        <f t="shared" ref="AY41" si="237">IF(AY38=AY40,"","X")</f>
        <v/>
      </c>
      <c r="AZ41" s="171" t="str">
        <f t="shared" ref="AZ41" si="238">IF(AZ38=AZ40,"","X")</f>
        <v/>
      </c>
      <c r="BA41" s="171" t="str">
        <f t="shared" ref="BA41" si="239">IF(BA38=BA40,"","X")</f>
        <v/>
      </c>
      <c r="BB41" s="171" t="str">
        <f t="shared" ref="BB41" si="240">IF(BB38=BB40,"","X")</f>
        <v/>
      </c>
      <c r="BC41" s="171" t="str">
        <f t="shared" ref="BC41" si="241">IF(BC38=BC40,"","X")</f>
        <v/>
      </c>
      <c r="BD41" s="171" t="str">
        <f t="shared" ref="BD41" si="242">IF(BD38=BD40,"","X")</f>
        <v/>
      </c>
      <c r="BE41" s="171" t="str">
        <f t="shared" ref="BE41" si="243">IF(BE38=BE40,"","X")</f>
        <v/>
      </c>
      <c r="BF41" s="171" t="str">
        <f t="shared" ref="BF41" si="244">IF(BF38=BF40,"","X")</f>
        <v/>
      </c>
      <c r="BG41" s="171" t="str">
        <f t="shared" ref="BG41" si="245">IF(BG38=BG40,"","X")</f>
        <v/>
      </c>
      <c r="BH41" s="171"/>
      <c r="BI41" s="171" t="str">
        <f t="shared" ref="BI41" si="246">IF(BI38=BI40,"","X")</f>
        <v/>
      </c>
      <c r="BJ41" s="171" t="str">
        <f t="shared" ref="BJ41" si="247">IF(BJ38=BJ40,"","X")</f>
        <v/>
      </c>
      <c r="BK41" s="171" t="str">
        <f t="shared" ref="BK41" si="248">IF(BK38=BK40,"","X")</f>
        <v/>
      </c>
      <c r="BL41" s="171" t="str">
        <f t="shared" ref="BL41" si="249">IF(BL38=BL40,"","X")</f>
        <v/>
      </c>
      <c r="BM41" s="171" t="str">
        <f t="shared" ref="BM41" si="250">IF(BM38=BM40,"","X")</f>
        <v/>
      </c>
      <c r="BN41" s="171" t="str">
        <f t="shared" ref="BN41" si="251">IF(BN38=BN40,"","X")</f>
        <v/>
      </c>
      <c r="BO41" s="171" t="str">
        <f t="shared" ref="BO41" si="252">IF(BO38=BO40,"","X")</f>
        <v/>
      </c>
      <c r="BP41" s="171" t="str">
        <f t="shared" ref="BP41" si="253">IF(BP38=BP40,"","X")</f>
        <v/>
      </c>
      <c r="BQ41" s="171" t="str">
        <f t="shared" ref="BQ41" si="254">IF(BQ38=BQ40,"","X")</f>
        <v/>
      </c>
      <c r="BR41"/>
      <c r="BS41"/>
      <c r="BT41"/>
      <c r="BU41"/>
      <c r="BV41"/>
      <c r="BW41"/>
    </row>
    <row r="42" spans="1:75" s="13" customFormat="1" ht="15" customHeight="1" thickBot="1" x14ac:dyDescent="0.3">
      <c r="A42" s="226"/>
      <c r="B42" s="240"/>
      <c r="C42" s="13" t="s">
        <v>38</v>
      </c>
      <c r="D42" s="144" t="str">
        <f>'Descision Matrix'!BJ47</f>
        <v>F</v>
      </c>
      <c r="E42" s="145" t="str">
        <f>'Descision Matrix'!BK47</f>
        <v>*</v>
      </c>
      <c r="F42" s="162" t="str">
        <f>'Descision Matrix'!BL47</f>
        <v>*</v>
      </c>
      <c r="G42" s="19"/>
      <c r="H42" s="206"/>
      <c r="I42" s="13" t="s">
        <v>38</v>
      </c>
      <c r="J42" s="144" t="str">
        <f>'Descision Matrix'!BP47</f>
        <v>*</v>
      </c>
      <c r="K42" s="145" t="str">
        <f>'Descision Matrix'!BQ47</f>
        <v>*</v>
      </c>
      <c r="L42" s="162" t="str">
        <f>'Descision Matrix'!BR47</f>
        <v>*</v>
      </c>
      <c r="M42" s="19"/>
      <c r="N42" s="208"/>
      <c r="O42" s="13" t="s">
        <v>38</v>
      </c>
      <c r="P42" s="144" t="str">
        <f>'Descision Matrix'!BV47</f>
        <v>*</v>
      </c>
      <c r="Q42" s="145" t="str">
        <f>'Descision Matrix'!BW47</f>
        <v>*</v>
      </c>
      <c r="R42" s="162" t="str">
        <f>'Descision Matrix'!BX47</f>
        <v>*</v>
      </c>
      <c r="S42"/>
      <c r="T42" s="226"/>
      <c r="U42" s="240"/>
      <c r="V42" s="92" t="s">
        <v>38</v>
      </c>
      <c r="W42" s="168" t="str">
        <f>F40</f>
        <v>T</v>
      </c>
      <c r="X42" s="169" t="str">
        <f>F41</f>
        <v>*</v>
      </c>
      <c r="Y42" s="170" t="str">
        <f>F42</f>
        <v>*</v>
      </c>
      <c r="Z42" s="19"/>
      <c r="AA42" s="206"/>
      <c r="AB42" s="92" t="s">
        <v>38</v>
      </c>
      <c r="AC42" s="168" t="str">
        <f>L40</f>
        <v>*</v>
      </c>
      <c r="AD42" s="169" t="str">
        <f>L41</f>
        <v>*</v>
      </c>
      <c r="AE42" s="170" t="str">
        <f>L42</f>
        <v>*</v>
      </c>
      <c r="AF42" s="19"/>
      <c r="AG42" s="206"/>
      <c r="AH42" s="92" t="s">
        <v>38</v>
      </c>
      <c r="AI42" s="168" t="str">
        <f>R40</f>
        <v>*</v>
      </c>
      <c r="AJ42" s="169" t="str">
        <f>R41</f>
        <v>*</v>
      </c>
      <c r="AK42" s="170" t="str">
        <f>R42</f>
        <v>*</v>
      </c>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row>
    <row r="43" spans="1:75" s="13" customFormat="1" ht="15" customHeight="1" thickTop="1" thickBot="1" x14ac:dyDescent="0.3">
      <c r="A43" s="224" t="s">
        <v>53</v>
      </c>
      <c r="B43" s="20"/>
      <c r="C43" s="11"/>
      <c r="D43" s="220" t="s">
        <v>32</v>
      </c>
      <c r="E43" s="220"/>
      <c r="F43" s="220"/>
      <c r="G43" s="12"/>
      <c r="H43" s="11"/>
      <c r="I43" s="11"/>
      <c r="J43" s="220" t="s">
        <v>32</v>
      </c>
      <c r="K43" s="220"/>
      <c r="L43" s="220"/>
      <c r="M43" s="12"/>
      <c r="N43" s="11"/>
      <c r="O43" s="11"/>
      <c r="P43" s="220" t="s">
        <v>32</v>
      </c>
      <c r="Q43" s="220"/>
      <c r="R43" s="220"/>
      <c r="S43"/>
      <c r="T43" s="224" t="s">
        <v>53</v>
      </c>
      <c r="U43" s="20"/>
      <c r="V43" s="11"/>
      <c r="W43" s="220" t="s">
        <v>32</v>
      </c>
      <c r="X43" s="220"/>
      <c r="Y43" s="220"/>
      <c r="Z43" s="12"/>
      <c r="AA43" s="11"/>
      <c r="AB43" s="11"/>
      <c r="AC43" s="220" t="s">
        <v>32</v>
      </c>
      <c r="AD43" s="220"/>
      <c r="AE43" s="220"/>
      <c r="AF43" s="12"/>
      <c r="AG43" s="11"/>
      <c r="AH43" s="11"/>
      <c r="AI43" s="220" t="s">
        <v>32</v>
      </c>
      <c r="AJ43" s="220"/>
      <c r="AK43" s="220"/>
      <c r="AL43"/>
      <c r="AM43" s="24" t="s">
        <v>18</v>
      </c>
      <c r="AN43" s="25"/>
      <c r="AO43" s="132" t="str">
        <f>D45</f>
        <v>T</v>
      </c>
      <c r="AP43" s="135" t="str">
        <f t="shared" ref="AP43:AQ43" si="255">E45</f>
        <v>*</v>
      </c>
      <c r="AQ43" s="137" t="str">
        <f t="shared" si="255"/>
        <v>T</v>
      </c>
      <c r="AR43" s="136" t="str">
        <f>D46</f>
        <v>*</v>
      </c>
      <c r="AS43" s="133" t="str">
        <f t="shared" ref="AS43:AT43" si="256">E46</f>
        <v>*</v>
      </c>
      <c r="AT43" s="139" t="str">
        <f t="shared" si="256"/>
        <v>*</v>
      </c>
      <c r="AU43" s="102" t="str">
        <f>D47</f>
        <v>T</v>
      </c>
      <c r="AV43" s="105" t="str">
        <f t="shared" ref="AV43:AW43" si="257">E47</f>
        <v>*</v>
      </c>
      <c r="AW43" s="134" t="str">
        <f t="shared" si="257"/>
        <v>*</v>
      </c>
      <c r="AX43" s="25"/>
      <c r="AY43" s="132" t="str">
        <f>J45</f>
        <v>T</v>
      </c>
      <c r="AZ43" s="135" t="str">
        <f t="shared" ref="AZ43:BA43" si="258">K45</f>
        <v>*</v>
      </c>
      <c r="BA43" s="137" t="str">
        <f t="shared" si="258"/>
        <v>*</v>
      </c>
      <c r="BB43" s="136" t="str">
        <f>J46</f>
        <v>*</v>
      </c>
      <c r="BC43" s="133" t="str">
        <f t="shared" ref="BC43:BD43" si="259">K46</f>
        <v>*</v>
      </c>
      <c r="BD43" s="139" t="str">
        <f t="shared" si="259"/>
        <v>*</v>
      </c>
      <c r="BE43" s="102" t="str">
        <f>J47</f>
        <v>*</v>
      </c>
      <c r="BF43" s="105" t="str">
        <f t="shared" ref="BF43:BG43" si="260">K47</f>
        <v>*</v>
      </c>
      <c r="BG43" s="134" t="str">
        <f t="shared" si="260"/>
        <v>*</v>
      </c>
      <c r="BH43" s="25"/>
      <c r="BI43" s="132" t="str">
        <f>P45</f>
        <v>T</v>
      </c>
      <c r="BJ43" s="135" t="str">
        <f t="shared" ref="BJ43:BK43" si="261">Q45</f>
        <v>*</v>
      </c>
      <c r="BK43" s="137" t="str">
        <f t="shared" si="261"/>
        <v>*</v>
      </c>
      <c r="BL43" s="136" t="str">
        <f>P46</f>
        <v>*</v>
      </c>
      <c r="BM43" s="133" t="str">
        <f t="shared" ref="BM43:BN43" si="262">Q46</f>
        <v>*</v>
      </c>
      <c r="BN43" s="139" t="str">
        <f t="shared" si="262"/>
        <v>*</v>
      </c>
      <c r="BO43" s="102" t="str">
        <f>P47</f>
        <v>*</v>
      </c>
      <c r="BP43" s="105" t="str">
        <f t="shared" ref="BP43:BQ43" si="263">Q47</f>
        <v>*</v>
      </c>
      <c r="BQ43" s="134" t="str">
        <f t="shared" si="263"/>
        <v>*</v>
      </c>
      <c r="BR43" s="28"/>
      <c r="BS43"/>
      <c r="BT43" s="24" t="str">
        <f>AM43</f>
        <v>Overlaps</v>
      </c>
      <c r="BU43" s="29" t="str">
        <f>CONCATENATE(AO43,AP43,AQ43,AR43,AS43,AT43,AU43,AV43,AW43)</f>
        <v>T*T***T**</v>
      </c>
      <c r="BV43" s="30" t="str">
        <f>CONCATENATE(AY43,AZ43,BA43,BB43,BC43,BD43,BE43,BF43,BG43)</f>
        <v>T********</v>
      </c>
      <c r="BW43" s="31" t="str">
        <f>CONCATENATE(BI43,BJ43,BK43,BL43,BM43,BN43,BO43,BP43,BQ43)</f>
        <v>T********</v>
      </c>
    </row>
    <row r="44" spans="1:75" s="13" customFormat="1" ht="15" customHeight="1" thickTop="1" thickBot="1" x14ac:dyDescent="0.3">
      <c r="A44" s="225"/>
      <c r="B44" s="21"/>
      <c r="C44" s="16" t="s">
        <v>36</v>
      </c>
      <c r="D44" s="13" t="s">
        <v>37</v>
      </c>
      <c r="E44" s="13" t="s">
        <v>32</v>
      </c>
      <c r="F44" s="13" t="s">
        <v>38</v>
      </c>
      <c r="G44" s="17"/>
      <c r="I44" s="16" t="s">
        <v>36</v>
      </c>
      <c r="J44" s="13" t="s">
        <v>37</v>
      </c>
      <c r="K44" s="13" t="s">
        <v>32</v>
      </c>
      <c r="L44" s="13" t="s">
        <v>38</v>
      </c>
      <c r="M44" s="17"/>
      <c r="O44" s="16" t="s">
        <v>36</v>
      </c>
      <c r="P44" s="13" t="s">
        <v>37</v>
      </c>
      <c r="Q44" s="13" t="s">
        <v>32</v>
      </c>
      <c r="R44" s="13" t="s">
        <v>38</v>
      </c>
      <c r="S44"/>
      <c r="T44" s="225"/>
      <c r="U44" s="21"/>
      <c r="V44" s="16" t="s">
        <v>36</v>
      </c>
      <c r="W44" s="13" t="s">
        <v>37</v>
      </c>
      <c r="X44" s="13" t="s">
        <v>32</v>
      </c>
      <c r="Y44" s="13" t="s">
        <v>38</v>
      </c>
      <c r="Z44" s="17"/>
      <c r="AB44" s="16" t="s">
        <v>36</v>
      </c>
      <c r="AC44" s="13" t="s">
        <v>37</v>
      </c>
      <c r="AD44" s="13" t="s">
        <v>32</v>
      </c>
      <c r="AE44" s="13" t="s">
        <v>38</v>
      </c>
      <c r="AF44" s="17"/>
      <c r="AH44" s="16" t="s">
        <v>36</v>
      </c>
      <c r="AI44" s="13" t="s">
        <v>37</v>
      </c>
      <c r="AJ44" s="13" t="s">
        <v>32</v>
      </c>
      <c r="AK44" s="13" t="s">
        <v>38</v>
      </c>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row>
    <row r="45" spans="1:75" s="13" customFormat="1" ht="15" customHeight="1" thickTop="1" thickBot="1" x14ac:dyDescent="0.3">
      <c r="A45" s="225"/>
      <c r="B45" s="239" t="s">
        <v>39</v>
      </c>
      <c r="C45" s="13" t="s">
        <v>37</v>
      </c>
      <c r="D45" s="147" t="str">
        <f>'Descision Matrix'!X51</f>
        <v>T</v>
      </c>
      <c r="E45" s="148" t="str">
        <f>'Descision Matrix'!Y51</f>
        <v>*</v>
      </c>
      <c r="F45" s="149" t="str">
        <f>'Descision Matrix'!Z51</f>
        <v>T</v>
      </c>
      <c r="G45" s="17"/>
      <c r="H45" s="241" t="s">
        <v>39</v>
      </c>
      <c r="I45" s="13" t="s">
        <v>37</v>
      </c>
      <c r="J45" s="147" t="str">
        <f>'Descision Matrix'!AD51</f>
        <v>T</v>
      </c>
      <c r="K45" s="148" t="str">
        <f>'Descision Matrix'!AE51</f>
        <v>*</v>
      </c>
      <c r="L45" s="149" t="str">
        <f>'Descision Matrix'!AF51</f>
        <v>*</v>
      </c>
      <c r="M45" s="17"/>
      <c r="N45" s="242" t="s">
        <v>39</v>
      </c>
      <c r="O45" s="13" t="s">
        <v>37</v>
      </c>
      <c r="P45" s="147" t="str">
        <f>'Descision Matrix'!AJ51</f>
        <v>T</v>
      </c>
      <c r="Q45" s="148" t="str">
        <f>'Descision Matrix'!AK51</f>
        <v>*</v>
      </c>
      <c r="R45" s="149" t="str">
        <f>'Descision Matrix'!AL51</f>
        <v>*</v>
      </c>
      <c r="S45"/>
      <c r="T45" s="225"/>
      <c r="U45" s="239" t="s">
        <v>39</v>
      </c>
      <c r="V45" s="13" t="s">
        <v>37</v>
      </c>
      <c r="W45" s="152" t="str">
        <f>D45</f>
        <v>T</v>
      </c>
      <c r="X45" s="153" t="str">
        <f>D46</f>
        <v>*</v>
      </c>
      <c r="Y45" s="154" t="str">
        <f>D47</f>
        <v>T</v>
      </c>
      <c r="Z45" s="17"/>
      <c r="AA45" s="241" t="s">
        <v>39</v>
      </c>
      <c r="AB45" s="13" t="s">
        <v>37</v>
      </c>
      <c r="AC45" s="152" t="str">
        <f>J45</f>
        <v>T</v>
      </c>
      <c r="AD45" s="153" t="str">
        <f>J46</f>
        <v>*</v>
      </c>
      <c r="AE45" s="154" t="str">
        <f>J47</f>
        <v>*</v>
      </c>
      <c r="AF45" s="17"/>
      <c r="AG45" s="242" t="s">
        <v>39</v>
      </c>
      <c r="AH45" s="13" t="s">
        <v>37</v>
      </c>
      <c r="AI45" s="152" t="str">
        <f>P45</f>
        <v>T</v>
      </c>
      <c r="AJ45" s="153" t="str">
        <f>P46</f>
        <v>*</v>
      </c>
      <c r="AK45" s="154" t="str">
        <f>P47</f>
        <v>*</v>
      </c>
      <c r="AL45"/>
      <c r="AM45" s="24" t="s">
        <v>18</v>
      </c>
      <c r="AN45" s="25"/>
      <c r="AO45" s="132" t="str">
        <f>W45</f>
        <v>T</v>
      </c>
      <c r="AP45" s="136" t="str">
        <f>X45</f>
        <v>*</v>
      </c>
      <c r="AQ45" s="138" t="str">
        <f>Y45</f>
        <v>T</v>
      </c>
      <c r="AR45" s="135" t="str">
        <f>W46</f>
        <v>*</v>
      </c>
      <c r="AS45" s="133" t="str">
        <f>X46</f>
        <v>*</v>
      </c>
      <c r="AT45" s="140" t="str">
        <f>Y46</f>
        <v>*</v>
      </c>
      <c r="AU45" s="101" t="str">
        <f>W47</f>
        <v>T</v>
      </c>
      <c r="AV45" s="104" t="str">
        <f>X47</f>
        <v>*</v>
      </c>
      <c r="AW45" s="134" t="str">
        <f>Y47</f>
        <v>*</v>
      </c>
      <c r="AX45" s="25"/>
      <c r="AY45" s="132" t="str">
        <f>AC45</f>
        <v>T</v>
      </c>
      <c r="AZ45" s="136" t="str">
        <f>AD45</f>
        <v>*</v>
      </c>
      <c r="BA45" s="138" t="str">
        <f>AE45</f>
        <v>*</v>
      </c>
      <c r="BB45" s="135" t="str">
        <f>AC46</f>
        <v>*</v>
      </c>
      <c r="BC45" s="133" t="str">
        <f>AD46</f>
        <v>*</v>
      </c>
      <c r="BD45" s="140" t="str">
        <f>AE46</f>
        <v>*</v>
      </c>
      <c r="BE45" s="101" t="str">
        <f>AC47</f>
        <v>*</v>
      </c>
      <c r="BF45" s="104" t="str">
        <f>AD47</f>
        <v>*</v>
      </c>
      <c r="BG45" s="134" t="str">
        <f>AE47</f>
        <v>*</v>
      </c>
      <c r="BH45" s="25"/>
      <c r="BI45" s="132" t="str">
        <f>AI45</f>
        <v>T</v>
      </c>
      <c r="BJ45" s="136" t="str">
        <f>AJ45</f>
        <v>*</v>
      </c>
      <c r="BK45" s="138" t="str">
        <f>AK45</f>
        <v>*</v>
      </c>
      <c r="BL45" s="135" t="str">
        <f>AI46</f>
        <v>*</v>
      </c>
      <c r="BM45" s="133" t="str">
        <f>AJ46</f>
        <v>*</v>
      </c>
      <c r="BN45" s="140" t="str">
        <f>AK46</f>
        <v>*</v>
      </c>
      <c r="BO45" s="101" t="str">
        <f>AI47</f>
        <v>*</v>
      </c>
      <c r="BP45" s="104" t="str">
        <f>AJ47</f>
        <v>*</v>
      </c>
      <c r="BQ45" s="134" t="str">
        <f>AK47</f>
        <v>*</v>
      </c>
      <c r="BR45" s="28"/>
      <c r="BS45"/>
      <c r="BT45"/>
      <c r="BU45"/>
      <c r="BV45"/>
      <c r="BW45"/>
    </row>
    <row r="46" spans="1:75" s="13" customFormat="1" ht="15" customHeight="1" x14ac:dyDescent="0.25">
      <c r="A46" s="225"/>
      <c r="B46" s="239"/>
      <c r="C46" s="13" t="s">
        <v>32</v>
      </c>
      <c r="D46" s="141" t="str">
        <f>'Descision Matrix'!X52</f>
        <v>*</v>
      </c>
      <c r="E46" s="142" t="str">
        <f>'Descision Matrix'!Y52</f>
        <v>*</v>
      </c>
      <c r="F46" s="143" t="str">
        <f>'Descision Matrix'!Z52</f>
        <v>*</v>
      </c>
      <c r="G46" s="17"/>
      <c r="H46" s="241"/>
      <c r="I46" s="13" t="s">
        <v>32</v>
      </c>
      <c r="J46" s="141" t="str">
        <f>'Descision Matrix'!AD52</f>
        <v>*</v>
      </c>
      <c r="K46" s="142" t="str">
        <f>'Descision Matrix'!AE52</f>
        <v>*</v>
      </c>
      <c r="L46" s="143" t="str">
        <f>'Descision Matrix'!AF52</f>
        <v>*</v>
      </c>
      <c r="M46" s="17"/>
      <c r="N46" s="242"/>
      <c r="O46" s="13" t="s">
        <v>32</v>
      </c>
      <c r="P46" s="141" t="str">
        <f>'Descision Matrix'!AJ52</f>
        <v>*</v>
      </c>
      <c r="Q46" s="142" t="str">
        <f>'Descision Matrix'!AK52</f>
        <v>*</v>
      </c>
      <c r="R46" s="143" t="str">
        <f>'Descision Matrix'!AL52</f>
        <v>*</v>
      </c>
      <c r="S46"/>
      <c r="T46" s="225"/>
      <c r="U46" s="239"/>
      <c r="V46" s="13" t="s">
        <v>32</v>
      </c>
      <c r="W46" s="156" t="str">
        <f>E45</f>
        <v>*</v>
      </c>
      <c r="X46" s="157" t="str">
        <f>E46</f>
        <v>*</v>
      </c>
      <c r="Y46" s="158" t="str">
        <f>E47</f>
        <v>*</v>
      </c>
      <c r="Z46" s="17"/>
      <c r="AA46" s="241"/>
      <c r="AB46" s="13" t="s">
        <v>32</v>
      </c>
      <c r="AC46" s="156" t="str">
        <f>K45</f>
        <v>*</v>
      </c>
      <c r="AD46" s="157" t="str">
        <f>K46</f>
        <v>*</v>
      </c>
      <c r="AE46" s="158" t="str">
        <f>K47</f>
        <v>*</v>
      </c>
      <c r="AF46" s="17"/>
      <c r="AG46" s="242"/>
      <c r="AH46" s="13" t="s">
        <v>32</v>
      </c>
      <c r="AI46" s="156" t="str">
        <f>Q45</f>
        <v>*</v>
      </c>
      <c r="AJ46" s="157" t="str">
        <f>Q46</f>
        <v>*</v>
      </c>
      <c r="AK46" s="158" t="str">
        <f>Q47</f>
        <v>*</v>
      </c>
      <c r="AL46"/>
      <c r="AM46" s="171"/>
      <c r="AN46" s="171"/>
      <c r="AO46" s="171" t="str">
        <f>IF(AO43=AO45,"","X")</f>
        <v/>
      </c>
      <c r="AP46" s="171" t="str">
        <f t="shared" ref="AP46" si="264">IF(AP43=AP45,"","X")</f>
        <v/>
      </c>
      <c r="AQ46" s="171" t="str">
        <f t="shared" ref="AQ46" si="265">IF(AQ43=AQ45,"","X")</f>
        <v/>
      </c>
      <c r="AR46" s="171" t="str">
        <f t="shared" ref="AR46" si="266">IF(AR43=AR45,"","X")</f>
        <v/>
      </c>
      <c r="AS46" s="171" t="str">
        <f t="shared" ref="AS46" si="267">IF(AS43=AS45,"","X")</f>
        <v/>
      </c>
      <c r="AT46" s="171" t="str">
        <f t="shared" ref="AT46" si="268">IF(AT43=AT45,"","X")</f>
        <v/>
      </c>
      <c r="AU46" s="171" t="str">
        <f t="shared" ref="AU46" si="269">IF(AU43=AU45,"","X")</f>
        <v/>
      </c>
      <c r="AV46" s="171" t="str">
        <f t="shared" ref="AV46" si="270">IF(AV43=AV45,"","X")</f>
        <v/>
      </c>
      <c r="AW46" s="171" t="str">
        <f t="shared" ref="AW46" si="271">IF(AW43=AW45,"","X")</f>
        <v/>
      </c>
      <c r="AX46" s="171"/>
      <c r="AY46" s="171" t="str">
        <f t="shared" ref="AY46" si="272">IF(AY43=AY45,"","X")</f>
        <v/>
      </c>
      <c r="AZ46" s="171" t="str">
        <f t="shared" ref="AZ46" si="273">IF(AZ43=AZ45,"","X")</f>
        <v/>
      </c>
      <c r="BA46" s="171" t="str">
        <f t="shared" ref="BA46" si="274">IF(BA43=BA45,"","X")</f>
        <v/>
      </c>
      <c r="BB46" s="171" t="str">
        <f t="shared" ref="BB46" si="275">IF(BB43=BB45,"","X")</f>
        <v/>
      </c>
      <c r="BC46" s="171" t="str">
        <f t="shared" ref="BC46" si="276">IF(BC43=BC45,"","X")</f>
        <v/>
      </c>
      <c r="BD46" s="171" t="str">
        <f t="shared" ref="BD46" si="277">IF(BD43=BD45,"","X")</f>
        <v/>
      </c>
      <c r="BE46" s="171" t="str">
        <f t="shared" ref="BE46" si="278">IF(BE43=BE45,"","X")</f>
        <v/>
      </c>
      <c r="BF46" s="171" t="str">
        <f t="shared" ref="BF46" si="279">IF(BF43=BF45,"","X")</f>
        <v/>
      </c>
      <c r="BG46" s="171" t="str">
        <f t="shared" ref="BG46" si="280">IF(BG43=BG45,"","X")</f>
        <v/>
      </c>
      <c r="BH46" s="171"/>
      <c r="BI46" s="171" t="str">
        <f t="shared" ref="BI46" si="281">IF(BI43=BI45,"","X")</f>
        <v/>
      </c>
      <c r="BJ46" s="171" t="str">
        <f t="shared" ref="BJ46" si="282">IF(BJ43=BJ45,"","X")</f>
        <v/>
      </c>
      <c r="BK46" s="171" t="str">
        <f t="shared" ref="BK46" si="283">IF(BK43=BK45,"","X")</f>
        <v/>
      </c>
      <c r="BL46" s="171" t="str">
        <f t="shared" ref="BL46" si="284">IF(BL43=BL45,"","X")</f>
        <v/>
      </c>
      <c r="BM46" s="171" t="str">
        <f t="shared" ref="BM46" si="285">IF(BM43=BM45,"","X")</f>
        <v/>
      </c>
      <c r="BN46" s="171" t="str">
        <f t="shared" ref="BN46" si="286">IF(BN43=BN45,"","X")</f>
        <v/>
      </c>
      <c r="BO46" s="171" t="str">
        <f t="shared" ref="BO46" si="287">IF(BO43=BO45,"","X")</f>
        <v/>
      </c>
      <c r="BP46" s="171" t="str">
        <f t="shared" ref="BP46" si="288">IF(BP43=BP45,"","X")</f>
        <v/>
      </c>
      <c r="BQ46" s="171" t="str">
        <f t="shared" ref="BQ46" si="289">IF(BQ43=BQ45,"","X")</f>
        <v/>
      </c>
      <c r="BR46"/>
      <c r="BS46"/>
      <c r="BT46"/>
      <c r="BU46"/>
      <c r="BV46"/>
      <c r="BW46"/>
    </row>
    <row r="47" spans="1:75" s="13" customFormat="1" ht="15" customHeight="1" thickBot="1" x14ac:dyDescent="0.3">
      <c r="A47" s="226"/>
      <c r="B47" s="240"/>
      <c r="C47" s="13" t="s">
        <v>38</v>
      </c>
      <c r="D47" s="144" t="str">
        <f>'Descision Matrix'!X53</f>
        <v>T</v>
      </c>
      <c r="E47" s="145" t="str">
        <f>'Descision Matrix'!Y53</f>
        <v>*</v>
      </c>
      <c r="F47" s="162" t="str">
        <f>'Descision Matrix'!Z53</f>
        <v>*</v>
      </c>
      <c r="G47" s="19"/>
      <c r="H47" s="206"/>
      <c r="I47" s="13" t="s">
        <v>38</v>
      </c>
      <c r="J47" s="144" t="str">
        <f>'Descision Matrix'!AD53</f>
        <v>*</v>
      </c>
      <c r="K47" s="145" t="str">
        <f>'Descision Matrix'!AE53</f>
        <v>*</v>
      </c>
      <c r="L47" s="162" t="str">
        <f>'Descision Matrix'!AF53</f>
        <v>*</v>
      </c>
      <c r="M47" s="19"/>
      <c r="N47" s="208"/>
      <c r="O47" s="13" t="s">
        <v>38</v>
      </c>
      <c r="P47" s="144" t="str">
        <f>'Descision Matrix'!AJ53</f>
        <v>*</v>
      </c>
      <c r="Q47" s="145" t="str">
        <f>'Descision Matrix'!AK53</f>
        <v>*</v>
      </c>
      <c r="R47" s="162" t="str">
        <f>'Descision Matrix'!AL53</f>
        <v>*</v>
      </c>
      <c r="S47"/>
      <c r="T47" s="226"/>
      <c r="U47" s="240"/>
      <c r="V47" s="13" t="s">
        <v>38</v>
      </c>
      <c r="W47" s="160" t="str">
        <f>F45</f>
        <v>T</v>
      </c>
      <c r="X47" s="161" t="str">
        <f>F46</f>
        <v>*</v>
      </c>
      <c r="Y47" s="163" t="str">
        <f>F47</f>
        <v>*</v>
      </c>
      <c r="Z47" s="19"/>
      <c r="AA47" s="206"/>
      <c r="AB47" s="13" t="s">
        <v>38</v>
      </c>
      <c r="AC47" s="160" t="str">
        <f>L45</f>
        <v>*</v>
      </c>
      <c r="AD47" s="161" t="str">
        <f>L46</f>
        <v>*</v>
      </c>
      <c r="AE47" s="163" t="str">
        <f>L47</f>
        <v>*</v>
      </c>
      <c r="AF47" s="19"/>
      <c r="AG47" s="208"/>
      <c r="AH47" s="13" t="s">
        <v>38</v>
      </c>
      <c r="AI47" s="160" t="str">
        <f>R45</f>
        <v>*</v>
      </c>
      <c r="AJ47" s="161" t="str">
        <f>R46</f>
        <v>*</v>
      </c>
      <c r="AK47" s="163" t="str">
        <f>R47</f>
        <v>*</v>
      </c>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row>
    <row r="48" spans="1:75" ht="15" customHeight="1" thickTop="1" x14ac:dyDescent="0.25">
      <c r="C48" s="14"/>
      <c r="D48" s="14"/>
      <c r="E48" s="14"/>
      <c r="F48" s="14"/>
      <c r="G48" s="14"/>
      <c r="H48" s="14"/>
      <c r="I48" s="14"/>
      <c r="J48" s="14"/>
      <c r="K48" s="14"/>
      <c r="L48" s="14"/>
      <c r="M48" s="14"/>
      <c r="N48" s="14"/>
      <c r="O48" s="14"/>
      <c r="P48" s="14"/>
      <c r="Q48" s="14"/>
      <c r="R48" s="14"/>
      <c r="V48" s="14"/>
      <c r="W48" s="14"/>
      <c r="X48" s="14"/>
      <c r="Y48" s="14"/>
      <c r="Z48" s="14"/>
      <c r="AA48" s="14"/>
      <c r="AB48" s="14"/>
      <c r="AC48" s="14"/>
      <c r="AD48" s="14"/>
      <c r="AE48" s="14"/>
      <c r="AF48" s="14"/>
      <c r="AG48" s="14"/>
      <c r="AH48" s="14"/>
      <c r="AI48" s="14"/>
      <c r="AJ48" s="14"/>
      <c r="AK48" s="14"/>
      <c r="AN48" s="14"/>
      <c r="AX48" s="14"/>
      <c r="BH48" s="14"/>
      <c r="BR48" s="14"/>
    </row>
    <row r="49" spans="3:70" ht="15" customHeight="1" x14ac:dyDescent="0.25">
      <c r="C49" s="14"/>
      <c r="D49" s="14"/>
      <c r="E49" s="14"/>
      <c r="F49" s="14"/>
      <c r="G49" s="14"/>
      <c r="H49" s="14"/>
      <c r="I49" s="14"/>
      <c r="J49" s="14"/>
      <c r="K49" s="14"/>
      <c r="L49" s="14"/>
      <c r="M49" s="14"/>
      <c r="N49" s="14"/>
      <c r="O49" s="14"/>
      <c r="P49" s="14"/>
      <c r="Q49" s="14"/>
      <c r="R49" s="14"/>
      <c r="V49" s="14"/>
      <c r="W49" s="14"/>
      <c r="X49" s="14"/>
      <c r="Y49" s="14"/>
      <c r="Z49" s="14"/>
      <c r="AA49" s="14"/>
      <c r="AB49" s="14"/>
      <c r="AC49" s="14"/>
      <c r="AD49" s="14"/>
      <c r="AE49" s="14"/>
      <c r="AF49" s="14"/>
      <c r="AG49" s="14"/>
      <c r="AH49" s="14"/>
      <c r="AI49" s="14"/>
      <c r="AJ49" s="14"/>
      <c r="AK49" s="14"/>
      <c r="AN49" s="14"/>
      <c r="AX49" s="14"/>
      <c r="BH49" s="14"/>
      <c r="BR49" s="14"/>
    </row>
    <row r="50" spans="3:70" ht="15" customHeight="1" x14ac:dyDescent="0.25">
      <c r="C50" s="14"/>
      <c r="D50" s="14"/>
      <c r="E50" s="14"/>
      <c r="F50" s="14"/>
      <c r="G50" s="14"/>
      <c r="H50" s="14"/>
      <c r="I50" s="14"/>
      <c r="J50" s="14"/>
      <c r="K50" s="14"/>
      <c r="L50" s="14"/>
      <c r="M50" s="14"/>
      <c r="N50" s="14"/>
      <c r="O50" s="14"/>
      <c r="P50" s="14"/>
      <c r="Q50" s="14"/>
      <c r="R50" s="14"/>
      <c r="V50" s="14"/>
      <c r="W50" s="14"/>
      <c r="X50" s="14"/>
      <c r="Y50" s="14"/>
      <c r="Z50" s="14"/>
      <c r="AA50" s="14"/>
      <c r="AB50" s="14"/>
      <c r="AC50" s="14"/>
      <c r="AD50" s="14"/>
      <c r="AE50" s="14"/>
      <c r="AF50" s="14"/>
      <c r="AG50" s="14"/>
      <c r="AH50" s="14"/>
      <c r="AI50" s="14"/>
      <c r="AJ50" s="14"/>
      <c r="AK50" s="14"/>
      <c r="AN50" s="14"/>
      <c r="AX50" s="14"/>
      <c r="BH50" s="14"/>
      <c r="BR50" s="14"/>
    </row>
    <row r="51" spans="3:70" ht="15" customHeight="1" x14ac:dyDescent="0.25">
      <c r="C51" s="14"/>
      <c r="D51" s="14"/>
      <c r="E51" s="14"/>
      <c r="F51" s="14"/>
      <c r="G51" s="14"/>
      <c r="H51" s="14"/>
      <c r="I51" s="14"/>
      <c r="J51" s="14"/>
      <c r="K51" s="14"/>
      <c r="L51" s="14"/>
      <c r="M51" s="14"/>
      <c r="N51" s="14"/>
      <c r="O51" s="14"/>
      <c r="P51" s="14"/>
      <c r="Q51" s="14"/>
      <c r="R51" s="14"/>
      <c r="V51" s="14"/>
      <c r="W51" s="14"/>
      <c r="X51" s="14"/>
      <c r="Y51" s="14"/>
      <c r="Z51" s="14"/>
      <c r="AA51" s="14"/>
      <c r="AB51" s="14"/>
      <c r="AC51" s="14"/>
      <c r="AD51" s="14"/>
      <c r="AE51" s="14"/>
      <c r="AF51" s="14"/>
      <c r="AG51" s="14"/>
      <c r="AH51" s="14"/>
      <c r="AI51" s="14"/>
      <c r="AJ51" s="14"/>
      <c r="AK51" s="14"/>
      <c r="AN51" s="14"/>
      <c r="AX51" s="14"/>
      <c r="BH51" s="14"/>
      <c r="BR51" s="14"/>
    </row>
  </sheetData>
  <mergeCells count="137">
    <mergeCell ref="AO2:AW2"/>
    <mergeCell ref="AY2:BG2"/>
    <mergeCell ref="BI2:BQ2"/>
    <mergeCell ref="A3:A7"/>
    <mergeCell ref="D3:F3"/>
    <mergeCell ref="J3:L3"/>
    <mergeCell ref="P3:R3"/>
    <mergeCell ref="B5:B7"/>
    <mergeCell ref="H5:H7"/>
    <mergeCell ref="N5:N7"/>
    <mergeCell ref="A13:A17"/>
    <mergeCell ref="D13:F13"/>
    <mergeCell ref="J13:L13"/>
    <mergeCell ref="P13:R13"/>
    <mergeCell ref="B15:B17"/>
    <mergeCell ref="H15:H17"/>
    <mergeCell ref="N15:N17"/>
    <mergeCell ref="A8:A12"/>
    <mergeCell ref="D8:F8"/>
    <mergeCell ref="J8:L8"/>
    <mergeCell ref="P8:R8"/>
    <mergeCell ref="B10:B12"/>
    <mergeCell ref="H10:H12"/>
    <mergeCell ref="N10:N12"/>
    <mergeCell ref="A23:A27"/>
    <mergeCell ref="D23:F23"/>
    <mergeCell ref="J23:L23"/>
    <mergeCell ref="P23:R23"/>
    <mergeCell ref="B25:B27"/>
    <mergeCell ref="H25:H27"/>
    <mergeCell ref="N25:N27"/>
    <mergeCell ref="A18:A22"/>
    <mergeCell ref="D18:F18"/>
    <mergeCell ref="J18:L18"/>
    <mergeCell ref="P18:R18"/>
    <mergeCell ref="B20:B22"/>
    <mergeCell ref="H20:H22"/>
    <mergeCell ref="N20:N22"/>
    <mergeCell ref="A33:A37"/>
    <mergeCell ref="D33:F33"/>
    <mergeCell ref="J33:L33"/>
    <mergeCell ref="P33:R33"/>
    <mergeCell ref="B35:B37"/>
    <mergeCell ref="H35:H37"/>
    <mergeCell ref="N35:N37"/>
    <mergeCell ref="A28:A32"/>
    <mergeCell ref="D28:F28"/>
    <mergeCell ref="J28:L28"/>
    <mergeCell ref="P28:R28"/>
    <mergeCell ref="B30:B32"/>
    <mergeCell ref="H30:H32"/>
    <mergeCell ref="N30:N32"/>
    <mergeCell ref="A43:A47"/>
    <mergeCell ref="D43:F43"/>
    <mergeCell ref="J43:L43"/>
    <mergeCell ref="P43:R43"/>
    <mergeCell ref="B45:B47"/>
    <mergeCell ref="H45:H47"/>
    <mergeCell ref="N45:N47"/>
    <mergeCell ref="A38:A42"/>
    <mergeCell ref="D38:F38"/>
    <mergeCell ref="J38:L38"/>
    <mergeCell ref="P38:R38"/>
    <mergeCell ref="B40:B42"/>
    <mergeCell ref="H40:H42"/>
    <mergeCell ref="N40:N42"/>
    <mergeCell ref="B2:F2"/>
    <mergeCell ref="H2:L2"/>
    <mergeCell ref="N2:R2"/>
    <mergeCell ref="T3:T7"/>
    <mergeCell ref="W3:Y3"/>
    <mergeCell ref="AC3:AE3"/>
    <mergeCell ref="AI3:AK3"/>
    <mergeCell ref="U5:U7"/>
    <mergeCell ref="AA5:AA7"/>
    <mergeCell ref="T13:T17"/>
    <mergeCell ref="W13:Y13"/>
    <mergeCell ref="AC13:AE13"/>
    <mergeCell ref="AI13:AK13"/>
    <mergeCell ref="U15:U17"/>
    <mergeCell ref="AA15:AA17"/>
    <mergeCell ref="AG15:AG17"/>
    <mergeCell ref="AG5:AG7"/>
    <mergeCell ref="T8:T12"/>
    <mergeCell ref="W8:Y8"/>
    <mergeCell ref="AC8:AE8"/>
    <mergeCell ref="AI8:AK8"/>
    <mergeCell ref="U10:U12"/>
    <mergeCell ref="AA10:AA12"/>
    <mergeCell ref="AG10:AG12"/>
    <mergeCell ref="W23:Y23"/>
    <mergeCell ref="AC23:AE23"/>
    <mergeCell ref="AI23:AK23"/>
    <mergeCell ref="U25:U27"/>
    <mergeCell ref="AA25:AA27"/>
    <mergeCell ref="AG25:AG27"/>
    <mergeCell ref="T18:T22"/>
    <mergeCell ref="W18:Y18"/>
    <mergeCell ref="AC18:AE18"/>
    <mergeCell ref="AI18:AK18"/>
    <mergeCell ref="U20:U22"/>
    <mergeCell ref="AA20:AA22"/>
    <mergeCell ref="AG20:AG22"/>
    <mergeCell ref="U35:U37"/>
    <mergeCell ref="AA35:AA37"/>
    <mergeCell ref="AG35:AG37"/>
    <mergeCell ref="T28:T32"/>
    <mergeCell ref="W28:Y28"/>
    <mergeCell ref="AC28:AE28"/>
    <mergeCell ref="AI28:AK28"/>
    <mergeCell ref="U30:U32"/>
    <mergeCell ref="AA30:AA32"/>
    <mergeCell ref="AG30:AG32"/>
    <mergeCell ref="A1:R1"/>
    <mergeCell ref="T1:AK1"/>
    <mergeCell ref="U2:Y2"/>
    <mergeCell ref="AA2:AE2"/>
    <mergeCell ref="AG2:AK2"/>
    <mergeCell ref="T23:T27"/>
    <mergeCell ref="T43:T47"/>
    <mergeCell ref="W43:Y43"/>
    <mergeCell ref="AC43:AE43"/>
    <mergeCell ref="AI43:AK43"/>
    <mergeCell ref="U45:U47"/>
    <mergeCell ref="AA45:AA47"/>
    <mergeCell ref="AG45:AG47"/>
    <mergeCell ref="T38:T42"/>
    <mergeCell ref="W38:Y38"/>
    <mergeCell ref="AC38:AE38"/>
    <mergeCell ref="AI38:AK38"/>
    <mergeCell ref="U40:U42"/>
    <mergeCell ref="AA40:AA42"/>
    <mergeCell ref="AG40:AG42"/>
    <mergeCell ref="T33:T37"/>
    <mergeCell ref="W33:Y33"/>
    <mergeCell ref="AC33:AE33"/>
    <mergeCell ref="AI33:AK33"/>
  </mergeCells>
  <conditionalFormatting sqref="AO6:BQ6 AO21:BQ21 AO36:BQ36 AO46:BQ46">
    <cfRule type="cellIs" dxfId="2" priority="1" operator="equal">
      <formula>"X"</formula>
    </cfRule>
  </conditionalFormatting>
  <conditionalFormatting sqref="BR10 BR15 BR25 BR40">
    <cfRule type="expression" priority="27" stopIfTrue="1">
      <formula>ISBLANK(BR8)</formula>
    </cfRule>
    <cfRule type="cellIs" dxfId="1" priority="28" operator="notEqual">
      <formula>BR8</formula>
    </cfRule>
    <cfRule type="cellIs" priority="29" stopIfTrue="1" operator="equal">
      <formula>"*"</formula>
    </cfRule>
    <cfRule type="cellIs" dxfId="0" priority="30" operator="equal">
      <formula>BR8</formula>
    </cfRule>
  </conditionalFormatting>
  <pageMargins left="0.7" right="0.7" top="0.75" bottom="0.75" header="0.3" footer="0.3"/>
  <tableParts count="5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9"/>
  <sheetViews>
    <sheetView topLeftCell="C1" workbookViewId="0">
      <selection activeCell="G10" sqref="G10"/>
    </sheetView>
  </sheetViews>
  <sheetFormatPr defaultRowHeight="15" x14ac:dyDescent="0.25"/>
  <cols>
    <col min="1" max="1" width="17.140625" bestFit="1" customWidth="1"/>
    <col min="2" max="2" width="6.140625" bestFit="1" customWidth="1"/>
    <col min="3" max="3" width="54.5703125" bestFit="1" customWidth="1"/>
    <col min="5" max="5" width="14.28515625" customWidth="1"/>
    <col min="6" max="6" width="7.140625" customWidth="1"/>
    <col min="7" max="7" width="10" bestFit="1" customWidth="1"/>
    <col min="8" max="8" width="10.140625" customWidth="1"/>
    <col min="9" max="9" width="10" bestFit="1" customWidth="1"/>
    <col min="11" max="11" width="100.85546875" bestFit="1" customWidth="1"/>
  </cols>
  <sheetData>
    <row r="1" spans="1:11" ht="19.5" thickBot="1" x14ac:dyDescent="0.3">
      <c r="A1" s="7" t="s">
        <v>70</v>
      </c>
      <c r="B1" s="246" t="s">
        <v>71</v>
      </c>
      <c r="C1" s="247"/>
      <c r="E1" t="s">
        <v>70</v>
      </c>
      <c r="F1" t="s">
        <v>72</v>
      </c>
      <c r="G1" t="s">
        <v>59</v>
      </c>
      <c r="H1" t="s">
        <v>60</v>
      </c>
      <c r="I1" t="s">
        <v>61</v>
      </c>
    </row>
    <row r="2" spans="1:11" ht="18.75" x14ac:dyDescent="0.25">
      <c r="A2" s="244" t="str">
        <f>'Tests To Binaries'!A3</f>
        <v>Disjoint</v>
      </c>
      <c r="B2" s="8" t="s">
        <v>73</v>
      </c>
      <c r="C2" s="9" t="str">
        <f>CONCATENATE("(",G2,", ",H2,", ",I2,")")</f>
        <v>(110110000, 101010100, 001010100)</v>
      </c>
      <c r="E2" t="str">
        <f>A2</f>
        <v>Disjoint</v>
      </c>
      <c r="F2" t="str">
        <f>B2</f>
        <v>Mask</v>
      </c>
      <c r="G2" t="str">
        <f>IF(EXACT($F2,"Mask"),VLOOKUP($E2,Masks[],MATCH(G$1,Masks[#Headers],0),FALSE),IF(EXACT($F2,"Value"),VLOOKUP($E2,Values[],MATCH(G$1,Values[#Headers],0),FALSE),""))</f>
        <v>110110000</v>
      </c>
      <c r="H2" t="str">
        <f>IF(EXACT($F2,"Mask"),VLOOKUP($E2,Masks[],MATCH(H$1,Masks[#Headers],0),FALSE),IF(EXACT($F2,"Value"),VLOOKUP($E2,Values[],MATCH(H$1,Values[#Headers],0),FALSE),""))</f>
        <v>101010100</v>
      </c>
      <c r="I2" t="str">
        <f>IF(EXACT($F2,"Mask"),VLOOKUP($E2,Masks[],MATCH(I$1,Masks[#Headers],0),FALSE),IF(EXACT($F2,"Value"),VLOOKUP($E2,Values[],MATCH(I$1,Values[#Headers],0),FALSE),""))</f>
        <v>001010100</v>
      </c>
      <c r="K2" s="72" t="str">
        <f>CONCATENATE("RelationshipTest(RelationshipType.",UPPER(Table3[[#This Row],[Relationship]]),", 0b",Table3[[#This Row],[Region]],Table3[[#This Row],[External]],Table3[[#This Row],[Hull]],",")</f>
        <v>RelationshipTest(RelationshipType.DISJOINT, 0b110110000101010100001010100,</v>
      </c>
    </row>
    <row r="3" spans="1:11" ht="19.5" thickBot="1" x14ac:dyDescent="0.3">
      <c r="A3" s="245" t="str">
        <f>'Tests To Binaries'!A3</f>
        <v>Disjoint</v>
      </c>
      <c r="B3" s="5" t="s">
        <v>74</v>
      </c>
      <c r="C3" s="6" t="str">
        <f t="shared" ref="C3:C19" si="0">CONCATENATE("(",G3,", ",H3,", ",I3,")")</f>
        <v>(000000000, 001000100, 001000100)</v>
      </c>
      <c r="E3" t="str">
        <f t="shared" ref="E3:E19" si="1">A3</f>
        <v>Disjoint</v>
      </c>
      <c r="F3" t="str">
        <f t="shared" ref="F3:F19" si="2">B3</f>
        <v>Value</v>
      </c>
      <c r="G3" t="str">
        <f>IF(EXACT($F3,"Mask"),VLOOKUP($E3,Masks[],MATCH(G$1,Masks[#Headers],0),FALSE),IF(EXACT($F3,"Value"),VLOOKUP($E3,Values[],MATCH(G$1,Values[#Headers],0),FALSE),""))</f>
        <v>000000000</v>
      </c>
      <c r="H3" t="str">
        <f>IF(EXACT($F3,"Mask"),VLOOKUP($E3,Masks[],MATCH(H$1,Masks[#Headers],0),FALSE),IF(EXACT($F3,"Value"),VLOOKUP($E3,Values[],MATCH(H$1,Values[#Headers],0),FALSE),""))</f>
        <v>001000100</v>
      </c>
      <c r="I3" t="str">
        <f>IF(EXACT($F3,"Mask"),VLOOKUP($E3,Masks[],MATCH(I$1,Masks[#Headers],0),FALSE),IF(EXACT($F3,"Value"),VLOOKUP($E3,Values[],MATCH(I$1,Values[#Headers],0),FALSE),""))</f>
        <v>001000100</v>
      </c>
      <c r="K3" s="72" t="str">
        <f>CONCATENATE("                  0b",Table3[[#This Row],[Region]],Table3[[#This Row],[External]],Table3[[#This Row],[Hull]],"),")</f>
        <v xml:space="preserve">                  0b000000000001000100001000100),</v>
      </c>
    </row>
    <row r="4" spans="1:11" ht="18.75" x14ac:dyDescent="0.25">
      <c r="A4" s="244" t="str">
        <f>'Tests To Binaries'!A4</f>
        <v>Shelters</v>
      </c>
      <c r="B4" s="8" t="s">
        <v>73</v>
      </c>
      <c r="C4" s="9" t="str">
        <f t="shared" si="0"/>
        <v>(110110000, 101010100, 101010100)</v>
      </c>
      <c r="E4" t="str">
        <f t="shared" si="1"/>
        <v>Shelters</v>
      </c>
      <c r="F4" t="str">
        <f t="shared" si="2"/>
        <v>Mask</v>
      </c>
      <c r="G4" t="str">
        <f>IF(EXACT($F4,"Mask"),VLOOKUP($E4,Masks[],MATCH(G$1,Masks[#Headers],0),FALSE),IF(EXACT($F4,"Value"),VLOOKUP($E4,Values[],MATCH(G$1,Values[#Headers],0),FALSE),""))</f>
        <v>110110000</v>
      </c>
      <c r="H4" t="str">
        <f>IF(EXACT($F4,"Mask"),VLOOKUP($E4,Masks[],MATCH(H$1,Masks[#Headers],0),FALSE),IF(EXACT($F4,"Value"),VLOOKUP($E4,Values[],MATCH(H$1,Values[#Headers],0),FALSE),""))</f>
        <v>101010100</v>
      </c>
      <c r="I4" t="str">
        <f>IF(EXACT($F4,"Mask"),VLOOKUP($E4,Masks[],MATCH(I$1,Masks[#Headers],0),FALSE),IF(EXACT($F4,"Value"),VLOOKUP($E4,Values[],MATCH(I$1,Values[#Headers],0),FALSE),""))</f>
        <v>101010100</v>
      </c>
      <c r="K4" s="72" t="str">
        <f>CONCATENATE("RelationshipTest(RelationshipType.",UPPER(Table3[[#This Row],[Relationship]]),", 0b",Table3[[#This Row],[Region]],Table3[[#This Row],[External]],Table3[[#This Row],[Hull]],",")</f>
        <v>RelationshipTest(RelationshipType.SHELTERS, 0b110110000101010100101010100,</v>
      </c>
    </row>
    <row r="5" spans="1:11" ht="19.5" thickBot="1" x14ac:dyDescent="0.3">
      <c r="A5" s="245" t="str">
        <f>'Tests To Binaries'!A4</f>
        <v>Shelters</v>
      </c>
      <c r="B5" s="5" t="s">
        <v>74</v>
      </c>
      <c r="C5" s="6" t="str">
        <f t="shared" si="0"/>
        <v>(000000000, 001000100, 101000000)</v>
      </c>
      <c r="E5" t="str">
        <f t="shared" si="1"/>
        <v>Shelters</v>
      </c>
      <c r="F5" t="str">
        <f t="shared" si="2"/>
        <v>Value</v>
      </c>
      <c r="G5" t="str">
        <f>IF(EXACT($F5,"Mask"),VLOOKUP($E5,Masks[],MATCH(G$1,Masks[#Headers],0),FALSE),IF(EXACT($F5,"Value"),VLOOKUP($E5,Values[],MATCH(G$1,Values[#Headers],0),FALSE),""))</f>
        <v>000000000</v>
      </c>
      <c r="H5" t="str">
        <f>IF(EXACT($F5,"Mask"),VLOOKUP($E5,Masks[],MATCH(H$1,Masks[#Headers],0),FALSE),IF(EXACT($F5,"Value"),VLOOKUP($E5,Values[],MATCH(H$1,Values[#Headers],0),FALSE),""))</f>
        <v>001000100</v>
      </c>
      <c r="I5" t="str">
        <f>IF(EXACT($F5,"Mask"),VLOOKUP($E5,Masks[],MATCH(I$1,Masks[#Headers],0),FALSE),IF(EXACT($F5,"Value"),VLOOKUP($E5,Values[],MATCH(I$1,Values[#Headers],0),FALSE),""))</f>
        <v>101000000</v>
      </c>
      <c r="K5" s="72" t="str">
        <f>CONCATENATE("                  0b",Table3[[#This Row],[Region]],Table3[[#This Row],[External]],Table3[[#This Row],[Hull]],"),")</f>
        <v xml:space="preserve">                  0b000000000001000100101000000),</v>
      </c>
    </row>
    <row r="6" spans="1:11" ht="18.75" x14ac:dyDescent="0.25">
      <c r="A6" s="244" t="str">
        <f>'Tests To Binaries'!A5</f>
        <v>Surrounds</v>
      </c>
      <c r="B6" s="8" t="s">
        <v>73</v>
      </c>
      <c r="C6" s="9" t="str">
        <f t="shared" si="0"/>
        <v>(110110000, 101010100, 000000000)</v>
      </c>
      <c r="E6" t="str">
        <f t="shared" si="1"/>
        <v>Surrounds</v>
      </c>
      <c r="F6" t="str">
        <f t="shared" si="2"/>
        <v>Mask</v>
      </c>
      <c r="G6" t="str">
        <f>IF(EXACT($F6,"Mask"),VLOOKUP($E6,Masks[],MATCH(G$1,Masks[#Headers],0),FALSE),IF(EXACT($F6,"Value"),VLOOKUP($E6,Values[],MATCH(G$1,Values[#Headers],0),FALSE),""))</f>
        <v>110110000</v>
      </c>
      <c r="H6" t="str">
        <f>IF(EXACT($F6,"Mask"),VLOOKUP($E6,Masks[],MATCH(H$1,Masks[#Headers],0),FALSE),IF(EXACT($F6,"Value"),VLOOKUP($E6,Values[],MATCH(H$1,Values[#Headers],0),FALSE),""))</f>
        <v>101010100</v>
      </c>
      <c r="I6" t="str">
        <f>IF(EXACT($F6,"Mask"),VLOOKUP($E6,Masks[],MATCH(I$1,Masks[#Headers],0),FALSE),IF(EXACT($F6,"Value"),VLOOKUP($E6,Values[],MATCH(I$1,Values[#Headers],0),FALSE),""))</f>
        <v>000000000</v>
      </c>
      <c r="K6" s="72" t="str">
        <f>CONCATENATE("RelationshipTest(RelationshipType.",UPPER(Table3[[#This Row],[Relationship]]),", 0b",Table3[[#This Row],[Region]],Table3[[#This Row],[External]],Table3[[#This Row],[Hull]],",")</f>
        <v>RelationshipTest(RelationshipType.SURROUNDS, 0b110110000101010100000000000,</v>
      </c>
    </row>
    <row r="7" spans="1:11" ht="19.5" thickBot="1" x14ac:dyDescent="0.3">
      <c r="A7" s="245" t="str">
        <f>'Tests To Binaries'!A5</f>
        <v>Surrounds</v>
      </c>
      <c r="B7" s="5" t="s">
        <v>74</v>
      </c>
      <c r="C7" s="6" t="str">
        <f t="shared" si="0"/>
        <v>(000000000, 101000000, 000000000)</v>
      </c>
      <c r="E7" t="str">
        <f t="shared" si="1"/>
        <v>Surrounds</v>
      </c>
      <c r="F7" t="str">
        <f t="shared" si="2"/>
        <v>Value</v>
      </c>
      <c r="G7" t="str">
        <f>IF(EXACT($F7,"Mask"),VLOOKUP($E7,Masks[],MATCH(G$1,Masks[#Headers],0),FALSE),IF(EXACT($F7,"Value"),VLOOKUP($E7,Values[],MATCH(G$1,Values[#Headers],0),FALSE),""))</f>
        <v>000000000</v>
      </c>
      <c r="H7" t="str">
        <f>IF(EXACT($F7,"Mask"),VLOOKUP($E7,Masks[],MATCH(H$1,Masks[#Headers],0),FALSE),IF(EXACT($F7,"Value"),VLOOKUP($E7,Values[],MATCH(H$1,Values[#Headers],0),FALSE),""))</f>
        <v>101000000</v>
      </c>
      <c r="I7" t="str">
        <f>IF(EXACT($F7,"Mask"),VLOOKUP($E7,Masks[],MATCH(I$1,Masks[#Headers],0),FALSE),IF(EXACT($F7,"Value"),VLOOKUP($E7,Values[],MATCH(I$1,Values[#Headers],0),FALSE),""))</f>
        <v>000000000</v>
      </c>
      <c r="K7" s="72" t="str">
        <f>CONCATENATE("                  0b",Table3[[#This Row],[Region]],Table3[[#This Row],[External]],Table3[[#This Row],[Hull]],"),")</f>
        <v xml:space="preserve">                  0b000000000101000000000000000),</v>
      </c>
    </row>
    <row r="8" spans="1:11" ht="18.75" x14ac:dyDescent="0.25">
      <c r="A8" s="244" t="str">
        <f>'Tests To Binaries'!A6</f>
        <v>Borders</v>
      </c>
      <c r="B8" s="8" t="s">
        <v>73</v>
      </c>
      <c r="C8" s="9" t="str">
        <f t="shared" si="0"/>
        <v>(100010000, 101000100, 000000000)</v>
      </c>
      <c r="E8" t="str">
        <f t="shared" si="1"/>
        <v>Borders</v>
      </c>
      <c r="F8" t="str">
        <f t="shared" si="2"/>
        <v>Mask</v>
      </c>
      <c r="G8" t="str">
        <f>IF(EXACT($F8,"Mask"),VLOOKUP($E8,Masks[],MATCH(G$1,Masks[#Headers],0),FALSE),IF(EXACT($F8,"Value"),VLOOKUP($E8,Values[],MATCH(G$1,Values[#Headers],0),FALSE),""))</f>
        <v>100010000</v>
      </c>
      <c r="H8" t="str">
        <f>IF(EXACT($F8,"Mask"),VLOOKUP($E8,Masks[],MATCH(H$1,Masks[#Headers],0),FALSE),IF(EXACT($F8,"Value"),VLOOKUP($E8,Values[],MATCH(H$1,Values[#Headers],0),FALSE),""))</f>
        <v>101000100</v>
      </c>
      <c r="I8" t="str">
        <f>IF(EXACT($F8,"Mask"),VLOOKUP($E8,Masks[],MATCH(I$1,Masks[#Headers],0),FALSE),IF(EXACT($F8,"Value"),VLOOKUP($E8,Values[],MATCH(I$1,Values[#Headers],0),FALSE),""))</f>
        <v>000000000</v>
      </c>
      <c r="K8" s="72" t="str">
        <f>CONCATENATE("RelationshipTest(RelationshipType.",UPPER(Table3[[#This Row],[Relationship]]),", 0b",Table3[[#This Row],[Region]],Table3[[#This Row],[External]],Table3[[#This Row],[Hull]],",")</f>
        <v>RelationshipTest(RelationshipType.BORDERS, 0b100010000101000100000000000,</v>
      </c>
    </row>
    <row r="9" spans="1:11" ht="19.5" thickBot="1" x14ac:dyDescent="0.3">
      <c r="A9" s="245" t="str">
        <f>'Tests To Binaries'!A6</f>
        <v>Borders</v>
      </c>
      <c r="B9" s="5" t="s">
        <v>74</v>
      </c>
      <c r="C9" s="6" t="str">
        <f t="shared" si="0"/>
        <v>(000010000, 001000100, 000000000)</v>
      </c>
      <c r="E9" t="str">
        <f t="shared" si="1"/>
        <v>Borders</v>
      </c>
      <c r="F9" t="str">
        <f t="shared" si="2"/>
        <v>Value</v>
      </c>
      <c r="G9" t="str">
        <f>IF(EXACT($F9,"Mask"),VLOOKUP($E9,Masks[],MATCH(G$1,Masks[#Headers],0),FALSE),IF(EXACT($F9,"Value"),VLOOKUP($E9,Values[],MATCH(G$1,Values[#Headers],0),FALSE),""))</f>
        <v>000010000</v>
      </c>
      <c r="H9" t="str">
        <f>IF(EXACT($F9,"Mask"),VLOOKUP($E9,Masks[],MATCH(H$1,Masks[#Headers],0),FALSE),IF(EXACT($F9,"Value"),VLOOKUP($E9,Values[],MATCH(H$1,Values[#Headers],0),FALSE),""))</f>
        <v>001000100</v>
      </c>
      <c r="I9" t="str">
        <f>IF(EXACT($F9,"Mask"),VLOOKUP($E9,Masks[],MATCH(I$1,Masks[#Headers],0),FALSE),IF(EXACT($F9,"Value"),VLOOKUP($E9,Values[],MATCH(I$1,Values[#Headers],0),FALSE),""))</f>
        <v>000000000</v>
      </c>
      <c r="K9" s="72" t="str">
        <f>CONCATENATE("                  0b",Table3[[#This Row],[Region]],Table3[[#This Row],[External]],Table3[[#This Row],[Hull]],"),")</f>
        <v xml:space="preserve">                  0b000010000001000100000000000),</v>
      </c>
    </row>
    <row r="10" spans="1:11" ht="18.75" x14ac:dyDescent="0.25">
      <c r="A10" s="244" t="str">
        <f>'Tests To Binaries'!A7</f>
        <v>Confines</v>
      </c>
      <c r="B10" s="8" t="s">
        <v>73</v>
      </c>
      <c r="C10" s="9" t="str">
        <f t="shared" si="0"/>
        <v>(100010000, 101000100, 000000000)</v>
      </c>
      <c r="E10" t="str">
        <f t="shared" si="1"/>
        <v>Confines</v>
      </c>
      <c r="F10" t="str">
        <f t="shared" si="2"/>
        <v>Mask</v>
      </c>
      <c r="G10" t="str">
        <f>IF(EXACT($F10,"Mask"),VLOOKUP($E10,Masks[],MATCH(G$1,Masks[#Headers],0),FALSE),IF(EXACT($F10,"Value"),VLOOKUP($E10,Values[],MATCH(G$1,Values[#Headers],0),FALSE),""))</f>
        <v>100010000</v>
      </c>
      <c r="H10" t="str">
        <f>IF(EXACT($F10,"Mask"),VLOOKUP($E10,Masks[],MATCH(H$1,Masks[#Headers],0),FALSE),IF(EXACT($F10,"Value"),VLOOKUP($E10,Values[],MATCH(H$1,Values[#Headers],0),FALSE),""))</f>
        <v>101000100</v>
      </c>
      <c r="I10" t="str">
        <f>IF(EXACT($F10,"Mask"),VLOOKUP($E10,Masks[],MATCH(I$1,Masks[#Headers],0),FALSE),IF(EXACT($F10,"Value"),VLOOKUP($E10,Values[],MATCH(I$1,Values[#Headers],0),FALSE),""))</f>
        <v>000000000</v>
      </c>
      <c r="K10" s="72" t="str">
        <f>CONCATENATE("RelationshipTest(RelationshipType.",UPPER(Table3[[#This Row],[Relationship]]),", 0b",Table3[[#This Row],[Region]],Table3[[#This Row],[External]],Table3[[#This Row],[Hull]],",")</f>
        <v>RelationshipTest(RelationshipType.CONFINES, 0b100010000101000100000000000,</v>
      </c>
    </row>
    <row r="11" spans="1:11" ht="19.5" thickBot="1" x14ac:dyDescent="0.3">
      <c r="A11" s="245" t="str">
        <f>'Tests To Binaries'!A7</f>
        <v>Confines</v>
      </c>
      <c r="B11" s="5" t="s">
        <v>74</v>
      </c>
      <c r="C11" s="6" t="str">
        <f t="shared" si="0"/>
        <v>(000010000, 101000000, 000000000)</v>
      </c>
      <c r="E11" t="str">
        <f t="shared" si="1"/>
        <v>Confines</v>
      </c>
      <c r="F11" t="str">
        <f t="shared" si="2"/>
        <v>Value</v>
      </c>
      <c r="G11" t="str">
        <f>IF(EXACT($F11,"Mask"),VLOOKUP($E11,Masks[],MATCH(G$1,Masks[#Headers],0),FALSE),IF(EXACT($F11,"Value"),VLOOKUP($E11,Values[],MATCH(G$1,Values[#Headers],0),FALSE),""))</f>
        <v>000010000</v>
      </c>
      <c r="H11" t="str">
        <f>IF(EXACT($F11,"Mask"),VLOOKUP($E11,Masks[],MATCH(H$1,Masks[#Headers],0),FALSE),IF(EXACT($F11,"Value"),VLOOKUP($E11,Values[],MATCH(H$1,Values[#Headers],0),FALSE),""))</f>
        <v>101000000</v>
      </c>
      <c r="I11" t="str">
        <f>IF(EXACT($F11,"Mask"),VLOOKUP($E11,Masks[],MATCH(I$1,Masks[#Headers],0),FALSE),IF(EXACT($F11,"Value"),VLOOKUP($E11,Values[],MATCH(I$1,Values[#Headers],0),FALSE),""))</f>
        <v>000000000</v>
      </c>
      <c r="K11" s="72" t="str">
        <f>CONCATENATE("                  0b",Table3[[#This Row],[Region]],Table3[[#This Row],[External]],Table3[[#This Row],[Hull]],"),")</f>
        <v xml:space="preserve">                  0b000010000101000000000000000),</v>
      </c>
    </row>
    <row r="12" spans="1:11" ht="18.75" x14ac:dyDescent="0.25">
      <c r="A12" s="244" t="str">
        <f>'Tests To Binaries'!A8</f>
        <v>Contains</v>
      </c>
      <c r="B12" s="8" t="s">
        <v>73</v>
      </c>
      <c r="C12" s="9" t="str">
        <f t="shared" si="0"/>
        <v>(111110100, 100000000, 100000000)</v>
      </c>
      <c r="E12" t="str">
        <f t="shared" si="1"/>
        <v>Contains</v>
      </c>
      <c r="F12" t="str">
        <f t="shared" si="2"/>
        <v>Mask</v>
      </c>
      <c r="G12" t="str">
        <f>IF(EXACT($F12,"Mask"),VLOOKUP($E12,Masks[],MATCH(G$1,Masks[#Headers],0),FALSE),IF(EXACT($F12,"Value"),VLOOKUP($E12,Values[],MATCH(G$1,Values[#Headers],0),FALSE),""))</f>
        <v>111110100</v>
      </c>
      <c r="H12" t="str">
        <f>IF(EXACT($F12,"Mask"),VLOOKUP($E12,Masks[],MATCH(H$1,Masks[#Headers],0),FALSE),IF(EXACT($F12,"Value"),VLOOKUP($E12,Values[],MATCH(H$1,Values[#Headers],0),FALSE),""))</f>
        <v>100000000</v>
      </c>
      <c r="I12" t="str">
        <f>IF(EXACT($F12,"Mask"),VLOOKUP($E12,Masks[],MATCH(I$1,Masks[#Headers],0),FALSE),IF(EXACT($F12,"Value"),VLOOKUP($E12,Values[],MATCH(I$1,Values[#Headers],0),FALSE),""))</f>
        <v>100000000</v>
      </c>
      <c r="K12" s="72" t="str">
        <f>CONCATENATE("RelationshipTest(RelationshipType.",UPPER(Table3[[#This Row],[Relationship]]),", 0b",Table3[[#This Row],[Region]],Table3[[#This Row],[External]],Table3[[#This Row],[Hull]],",")</f>
        <v>RelationshipTest(RelationshipType.CONTAINS, 0b111110100100000000100000000,</v>
      </c>
    </row>
    <row r="13" spans="1:11" ht="19.5" thickBot="1" x14ac:dyDescent="0.3">
      <c r="A13" s="245" t="str">
        <f>'Tests To Binaries'!A8</f>
        <v>Contains</v>
      </c>
      <c r="B13" s="5" t="s">
        <v>74</v>
      </c>
      <c r="C13" s="6" t="str">
        <f t="shared" si="0"/>
        <v>(111000000, 100000000, 100000000)</v>
      </c>
      <c r="E13" t="str">
        <f t="shared" si="1"/>
        <v>Contains</v>
      </c>
      <c r="F13" t="str">
        <f t="shared" si="2"/>
        <v>Value</v>
      </c>
      <c r="G13" t="str">
        <f>IF(EXACT($F13,"Mask"),VLOOKUP($E13,Masks[],MATCH(G$1,Masks[#Headers],0),FALSE),IF(EXACT($F13,"Value"),VLOOKUP($E13,Values[],MATCH(G$1,Values[#Headers],0),FALSE),""))</f>
        <v>111000000</v>
      </c>
      <c r="H13" t="str">
        <f>IF(EXACT($F13,"Mask"),VLOOKUP($E13,Masks[],MATCH(H$1,Masks[#Headers],0),FALSE),IF(EXACT($F13,"Value"),VLOOKUP($E13,Values[],MATCH(H$1,Values[#Headers],0),FALSE),""))</f>
        <v>100000000</v>
      </c>
      <c r="I13" t="str">
        <f>IF(EXACT($F13,"Mask"),VLOOKUP($E13,Masks[],MATCH(I$1,Masks[#Headers],0),FALSE),IF(EXACT($F13,"Value"),VLOOKUP($E13,Values[],MATCH(I$1,Values[#Headers],0),FALSE),""))</f>
        <v>100000000</v>
      </c>
      <c r="K13" s="72" t="str">
        <f>CONCATENATE("                  0b",Table3[[#This Row],[Region]],Table3[[#This Row],[External]],Table3[[#This Row],[Hull]],"),")</f>
        <v xml:space="preserve">                  0b111000000100000000100000000),</v>
      </c>
    </row>
    <row r="14" spans="1:11" ht="18.75" x14ac:dyDescent="0.25">
      <c r="A14" s="244" t="str">
        <f>'Tests To Binaries'!A9</f>
        <v>Equals</v>
      </c>
      <c r="B14" s="8" t="s">
        <v>73</v>
      </c>
      <c r="C14" s="9" t="str">
        <f t="shared" si="0"/>
        <v>(101010100, 000000000, 000000000)</v>
      </c>
      <c r="E14" t="str">
        <f t="shared" si="1"/>
        <v>Equals</v>
      </c>
      <c r="F14" t="str">
        <f t="shared" si="2"/>
        <v>Mask</v>
      </c>
      <c r="G14" t="str">
        <f>IF(EXACT($F14,"Mask"),VLOOKUP($E14,Masks[],MATCH(G$1,Masks[#Headers],0),FALSE),IF(EXACT($F14,"Value"),VLOOKUP($E14,Values[],MATCH(G$1,Values[#Headers],0),FALSE),""))</f>
        <v>101010100</v>
      </c>
      <c r="H14" t="str">
        <f>IF(EXACT($F14,"Mask"),VLOOKUP($E14,Masks[],MATCH(H$1,Masks[#Headers],0),FALSE),IF(EXACT($F14,"Value"),VLOOKUP($E14,Values[],MATCH(H$1,Values[#Headers],0),FALSE),""))</f>
        <v>000000000</v>
      </c>
      <c r="I14" t="str">
        <f>IF(EXACT($F14,"Mask"),VLOOKUP($E14,Masks[],MATCH(I$1,Masks[#Headers],0),FALSE),IF(EXACT($F14,"Value"),VLOOKUP($E14,Values[],MATCH(I$1,Values[#Headers],0),FALSE),""))</f>
        <v>000000000</v>
      </c>
      <c r="K14" s="72" t="str">
        <f>CONCATENATE("RelationshipTest(RelationshipType.",UPPER(Table3[[#This Row],[Relationship]]),", 0b",Table3[[#This Row],[Region]],Table3[[#This Row],[External]],Table3[[#This Row],[Hull]],",")</f>
        <v>RelationshipTest(RelationshipType.EQUALS, 0b101010100000000000000000000,</v>
      </c>
    </row>
    <row r="15" spans="1:11" ht="19.5" thickBot="1" x14ac:dyDescent="0.3">
      <c r="A15" s="245" t="str">
        <f>'Tests To Binaries'!A9</f>
        <v>Equals</v>
      </c>
      <c r="B15" s="5" t="s">
        <v>74</v>
      </c>
      <c r="C15" s="6" t="str">
        <f t="shared" si="0"/>
        <v>(100010000, 000000000, 000000000)</v>
      </c>
      <c r="E15" t="str">
        <f t="shared" si="1"/>
        <v>Equals</v>
      </c>
      <c r="F15" t="str">
        <f t="shared" si="2"/>
        <v>Value</v>
      </c>
      <c r="G15" t="str">
        <f>IF(EXACT($F15,"Mask"),VLOOKUP($E15,Masks[],MATCH(G$1,Masks[#Headers],0),FALSE),IF(EXACT($F15,"Value"),VLOOKUP($E15,Values[],MATCH(G$1,Values[#Headers],0),FALSE),""))</f>
        <v>100010000</v>
      </c>
      <c r="H15" t="str">
        <f>IF(EXACT($F15,"Mask"),VLOOKUP($E15,Masks[],MATCH(H$1,Masks[#Headers],0),FALSE),IF(EXACT($F15,"Value"),VLOOKUP($E15,Values[],MATCH(H$1,Values[#Headers],0),FALSE),""))</f>
        <v>000000000</v>
      </c>
      <c r="I15" t="str">
        <f>IF(EXACT($F15,"Mask"),VLOOKUP($E15,Masks[],MATCH(I$1,Masks[#Headers],0),FALSE),IF(EXACT($F15,"Value"),VLOOKUP($E15,Values[],MATCH(I$1,Values[#Headers],0),FALSE),""))</f>
        <v>000000000</v>
      </c>
      <c r="K15" s="72" t="str">
        <f>CONCATENATE("                  0b",Table3[[#This Row],[Region]],Table3[[#This Row],[External]],Table3[[#This Row],[Hull]],"),")</f>
        <v xml:space="preserve">                  0b100010000000000000000000000),</v>
      </c>
    </row>
    <row r="16" spans="1:11" ht="18.75" x14ac:dyDescent="0.25">
      <c r="A16" s="244" t="str">
        <f>'Tests To Binaries'!A10</f>
        <v>Is Partitioned by</v>
      </c>
      <c r="B16" s="8" t="s">
        <v>73</v>
      </c>
      <c r="C16" s="9" t="str">
        <f t="shared" si="0"/>
        <v>(101010100, 000000000, 000000000)</v>
      </c>
      <c r="E16" t="str">
        <f t="shared" si="1"/>
        <v>Is Partitioned by</v>
      </c>
      <c r="F16" t="str">
        <f t="shared" si="2"/>
        <v>Mask</v>
      </c>
      <c r="G16" t="str">
        <f>IF(EXACT($F16,"Mask"),VLOOKUP($E16,Masks[],MATCH(G$1,Masks[#Headers],0),FALSE),IF(EXACT($F16,"Value"),VLOOKUP($E16,Values[],MATCH(G$1,Values[#Headers],0),FALSE),""))</f>
        <v>101010100</v>
      </c>
      <c r="H16" t="str">
        <f>IF(EXACT($F16,"Mask"),VLOOKUP($E16,Masks[],MATCH(H$1,Masks[#Headers],0),FALSE),IF(EXACT($F16,"Value"),VLOOKUP($E16,Values[],MATCH(H$1,Values[#Headers],0),FALSE),""))</f>
        <v>000000000</v>
      </c>
      <c r="I16" t="str">
        <f>IF(EXACT($F16,"Mask"),VLOOKUP($E16,Masks[],MATCH(I$1,Masks[#Headers],0),FALSE),IF(EXACT($F16,"Value"),VLOOKUP($E16,Values[],MATCH(I$1,Values[#Headers],0),FALSE),""))</f>
        <v>000000000</v>
      </c>
      <c r="K16" s="72" t="str">
        <f>CONCATENATE("RelationshipTest(RelationshipType.",UPPER(Table3[[#This Row],[Relationship]]),", 0b",Table3[[#This Row],[Region]],Table3[[#This Row],[External]],Table3[[#This Row],[Hull]],",")</f>
        <v>RelationshipTest(RelationshipType.IS PARTITIONED BY, 0b101010100000000000000000000,</v>
      </c>
    </row>
    <row r="17" spans="1:11" ht="19.5" thickBot="1" x14ac:dyDescent="0.3">
      <c r="A17" s="245" t="str">
        <f>'Tests To Binaries'!A10</f>
        <v>Is Partitioned by</v>
      </c>
      <c r="B17" s="5" t="s">
        <v>74</v>
      </c>
      <c r="C17" s="6" t="str">
        <f t="shared" si="0"/>
        <v>(101010000, 000000000, 000000000)</v>
      </c>
      <c r="E17" t="str">
        <f t="shared" si="1"/>
        <v>Is Partitioned by</v>
      </c>
      <c r="F17" t="str">
        <f t="shared" si="2"/>
        <v>Value</v>
      </c>
      <c r="G17" t="str">
        <f>IF(EXACT($F17,"Mask"),VLOOKUP($E17,Masks[],MATCH(G$1,Masks[#Headers],0),FALSE),IF(EXACT($F17,"Value"),VLOOKUP($E17,Values[],MATCH(G$1,Values[#Headers],0),FALSE),""))</f>
        <v>101010000</v>
      </c>
      <c r="H17" t="str">
        <f>IF(EXACT($F17,"Mask"),VLOOKUP($E17,Masks[],MATCH(H$1,Masks[#Headers],0),FALSE),IF(EXACT($F17,"Value"),VLOOKUP($E17,Values[],MATCH(H$1,Values[#Headers],0),FALSE),""))</f>
        <v>000000000</v>
      </c>
      <c r="I17" t="str">
        <f>IF(EXACT($F17,"Mask"),VLOOKUP($E17,Masks[],MATCH(I$1,Masks[#Headers],0),FALSE),IF(EXACT($F17,"Value"),VLOOKUP($E17,Values[],MATCH(I$1,Values[#Headers],0),FALSE),""))</f>
        <v>000000000</v>
      </c>
      <c r="K17" s="72" t="str">
        <f>CONCATENATE("                  0b",Table3[[#This Row],[Region]],Table3[[#This Row],[External]],Table3[[#This Row],[Hull]],"),")</f>
        <v xml:space="preserve">                  0b101010000000000000000000000),</v>
      </c>
    </row>
    <row r="18" spans="1:11" ht="18.75" x14ac:dyDescent="0.25">
      <c r="A18" s="244" t="str">
        <f>'Tests To Binaries'!A11</f>
        <v>Overlaps</v>
      </c>
      <c r="B18" s="8" t="s">
        <v>73</v>
      </c>
      <c r="C18" s="9" t="str">
        <f t="shared" si="0"/>
        <v>(101000100, 100000000, 100000000)</v>
      </c>
      <c r="E18" t="str">
        <f t="shared" si="1"/>
        <v>Overlaps</v>
      </c>
      <c r="F18" t="str">
        <f t="shared" si="2"/>
        <v>Mask</v>
      </c>
      <c r="G18" t="str">
        <f>IF(EXACT($F18,"Mask"),VLOOKUP($E18,Masks[],MATCH(G$1,Masks[#Headers],0),FALSE),IF(EXACT($F18,"Value"),VLOOKUP($E18,Values[],MATCH(G$1,Values[#Headers],0),FALSE),""))</f>
        <v>101000100</v>
      </c>
      <c r="H18" t="str">
        <f>IF(EXACT($F18,"Mask"),VLOOKUP($E18,Masks[],MATCH(H$1,Masks[#Headers],0),FALSE),IF(EXACT($F18,"Value"),VLOOKUP($E18,Values[],MATCH(H$1,Values[#Headers],0),FALSE),""))</f>
        <v>100000000</v>
      </c>
      <c r="I18" t="str">
        <f>IF(EXACT($F18,"Mask"),VLOOKUP($E18,Masks[],MATCH(I$1,Masks[#Headers],0),FALSE),IF(EXACT($F18,"Value"),VLOOKUP($E18,Values[],MATCH(I$1,Values[#Headers],0),FALSE),""))</f>
        <v>100000000</v>
      </c>
      <c r="K18" s="72" t="str">
        <f>CONCATENATE("RelationshipTest(RelationshipType.",UPPER(Table3[[#This Row],[Relationship]]),", 0b",Table3[[#This Row],[Region]],Table3[[#This Row],[External]],Table3[[#This Row],[Hull]],",")</f>
        <v>RelationshipTest(RelationshipType.OVERLAPS, 0b101000100100000000100000000,</v>
      </c>
    </row>
    <row r="19" spans="1:11" ht="19.5" thickBot="1" x14ac:dyDescent="0.3">
      <c r="A19" s="245" t="str">
        <f>'Tests To Binaries'!A11</f>
        <v>Overlaps</v>
      </c>
      <c r="B19" s="5" t="s">
        <v>74</v>
      </c>
      <c r="C19" s="6" t="str">
        <f t="shared" si="0"/>
        <v>(101000100, 100000000, 100000000)</v>
      </c>
      <c r="E19" t="str">
        <f t="shared" si="1"/>
        <v>Overlaps</v>
      </c>
      <c r="F19" t="str">
        <f t="shared" si="2"/>
        <v>Value</v>
      </c>
      <c r="G19" t="str">
        <f>IF(EXACT($F19,"Mask"),VLOOKUP($E19,Masks[],MATCH(G$1,Masks[#Headers],0),FALSE),IF(EXACT($F19,"Value"),VLOOKUP($E19,Values[],MATCH(G$1,Values[#Headers],0),FALSE),""))</f>
        <v>101000100</v>
      </c>
      <c r="H19" t="str">
        <f>IF(EXACT($F19,"Mask"),VLOOKUP($E19,Masks[],MATCH(H$1,Masks[#Headers],0),FALSE),IF(EXACT($F19,"Value"),VLOOKUP($E19,Values[],MATCH(H$1,Values[#Headers],0),FALSE),""))</f>
        <v>100000000</v>
      </c>
      <c r="I19" t="str">
        <f>IF(EXACT($F19,"Mask"),VLOOKUP($E19,Masks[],MATCH(I$1,Masks[#Headers],0),FALSE),IF(EXACT($F19,"Value"),VLOOKUP($E19,Values[],MATCH(I$1,Values[#Headers],0),FALSE),""))</f>
        <v>100000000</v>
      </c>
      <c r="K19" s="72" t="str">
        <f>CONCATENATE("                  0b",Table3[[#This Row],[Region]],Table3[[#This Row],[External]],Table3[[#This Row],[Hull]],"),")</f>
        <v xml:space="preserve">                  0b101000100100000000100000000),</v>
      </c>
    </row>
  </sheetData>
  <mergeCells count="10">
    <mergeCell ref="A2:A3"/>
    <mergeCell ref="B1:C1"/>
    <mergeCell ref="A14:A15"/>
    <mergeCell ref="A16:A17"/>
    <mergeCell ref="A18:A19"/>
    <mergeCell ref="A4:A5"/>
    <mergeCell ref="A6:A7"/>
    <mergeCell ref="A8:A9"/>
    <mergeCell ref="A10:A11"/>
    <mergeCell ref="A12:A13"/>
  </mergeCells>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Definitions</vt:lpstr>
      <vt:lpstr>Descision Tree</vt:lpstr>
      <vt:lpstr>Descision Matrix</vt:lpstr>
      <vt:lpstr>DE-9IM Matrixes</vt:lpstr>
      <vt:lpstr>Logic Uniqueness</vt:lpstr>
      <vt:lpstr>Tests To Binaries</vt:lpstr>
      <vt:lpstr>Inverted Relations</vt:lpstr>
      <vt:lpstr>Combined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Greg Salomons</dc:creator>
  <cp:keywords/>
  <dc:description/>
  <cp:lastModifiedBy>Greg Salomons</cp:lastModifiedBy>
  <cp:revision/>
  <dcterms:created xsi:type="dcterms:W3CDTF">2024-06-08T17:10:40Z</dcterms:created>
  <dcterms:modified xsi:type="dcterms:W3CDTF">2026-03-23T23:22:18Z</dcterms:modified>
  <cp:category/>
  <cp:contentStatus/>
</cp:coreProperties>
</file>