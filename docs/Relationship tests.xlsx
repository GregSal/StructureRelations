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diagrams/data1.xml" ContentType="application/vnd.openxmlformats-officedocument.drawingml.diagramData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69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8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Queen's University\Python\Projects\StructureRelations\docs\"/>
    </mc:Choice>
  </mc:AlternateContent>
  <xr:revisionPtr revIDLastSave="0" documentId="13_ncr:1_{E6CD9482-A276-41DD-B83E-930721FE68A1}" xr6:coauthVersionLast="47" xr6:coauthVersionMax="47" xr10:uidLastSave="{00000000-0000-0000-0000-000000000000}"/>
  <bookViews>
    <workbookView xWindow="-120" yWindow="-120" windowWidth="29040" windowHeight="15720" tabRatio="834" firstSheet="1" activeTab="2" xr2:uid="{00000000-000D-0000-FFFF-FFFF00000000}"/>
  </bookViews>
  <sheets>
    <sheet name="Definitions" sheetId="9" r:id="rId1"/>
    <sheet name="Descision Tree" sheetId="8" r:id="rId2"/>
    <sheet name="Descision Matrix" sheetId="15" r:id="rId3"/>
    <sheet name="DE-9IM Matrixes" sheetId="18" r:id="rId4"/>
    <sheet name="Inverted Relations" sheetId="14" r:id="rId5"/>
    <sheet name="Tests To Binaries" sheetId="4" r:id="rId6"/>
    <sheet name="As Json" sheetId="20" r:id="rId7"/>
    <sheet name="Combined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71" i="14" l="1"/>
  <c r="BH71" i="14"/>
  <c r="AX71" i="14"/>
  <c r="BR66" i="14"/>
  <c r="BH66" i="14"/>
  <c r="AX66" i="14"/>
  <c r="BR61" i="14"/>
  <c r="BH61" i="14"/>
  <c r="AX61" i="14"/>
  <c r="BR56" i="14"/>
  <c r="BH56" i="14"/>
  <c r="AX56" i="14"/>
  <c r="BR51" i="14"/>
  <c r="BH51" i="14"/>
  <c r="AX51" i="14"/>
  <c r="BR46" i="14"/>
  <c r="BH46" i="14"/>
  <c r="AX46" i="14"/>
  <c r="BR41" i="14"/>
  <c r="BH41" i="14"/>
  <c r="AX41" i="14"/>
  <c r="BR36" i="14"/>
  <c r="BH36" i="14"/>
  <c r="AX36" i="14"/>
  <c r="BR31" i="14"/>
  <c r="BH31" i="14"/>
  <c r="AX31" i="14"/>
  <c r="BR26" i="14"/>
  <c r="BH26" i="14"/>
  <c r="AX26" i="14"/>
  <c r="BR21" i="14"/>
  <c r="BH21" i="14"/>
  <c r="AX21" i="14"/>
  <c r="BR16" i="14"/>
  <c r="BH16" i="14"/>
  <c r="AX16" i="14"/>
  <c r="BR11" i="14"/>
  <c r="BH11" i="14"/>
  <c r="AX11" i="14"/>
  <c r="AX6" i="14"/>
  <c r="BH6" i="14"/>
  <c r="BR6" i="14"/>
  <c r="M68" i="18"/>
  <c r="G68" i="18"/>
  <c r="M67" i="18"/>
  <c r="G67" i="18"/>
  <c r="M63" i="18"/>
  <c r="G63" i="18"/>
  <c r="M62" i="18"/>
  <c r="G62" i="18"/>
  <c r="M58" i="18"/>
  <c r="G58" i="18"/>
  <c r="M57" i="18"/>
  <c r="G57" i="18"/>
  <c r="M53" i="18"/>
  <c r="G53" i="18"/>
  <c r="M52" i="18"/>
  <c r="G52" i="18"/>
  <c r="M48" i="18"/>
  <c r="G48" i="18"/>
  <c r="M47" i="18"/>
  <c r="G47" i="18"/>
  <c r="M43" i="18"/>
  <c r="G43" i="18"/>
  <c r="M42" i="18"/>
  <c r="G42" i="18"/>
  <c r="M38" i="18"/>
  <c r="G38" i="18"/>
  <c r="M37" i="18"/>
  <c r="G37" i="18"/>
  <c r="M33" i="18"/>
  <c r="G33" i="18"/>
  <c r="M32" i="18"/>
  <c r="G32" i="18"/>
  <c r="M28" i="18"/>
  <c r="G28" i="18"/>
  <c r="M27" i="18"/>
  <c r="G27" i="18"/>
  <c r="M23" i="18"/>
  <c r="G23" i="18"/>
  <c r="M22" i="18"/>
  <c r="G22" i="18"/>
  <c r="M18" i="18"/>
  <c r="G18" i="18"/>
  <c r="M17" i="18"/>
  <c r="G17" i="18"/>
  <c r="M13" i="18"/>
  <c r="G13" i="18"/>
  <c r="M12" i="18"/>
  <c r="G12" i="18"/>
  <c r="M8" i="18"/>
  <c r="G8" i="18"/>
  <c r="M7" i="18"/>
  <c r="G7" i="18"/>
  <c r="A71" i="18"/>
  <c r="R71" i="18"/>
  <c r="R72" i="14" s="1"/>
  <c r="Q71" i="18"/>
  <c r="P71" i="18"/>
  <c r="M71" i="18"/>
  <c r="L71" i="18"/>
  <c r="AN67" i="18" s="1"/>
  <c r="K71" i="18"/>
  <c r="K72" i="14" s="1"/>
  <c r="BF68" i="14" s="1"/>
  <c r="BD69" i="14" s="1"/>
  <c r="J71" i="18"/>
  <c r="J72" i="14" s="1"/>
  <c r="BE68" i="14" s="1"/>
  <c r="G71" i="18"/>
  <c r="F71" i="18"/>
  <c r="F72" i="14" s="1"/>
  <c r="AW68" i="14" s="1"/>
  <c r="AW69" i="14" s="1"/>
  <c r="E71" i="18"/>
  <c r="D71" i="18"/>
  <c r="A70" i="18"/>
  <c r="R70" i="18"/>
  <c r="R71" i="14" s="1"/>
  <c r="Q70" i="18"/>
  <c r="P70" i="18"/>
  <c r="M70" i="18"/>
  <c r="L70" i="18"/>
  <c r="L71" i="14" s="1"/>
  <c r="BD68" i="14" s="1"/>
  <c r="BF69" i="14" s="1"/>
  <c r="K70" i="18"/>
  <c r="K71" i="14" s="1"/>
  <c r="BC68" i="14" s="1"/>
  <c r="BC69" i="14" s="1"/>
  <c r="J70" i="18"/>
  <c r="J71" i="14" s="1"/>
  <c r="BB68" i="14" s="1"/>
  <c r="G70" i="18"/>
  <c r="F70" i="18"/>
  <c r="F71" i="14" s="1"/>
  <c r="AT68" i="14" s="1"/>
  <c r="E70" i="18"/>
  <c r="D70" i="18"/>
  <c r="A69" i="18"/>
  <c r="R69" i="18"/>
  <c r="R70" i="14" s="1"/>
  <c r="BK68" i="14" s="1"/>
  <c r="Q69" i="18"/>
  <c r="P69" i="18"/>
  <c r="M69" i="18"/>
  <c r="L69" i="18"/>
  <c r="L70" i="14" s="1"/>
  <c r="BA68" i="14" s="1"/>
  <c r="K69" i="18"/>
  <c r="AG67" i="18" s="1"/>
  <c r="J69" i="18"/>
  <c r="AF67" i="18" s="1"/>
  <c r="G69" i="18"/>
  <c r="F69" i="18"/>
  <c r="F70" i="14" s="1"/>
  <c r="E69" i="18"/>
  <c r="D69" i="18"/>
  <c r="A68" i="18"/>
  <c r="A67" i="18"/>
  <c r="A66" i="18"/>
  <c r="R66" i="18"/>
  <c r="Q66" i="18"/>
  <c r="Q67" i="14" s="1"/>
  <c r="BP63" i="14" s="1"/>
  <c r="BN64" i="14" s="1"/>
  <c r="P66" i="18"/>
  <c r="P67" i="14" s="1"/>
  <c r="BO63" i="14" s="1"/>
  <c r="M66" i="18"/>
  <c r="L66" i="18"/>
  <c r="L67" i="14" s="1"/>
  <c r="BG63" i="14" s="1"/>
  <c r="BG64" i="14" s="1"/>
  <c r="K66" i="18"/>
  <c r="K67" i="14" s="1"/>
  <c r="BF63" i="14" s="1"/>
  <c r="J66" i="18"/>
  <c r="G66" i="18"/>
  <c r="F66" i="18"/>
  <c r="F67" i="14" s="1"/>
  <c r="E66" i="18"/>
  <c r="E67" i="14" s="1"/>
  <c r="AV63" i="14" s="1"/>
  <c r="D66" i="18"/>
  <c r="D67" i="14" s="1"/>
  <c r="A65" i="18"/>
  <c r="R65" i="18"/>
  <c r="Q65" i="18"/>
  <c r="P65" i="18"/>
  <c r="M65" i="18"/>
  <c r="L65" i="18"/>
  <c r="K65" i="18"/>
  <c r="K66" i="14" s="1"/>
  <c r="J65" i="18"/>
  <c r="J66" i="14" s="1"/>
  <c r="G65" i="18"/>
  <c r="F65" i="18"/>
  <c r="E65" i="18"/>
  <c r="E66" i="14" s="1"/>
  <c r="D65" i="18"/>
  <c r="D66" i="14" s="1"/>
  <c r="AR63" i="14" s="1"/>
  <c r="A64" i="18"/>
  <c r="R64" i="18"/>
  <c r="Q64" i="18"/>
  <c r="Q65" i="14" s="1"/>
  <c r="BJ63" i="14" s="1"/>
  <c r="P64" i="18"/>
  <c r="P65" i="14" s="1"/>
  <c r="BI63" i="14" s="1"/>
  <c r="BI64" i="14" s="1"/>
  <c r="M64" i="18"/>
  <c r="L64" i="18"/>
  <c r="K64" i="18"/>
  <c r="J64" i="18"/>
  <c r="J65" i="14" s="1"/>
  <c r="AY63" i="14" s="1"/>
  <c r="AY64" i="14" s="1"/>
  <c r="G64" i="18"/>
  <c r="F64" i="18"/>
  <c r="E64" i="18"/>
  <c r="E65" i="14" s="1"/>
  <c r="AP63" i="14" s="1"/>
  <c r="D64" i="18"/>
  <c r="D65" i="14" s="1"/>
  <c r="AO63" i="14" s="1"/>
  <c r="AO64" i="14" s="1"/>
  <c r="A63" i="18"/>
  <c r="A62" i="18"/>
  <c r="A61" i="18"/>
  <c r="R61" i="18"/>
  <c r="Q61" i="18"/>
  <c r="P61" i="18"/>
  <c r="P62" i="14" s="1"/>
  <c r="BO58" i="14" s="1"/>
  <c r="BO59" i="14" s="1"/>
  <c r="M61" i="18"/>
  <c r="L61" i="18"/>
  <c r="L62" i="14" s="1"/>
  <c r="K61" i="18"/>
  <c r="K62" i="14" s="1"/>
  <c r="BF58" i="14" s="1"/>
  <c r="BF59" i="14" s="1"/>
  <c r="J61" i="18"/>
  <c r="AL57" i="18" s="1"/>
  <c r="G61" i="18"/>
  <c r="F61" i="18"/>
  <c r="E61" i="18"/>
  <c r="E62" i="14" s="1"/>
  <c r="AV58" i="14" s="1"/>
  <c r="AV59" i="14" s="1"/>
  <c r="D61" i="18"/>
  <c r="D62" i="14" s="1"/>
  <c r="AU58" i="14" s="1"/>
  <c r="AU59" i="14" s="1"/>
  <c r="A60" i="18"/>
  <c r="R60" i="18"/>
  <c r="R61" i="14" s="1"/>
  <c r="BN58" i="14" s="1"/>
  <c r="BN59" i="14" s="1"/>
  <c r="Q60" i="18"/>
  <c r="P60" i="18"/>
  <c r="P61" i="14" s="1"/>
  <c r="M60" i="18"/>
  <c r="L60" i="18"/>
  <c r="AK57" i="18" s="1"/>
  <c r="K60" i="18"/>
  <c r="AJ57" i="18" s="1"/>
  <c r="J60" i="18"/>
  <c r="AI57" i="18" s="1"/>
  <c r="G60" i="18"/>
  <c r="F60" i="18"/>
  <c r="E60" i="18"/>
  <c r="E61" i="14" s="1"/>
  <c r="AS58" i="14" s="1"/>
  <c r="AS59" i="14" s="1"/>
  <c r="D60" i="18"/>
  <c r="D61" i="14" s="1"/>
  <c r="AR58" i="14" s="1"/>
  <c r="AR59" i="14" s="1"/>
  <c r="A59" i="18"/>
  <c r="R59" i="18"/>
  <c r="R60" i="14" s="1"/>
  <c r="BK58" i="14" s="1"/>
  <c r="BK59" i="14" s="1"/>
  <c r="Q59" i="18"/>
  <c r="P59" i="18"/>
  <c r="M59" i="18"/>
  <c r="L59" i="18"/>
  <c r="L60" i="14" s="1"/>
  <c r="BA58" i="14" s="1"/>
  <c r="BA59" i="14" s="1"/>
  <c r="K59" i="18"/>
  <c r="K60" i="14" s="1"/>
  <c r="AZ58" i="14" s="1"/>
  <c r="AZ59" i="14" s="1"/>
  <c r="J59" i="18"/>
  <c r="J60" i="14" s="1"/>
  <c r="AY58" i="14" s="1"/>
  <c r="AY59" i="14" s="1"/>
  <c r="G59" i="18"/>
  <c r="F59" i="18"/>
  <c r="E59" i="18"/>
  <c r="D59" i="18"/>
  <c r="A58" i="18"/>
  <c r="A57" i="18"/>
  <c r="A58" i="14" s="1"/>
  <c r="AM58" i="14" s="1"/>
  <c r="A56" i="18"/>
  <c r="R56" i="18"/>
  <c r="R57" i="14" s="1"/>
  <c r="Q56" i="18"/>
  <c r="P56" i="18"/>
  <c r="P57" i="14" s="1"/>
  <c r="BO53" i="14" s="1"/>
  <c r="M56" i="18"/>
  <c r="L56" i="18"/>
  <c r="K56" i="18"/>
  <c r="K57" i="14" s="1"/>
  <c r="BF53" i="14" s="1"/>
  <c r="J56" i="18"/>
  <c r="J57" i="14" s="1"/>
  <c r="BE53" i="14" s="1"/>
  <c r="G56" i="18"/>
  <c r="F56" i="18"/>
  <c r="F57" i="14" s="1"/>
  <c r="AW53" i="14" s="1"/>
  <c r="AW54" i="14" s="1"/>
  <c r="E56" i="18"/>
  <c r="E57" i="14" s="1"/>
  <c r="AV53" i="14" s="1"/>
  <c r="D56" i="18"/>
  <c r="A55" i="18"/>
  <c r="R55" i="18"/>
  <c r="R56" i="14" s="1"/>
  <c r="BN53" i="14" s="1"/>
  <c r="Q55" i="18"/>
  <c r="AT52" i="18" s="1"/>
  <c r="P55" i="18"/>
  <c r="M55" i="18"/>
  <c r="L55" i="18"/>
  <c r="K55" i="18"/>
  <c r="J55" i="18"/>
  <c r="G55" i="18"/>
  <c r="F55" i="18"/>
  <c r="E55" i="18"/>
  <c r="E56" i="14" s="1"/>
  <c r="D55" i="18"/>
  <c r="D56" i="14" s="1"/>
  <c r="AR53" i="14" s="1"/>
  <c r="AP54" i="14" s="1"/>
  <c r="A54" i="18"/>
  <c r="R54" i="18"/>
  <c r="Q54" i="18"/>
  <c r="Q55" i="14" s="1"/>
  <c r="BJ53" i="14" s="1"/>
  <c r="BL54" i="14" s="1"/>
  <c r="P54" i="18"/>
  <c r="P55" i="14" s="1"/>
  <c r="M54" i="18"/>
  <c r="L54" i="18"/>
  <c r="L55" i="14" s="1"/>
  <c r="BA53" i="14" s="1"/>
  <c r="K54" i="18"/>
  <c r="K55" i="14" s="1"/>
  <c r="AZ53" i="14" s="1"/>
  <c r="J54" i="18"/>
  <c r="G54" i="18"/>
  <c r="F54" i="18"/>
  <c r="F55" i="14" s="1"/>
  <c r="E54" i="18"/>
  <c r="D54" i="18"/>
  <c r="D55" i="14" s="1"/>
  <c r="AO53" i="14" s="1"/>
  <c r="AO54" i="14" s="1"/>
  <c r="A53" i="18"/>
  <c r="A52" i="18"/>
  <c r="T52" i="18" s="1"/>
  <c r="BA52" i="18" s="1"/>
  <c r="A13" i="4" s="1"/>
  <c r="K13" i="4" s="1"/>
  <c r="A63" i="20" s="1"/>
  <c r="A62" i="20" s="1"/>
  <c r="A51" i="18"/>
  <c r="R51" i="18"/>
  <c r="R52" i="14" s="1"/>
  <c r="BQ48" i="14" s="1"/>
  <c r="BQ49" i="14" s="1"/>
  <c r="Q51" i="18"/>
  <c r="P51" i="18"/>
  <c r="M51" i="18"/>
  <c r="L51" i="18"/>
  <c r="K51" i="18"/>
  <c r="J51" i="18"/>
  <c r="J52" i="14" s="1"/>
  <c r="G51" i="18"/>
  <c r="F51" i="18"/>
  <c r="E51" i="18"/>
  <c r="E52" i="14" s="1"/>
  <c r="AV48" i="14" s="1"/>
  <c r="D51" i="18"/>
  <c r="D52" i="14" s="1"/>
  <c r="AU48" i="14" s="1"/>
  <c r="A50" i="18"/>
  <c r="R50" i="18"/>
  <c r="R51" i="14" s="1"/>
  <c r="BN48" i="14" s="1"/>
  <c r="Q50" i="18"/>
  <c r="Q51" i="14" s="1"/>
  <c r="BM48" i="14" s="1"/>
  <c r="BM49" i="14" s="1"/>
  <c r="P50" i="18"/>
  <c r="P51" i="14" s="1"/>
  <c r="BL48" i="14" s="1"/>
  <c r="M50" i="18"/>
  <c r="L50" i="18"/>
  <c r="L51" i="14" s="1"/>
  <c r="BD48" i="14" s="1"/>
  <c r="K50" i="18"/>
  <c r="K51" i="14" s="1"/>
  <c r="J50" i="18"/>
  <c r="G50" i="18"/>
  <c r="F50" i="18"/>
  <c r="F51" i="14" s="1"/>
  <c r="E50" i="18"/>
  <c r="D50" i="18"/>
  <c r="D51" i="14" s="1"/>
  <c r="AR48" i="14" s="1"/>
  <c r="A49" i="18"/>
  <c r="R49" i="18"/>
  <c r="Q49" i="18"/>
  <c r="Q50" i="14" s="1"/>
  <c r="BJ48" i="14" s="1"/>
  <c r="P49" i="18"/>
  <c r="P50" i="14" s="1"/>
  <c r="BI48" i="14" s="1"/>
  <c r="BI49" i="14" s="1"/>
  <c r="M49" i="18"/>
  <c r="L49" i="18"/>
  <c r="L50" i="14" s="1"/>
  <c r="K49" i="18"/>
  <c r="K50" i="14" s="1"/>
  <c r="AZ48" i="14" s="1"/>
  <c r="BB49" i="14" s="1"/>
  <c r="J49" i="18"/>
  <c r="G49" i="18"/>
  <c r="F49" i="18"/>
  <c r="F50" i="14" s="1"/>
  <c r="AQ48" i="14" s="1"/>
  <c r="E49" i="18"/>
  <c r="D49" i="18"/>
  <c r="A48" i="18"/>
  <c r="A47" i="18"/>
  <c r="A48" i="14" s="1"/>
  <c r="AM48" i="14" s="1"/>
  <c r="A46" i="18"/>
  <c r="R46" i="18"/>
  <c r="R47" i="14" s="1"/>
  <c r="BQ43" i="14" s="1"/>
  <c r="BQ44" i="14" s="1"/>
  <c r="Q46" i="18"/>
  <c r="Q47" i="14" s="1"/>
  <c r="BP43" i="14" s="1"/>
  <c r="P46" i="18"/>
  <c r="M46" i="18"/>
  <c r="L46" i="18"/>
  <c r="L47" i="14" s="1"/>
  <c r="BG43" i="14" s="1"/>
  <c r="BG44" i="14" s="1"/>
  <c r="K46" i="18"/>
  <c r="J46" i="18"/>
  <c r="J47" i="14" s="1"/>
  <c r="BE43" i="14" s="1"/>
  <c r="G46" i="18"/>
  <c r="F46" i="18"/>
  <c r="E46" i="18"/>
  <c r="E47" i="14" s="1"/>
  <c r="AV43" i="14" s="1"/>
  <c r="D46" i="18"/>
  <c r="D47" i="14" s="1"/>
  <c r="AU43" i="14" s="1"/>
  <c r="A45" i="18"/>
  <c r="R45" i="18"/>
  <c r="R46" i="14" s="1"/>
  <c r="BN43" i="14" s="1"/>
  <c r="Q45" i="18"/>
  <c r="Q46" i="14" s="1"/>
  <c r="BM43" i="14" s="1"/>
  <c r="BM44" i="14" s="1"/>
  <c r="P45" i="18"/>
  <c r="M45" i="18"/>
  <c r="L45" i="18"/>
  <c r="L46" i="14" s="1"/>
  <c r="BD43" i="14" s="1"/>
  <c r="K45" i="18"/>
  <c r="K46" i="14" s="1"/>
  <c r="BC43" i="14" s="1"/>
  <c r="BC44" i="14" s="1"/>
  <c r="J45" i="18"/>
  <c r="G45" i="18"/>
  <c r="F45" i="18"/>
  <c r="E45" i="18"/>
  <c r="D45" i="18"/>
  <c r="D46" i="14" s="1"/>
  <c r="AR43" i="14" s="1"/>
  <c r="A44" i="18"/>
  <c r="R44" i="18"/>
  <c r="Q44" i="18"/>
  <c r="Q45" i="14" s="1"/>
  <c r="BJ43" i="14" s="1"/>
  <c r="BL44" i="14" s="1"/>
  <c r="P44" i="18"/>
  <c r="P45" i="14" s="1"/>
  <c r="BI43" i="14" s="1"/>
  <c r="BI44" i="14" s="1"/>
  <c r="M44" i="18"/>
  <c r="L44" i="18"/>
  <c r="L45" i="14" s="1"/>
  <c r="BA43" i="14" s="1"/>
  <c r="K44" i="18"/>
  <c r="K45" i="14" s="1"/>
  <c r="AZ43" i="14" s="1"/>
  <c r="J44" i="18"/>
  <c r="J45" i="14" s="1"/>
  <c r="AY43" i="14" s="1"/>
  <c r="AY44" i="14" s="1"/>
  <c r="G44" i="18"/>
  <c r="F44" i="18"/>
  <c r="F45" i="14" s="1"/>
  <c r="AQ43" i="14" s="1"/>
  <c r="E44" i="18"/>
  <c r="E45" i="14" s="1"/>
  <c r="D44" i="18"/>
  <c r="A43" i="18"/>
  <c r="A42" i="18"/>
  <c r="A43" i="14" s="1"/>
  <c r="AM43" i="14" s="1"/>
  <c r="A41" i="18"/>
  <c r="R41" i="18"/>
  <c r="R42" i="14" s="1"/>
  <c r="BQ38" i="14" s="1"/>
  <c r="BQ39" i="14" s="1"/>
  <c r="Q41" i="18"/>
  <c r="P41" i="18"/>
  <c r="M41" i="18"/>
  <c r="L41" i="18"/>
  <c r="K41" i="18"/>
  <c r="J41" i="18"/>
  <c r="J42" i="14" s="1"/>
  <c r="BE38" i="14" s="1"/>
  <c r="G41" i="18"/>
  <c r="F41" i="18"/>
  <c r="E41" i="18"/>
  <c r="E42" i="14" s="1"/>
  <c r="AV38" i="14" s="1"/>
  <c r="D41" i="18"/>
  <c r="D42" i="14" s="1"/>
  <c r="AU38" i="14" s="1"/>
  <c r="A40" i="18"/>
  <c r="R40" i="18"/>
  <c r="R41" i="14" s="1"/>
  <c r="BN38" i="14" s="1"/>
  <c r="Q40" i="18"/>
  <c r="Q41" i="14" s="1"/>
  <c r="BM38" i="14" s="1"/>
  <c r="BM39" i="14" s="1"/>
  <c r="P40" i="18"/>
  <c r="P41" i="14" s="1"/>
  <c r="BL38" i="14" s="1"/>
  <c r="M40" i="18"/>
  <c r="L40" i="18"/>
  <c r="L41" i="14" s="1"/>
  <c r="BD38" i="14" s="1"/>
  <c r="K40" i="18"/>
  <c r="K41" i="14" s="1"/>
  <c r="BC38" i="14" s="1"/>
  <c r="BC39" i="14" s="1"/>
  <c r="J40" i="18"/>
  <c r="G40" i="18"/>
  <c r="F40" i="18"/>
  <c r="F41" i="14" s="1"/>
  <c r="AT38" i="14" s="1"/>
  <c r="E40" i="18"/>
  <c r="D40" i="18"/>
  <c r="D41" i="14" s="1"/>
  <c r="AR38" i="14" s="1"/>
  <c r="A39" i="18"/>
  <c r="R39" i="18"/>
  <c r="Q39" i="18"/>
  <c r="Q40" i="14" s="1"/>
  <c r="BJ38" i="14" s="1"/>
  <c r="P39" i="18"/>
  <c r="P40" i="14" s="1"/>
  <c r="BI38" i="14" s="1"/>
  <c r="BI39" i="14" s="1"/>
  <c r="M39" i="18"/>
  <c r="L39" i="18"/>
  <c r="L40" i="14" s="1"/>
  <c r="BA38" i="14" s="1"/>
  <c r="K39" i="18"/>
  <c r="K40" i="14" s="1"/>
  <c r="AZ38" i="14" s="1"/>
  <c r="J39" i="18"/>
  <c r="G39" i="18"/>
  <c r="F39" i="18"/>
  <c r="F40" i="14" s="1"/>
  <c r="AQ38" i="14" s="1"/>
  <c r="E39" i="18"/>
  <c r="D39" i="18"/>
  <c r="A38" i="18"/>
  <c r="A37" i="18"/>
  <c r="A38" i="14" s="1"/>
  <c r="A36" i="18"/>
  <c r="R36" i="18"/>
  <c r="R37" i="14" s="1"/>
  <c r="BQ33" i="14" s="1"/>
  <c r="BQ34" i="14" s="1"/>
  <c r="Q36" i="18"/>
  <c r="Q37" i="14" s="1"/>
  <c r="BP33" i="14" s="1"/>
  <c r="BP34" i="14" s="1"/>
  <c r="P36" i="18"/>
  <c r="M36" i="18"/>
  <c r="L36" i="18"/>
  <c r="L37" i="14" s="1"/>
  <c r="BG33" i="14" s="1"/>
  <c r="BG34" i="14" s="1"/>
  <c r="K36" i="18"/>
  <c r="J36" i="18"/>
  <c r="J37" i="14" s="1"/>
  <c r="BE33" i="14" s="1"/>
  <c r="BE34" i="14" s="1"/>
  <c r="G36" i="18"/>
  <c r="F36" i="18"/>
  <c r="E36" i="18"/>
  <c r="E37" i="14" s="1"/>
  <c r="AV33" i="14" s="1"/>
  <c r="AV34" i="14" s="1"/>
  <c r="D36" i="18"/>
  <c r="D37" i="14" s="1"/>
  <c r="AU33" i="14" s="1"/>
  <c r="AU34" i="14" s="1"/>
  <c r="A35" i="18"/>
  <c r="R35" i="18"/>
  <c r="R36" i="14" s="1"/>
  <c r="BN33" i="14" s="1"/>
  <c r="BN34" i="14" s="1"/>
  <c r="Q35" i="18"/>
  <c r="Q36" i="14" s="1"/>
  <c r="BM33" i="14" s="1"/>
  <c r="BM34" i="14" s="1"/>
  <c r="P35" i="18"/>
  <c r="M35" i="18"/>
  <c r="L35" i="18"/>
  <c r="L36" i="14" s="1"/>
  <c r="BD33" i="14" s="1"/>
  <c r="BD34" i="14" s="1"/>
  <c r="K35" i="18"/>
  <c r="J35" i="18"/>
  <c r="G35" i="18"/>
  <c r="F35" i="18"/>
  <c r="E35" i="18"/>
  <c r="D35" i="18"/>
  <c r="D36" i="14" s="1"/>
  <c r="AR33" i="14" s="1"/>
  <c r="AR34" i="14" s="1"/>
  <c r="A34" i="18"/>
  <c r="R34" i="18"/>
  <c r="Q34" i="18"/>
  <c r="Q35" i="14" s="1"/>
  <c r="BJ33" i="14" s="1"/>
  <c r="BJ34" i="14" s="1"/>
  <c r="P34" i="18"/>
  <c r="P35" i="14" s="1"/>
  <c r="BI33" i="14" s="1"/>
  <c r="BI34" i="14" s="1"/>
  <c r="M34" i="18"/>
  <c r="L34" i="18"/>
  <c r="L35" i="14" s="1"/>
  <c r="BA33" i="14" s="1"/>
  <c r="BA34" i="14" s="1"/>
  <c r="K34" i="18"/>
  <c r="K35" i="14" s="1"/>
  <c r="AZ33" i="14" s="1"/>
  <c r="AZ34" i="14" s="1"/>
  <c r="J34" i="18"/>
  <c r="J35" i="14" s="1"/>
  <c r="AY33" i="14" s="1"/>
  <c r="AY34" i="14" s="1"/>
  <c r="G34" i="18"/>
  <c r="F34" i="18"/>
  <c r="F35" i="14" s="1"/>
  <c r="AQ33" i="14" s="1"/>
  <c r="AQ34" i="14" s="1"/>
  <c r="E34" i="18"/>
  <c r="E35" i="14" s="1"/>
  <c r="AP33" i="14" s="1"/>
  <c r="AP34" i="14" s="1"/>
  <c r="D34" i="18"/>
  <c r="A33" i="18"/>
  <c r="A32" i="18"/>
  <c r="A33" i="14" s="1"/>
  <c r="AM33" i="14" s="1"/>
  <c r="A31" i="18"/>
  <c r="R31" i="18"/>
  <c r="R32" i="14" s="1"/>
  <c r="BQ28" i="14" s="1"/>
  <c r="BQ29" i="14" s="1"/>
  <c r="Q31" i="18"/>
  <c r="P31" i="18"/>
  <c r="M31" i="18"/>
  <c r="L31" i="18"/>
  <c r="K31" i="18"/>
  <c r="J31" i="18"/>
  <c r="J32" i="14" s="1"/>
  <c r="BE28" i="14" s="1"/>
  <c r="G31" i="18"/>
  <c r="F31" i="18"/>
  <c r="E31" i="18"/>
  <c r="E32" i="14" s="1"/>
  <c r="AV28" i="14" s="1"/>
  <c r="D31" i="18"/>
  <c r="D32" i="14" s="1"/>
  <c r="AU28" i="14" s="1"/>
  <c r="A30" i="18"/>
  <c r="R30" i="18"/>
  <c r="R31" i="14" s="1"/>
  <c r="BN28" i="14" s="1"/>
  <c r="Q30" i="18"/>
  <c r="Q31" i="14" s="1"/>
  <c r="BM28" i="14" s="1"/>
  <c r="BM29" i="14" s="1"/>
  <c r="P30" i="18"/>
  <c r="P31" i="14" s="1"/>
  <c r="BL28" i="14" s="1"/>
  <c r="M30" i="18"/>
  <c r="L30" i="18"/>
  <c r="L31" i="14" s="1"/>
  <c r="BD28" i="14" s="1"/>
  <c r="BF29" i="14" s="1"/>
  <c r="K30" i="18"/>
  <c r="K31" i="14" s="1"/>
  <c r="BC28" i="14" s="1"/>
  <c r="BC29" i="14" s="1"/>
  <c r="J30" i="18"/>
  <c r="G30" i="18"/>
  <c r="F30" i="18"/>
  <c r="F31" i="14" s="1"/>
  <c r="AT28" i="14" s="1"/>
  <c r="E30" i="18"/>
  <c r="D30" i="18"/>
  <c r="D31" i="14" s="1"/>
  <c r="AR28" i="14" s="1"/>
  <c r="A29" i="18"/>
  <c r="R29" i="18"/>
  <c r="Q29" i="18"/>
  <c r="Q30" i="14" s="1"/>
  <c r="BJ28" i="14" s="1"/>
  <c r="P29" i="18"/>
  <c r="P30" i="14" s="1"/>
  <c r="BI28" i="14" s="1"/>
  <c r="BI29" i="14" s="1"/>
  <c r="M29" i="18"/>
  <c r="L29" i="18"/>
  <c r="L30" i="14" s="1"/>
  <c r="BA28" i="14" s="1"/>
  <c r="K29" i="18"/>
  <c r="K30" i="14" s="1"/>
  <c r="AZ28" i="14" s="1"/>
  <c r="J29" i="18"/>
  <c r="G29" i="18"/>
  <c r="F29" i="18"/>
  <c r="F30" i="14" s="1"/>
  <c r="AQ28" i="14" s="1"/>
  <c r="E29" i="18"/>
  <c r="D29" i="18"/>
  <c r="A28" i="18"/>
  <c r="A27" i="18"/>
  <c r="A28" i="14" s="1"/>
  <c r="A26" i="18"/>
  <c r="R26" i="18"/>
  <c r="R27" i="14" s="1"/>
  <c r="BQ23" i="14" s="1"/>
  <c r="BQ24" i="14" s="1"/>
  <c r="Q26" i="18"/>
  <c r="Q27" i="14" s="1"/>
  <c r="BP23" i="14" s="1"/>
  <c r="BN24" i="14" s="1"/>
  <c r="P26" i="18"/>
  <c r="P27" i="14" s="1"/>
  <c r="BO23" i="14" s="1"/>
  <c r="M26" i="18"/>
  <c r="L26" i="18"/>
  <c r="L27" i="14" s="1"/>
  <c r="BG23" i="14" s="1"/>
  <c r="BG24" i="14" s="1"/>
  <c r="K26" i="18"/>
  <c r="K27" i="14" s="1"/>
  <c r="BF23" i="14" s="1"/>
  <c r="J26" i="18"/>
  <c r="G26" i="18"/>
  <c r="F26" i="18"/>
  <c r="F27" i="14" s="1"/>
  <c r="AW23" i="14" s="1"/>
  <c r="AW24" i="14" s="1"/>
  <c r="E26" i="18"/>
  <c r="D26" i="18"/>
  <c r="D27" i="14" s="1"/>
  <c r="AU23" i="14" s="1"/>
  <c r="A25" i="18"/>
  <c r="R25" i="18"/>
  <c r="Q25" i="18"/>
  <c r="Q26" i="14" s="1"/>
  <c r="BM23" i="14" s="1"/>
  <c r="BM24" i="14" s="1"/>
  <c r="P25" i="18"/>
  <c r="P26" i="14" s="1"/>
  <c r="BL23" i="14" s="1"/>
  <c r="M25" i="18"/>
  <c r="L25" i="18"/>
  <c r="L26" i="14" s="1"/>
  <c r="BD23" i="14" s="1"/>
  <c r="K25" i="18"/>
  <c r="K26" i="14" s="1"/>
  <c r="BC23" i="14" s="1"/>
  <c r="BC24" i="14" s="1"/>
  <c r="J25" i="18"/>
  <c r="G25" i="18"/>
  <c r="F25" i="18"/>
  <c r="F26" i="14" s="1"/>
  <c r="AT23" i="14" s="1"/>
  <c r="E25" i="18"/>
  <c r="D25" i="18"/>
  <c r="A24" i="18"/>
  <c r="R24" i="18"/>
  <c r="Q24" i="18"/>
  <c r="P24" i="18"/>
  <c r="P25" i="14" s="1"/>
  <c r="BI23" i="14" s="1"/>
  <c r="BI24" i="14" s="1"/>
  <c r="M24" i="18"/>
  <c r="L24" i="18"/>
  <c r="K24" i="18"/>
  <c r="K25" i="14" s="1"/>
  <c r="J24" i="18"/>
  <c r="J25" i="14" s="1"/>
  <c r="AY23" i="14" s="1"/>
  <c r="AY24" i="14" s="1"/>
  <c r="G24" i="18"/>
  <c r="F24" i="18"/>
  <c r="F25" i="14" s="1"/>
  <c r="AQ23" i="14" s="1"/>
  <c r="AQ24" i="14" s="1"/>
  <c r="E24" i="18"/>
  <c r="E25" i="14" s="1"/>
  <c r="AP23" i="14" s="1"/>
  <c r="D24" i="18"/>
  <c r="D25" i="14" s="1"/>
  <c r="AO23" i="14" s="1"/>
  <c r="AO24" i="14" s="1"/>
  <c r="A23" i="18"/>
  <c r="A22" i="18"/>
  <c r="T22" i="18" s="1"/>
  <c r="BA22" i="18" s="1"/>
  <c r="A7" i="4" s="1"/>
  <c r="A21" i="18"/>
  <c r="R21" i="18"/>
  <c r="Q21" i="18"/>
  <c r="Q22" i="14" s="1"/>
  <c r="BP18" i="14" s="1"/>
  <c r="BP19" i="14" s="1"/>
  <c r="P21" i="18"/>
  <c r="P22" i="14" s="1"/>
  <c r="BO18" i="14" s="1"/>
  <c r="BO19" i="14" s="1"/>
  <c r="M21" i="18"/>
  <c r="L21" i="18"/>
  <c r="L22" i="14" s="1"/>
  <c r="BG18" i="14" s="1"/>
  <c r="BG19" i="14" s="1"/>
  <c r="K21" i="18"/>
  <c r="K22" i="14" s="1"/>
  <c r="BF18" i="14" s="1"/>
  <c r="BF19" i="14" s="1"/>
  <c r="J21" i="18"/>
  <c r="G21" i="18"/>
  <c r="F21" i="18"/>
  <c r="F22" i="14" s="1"/>
  <c r="AW18" i="14" s="1"/>
  <c r="AW19" i="14" s="1"/>
  <c r="E21" i="18"/>
  <c r="D21" i="18"/>
  <c r="A20" i="18"/>
  <c r="R20" i="18"/>
  <c r="Q20" i="18"/>
  <c r="P20" i="18"/>
  <c r="P21" i="14" s="1"/>
  <c r="BL18" i="14" s="1"/>
  <c r="BL19" i="14" s="1"/>
  <c r="M20" i="18"/>
  <c r="L20" i="18"/>
  <c r="K20" i="18"/>
  <c r="K21" i="14" s="1"/>
  <c r="BC18" i="14" s="1"/>
  <c r="BC19" i="14" s="1"/>
  <c r="J20" i="18"/>
  <c r="J21" i="14" s="1"/>
  <c r="BB18" i="14" s="1"/>
  <c r="BB19" i="14" s="1"/>
  <c r="G20" i="18"/>
  <c r="F20" i="18"/>
  <c r="F21" i="14" s="1"/>
  <c r="AT18" i="14" s="1"/>
  <c r="AT19" i="14" s="1"/>
  <c r="E20" i="18"/>
  <c r="E21" i="14" s="1"/>
  <c r="AS18" i="14" s="1"/>
  <c r="AS19" i="14" s="1"/>
  <c r="D20" i="18"/>
  <c r="D21" i="14" s="1"/>
  <c r="AR18" i="14" s="1"/>
  <c r="AR19" i="14" s="1"/>
  <c r="A19" i="18"/>
  <c r="R19" i="18"/>
  <c r="R20" i="14" s="1"/>
  <c r="BK18" i="14" s="1"/>
  <c r="BK19" i="14" s="1"/>
  <c r="Q19" i="18"/>
  <c r="Q20" i="14" s="1"/>
  <c r="BJ18" i="14" s="1"/>
  <c r="BJ19" i="14" s="1"/>
  <c r="P19" i="18"/>
  <c r="M19" i="18"/>
  <c r="L19" i="18"/>
  <c r="L20" i="14" s="1"/>
  <c r="BA18" i="14" s="1"/>
  <c r="BA19" i="14" s="1"/>
  <c r="K19" i="18"/>
  <c r="J19" i="18"/>
  <c r="J20" i="14" s="1"/>
  <c r="AY18" i="14" s="1"/>
  <c r="AY19" i="14" s="1"/>
  <c r="G19" i="18"/>
  <c r="F19" i="18"/>
  <c r="E19" i="18"/>
  <c r="D19" i="18"/>
  <c r="D20" i="14" s="1"/>
  <c r="AO18" i="14" s="1"/>
  <c r="AO19" i="14" s="1"/>
  <c r="A18" i="18"/>
  <c r="A17" i="18"/>
  <c r="A18" i="14" s="1"/>
  <c r="AM18" i="14" s="1"/>
  <c r="A16" i="18"/>
  <c r="R16" i="18"/>
  <c r="Q16" i="18"/>
  <c r="P16" i="18"/>
  <c r="P17" i="14" s="1"/>
  <c r="BO13" i="14" s="1"/>
  <c r="M16" i="18"/>
  <c r="L16" i="18"/>
  <c r="K16" i="18"/>
  <c r="K17" i="14" s="1"/>
  <c r="BF13" i="14" s="1"/>
  <c r="J16" i="18"/>
  <c r="J17" i="14" s="1"/>
  <c r="BE13" i="14" s="1"/>
  <c r="G16" i="18"/>
  <c r="F16" i="18"/>
  <c r="F17" i="14" s="1"/>
  <c r="AW13" i="14" s="1"/>
  <c r="AW14" i="14" s="1"/>
  <c r="E16" i="18"/>
  <c r="E17" i="14" s="1"/>
  <c r="AV13" i="14" s="1"/>
  <c r="D16" i="18"/>
  <c r="D17" i="14" s="1"/>
  <c r="AU13" i="14" s="1"/>
  <c r="A15" i="18"/>
  <c r="R15" i="18"/>
  <c r="R16" i="14" s="1"/>
  <c r="BN13" i="14" s="1"/>
  <c r="Q15" i="18"/>
  <c r="Q16" i="14" s="1"/>
  <c r="BM13" i="14" s="1"/>
  <c r="BM14" i="14" s="1"/>
  <c r="P15" i="18"/>
  <c r="M15" i="18"/>
  <c r="L15" i="18"/>
  <c r="L16" i="14" s="1"/>
  <c r="BD13" i="14" s="1"/>
  <c r="K15" i="18"/>
  <c r="J15" i="18"/>
  <c r="J16" i="14" s="1"/>
  <c r="BB13" i="14" s="1"/>
  <c r="G15" i="18"/>
  <c r="F15" i="18"/>
  <c r="E15" i="18"/>
  <c r="E16" i="14" s="1"/>
  <c r="D15" i="18"/>
  <c r="D16" i="14" s="1"/>
  <c r="AR13" i="14" s="1"/>
  <c r="AP14" i="14" s="1"/>
  <c r="A14" i="18"/>
  <c r="R14" i="18"/>
  <c r="R15" i="14" s="1"/>
  <c r="Q14" i="18"/>
  <c r="Q15" i="14" s="1"/>
  <c r="BJ13" i="14" s="1"/>
  <c r="P14" i="18"/>
  <c r="M14" i="18"/>
  <c r="L14" i="18"/>
  <c r="L15" i="14" s="1"/>
  <c r="BA13" i="14" s="1"/>
  <c r="K14" i="18"/>
  <c r="J14" i="18"/>
  <c r="G14" i="18"/>
  <c r="F14" i="18"/>
  <c r="E14" i="18"/>
  <c r="D14" i="18"/>
  <c r="D15" i="14" s="1"/>
  <c r="AO13" i="14" s="1"/>
  <c r="AO14" i="14" s="1"/>
  <c r="A13" i="18"/>
  <c r="A12" i="18"/>
  <c r="A13" i="14" s="1"/>
  <c r="A11" i="18"/>
  <c r="R11" i="18"/>
  <c r="R12" i="14" s="1"/>
  <c r="BQ8" i="14" s="1"/>
  <c r="BQ9" i="14" s="1"/>
  <c r="Q11" i="18"/>
  <c r="P11" i="18"/>
  <c r="P12" i="14" s="1"/>
  <c r="BO8" i="14" s="1"/>
  <c r="M11" i="18"/>
  <c r="L11" i="18"/>
  <c r="K11" i="18"/>
  <c r="K12" i="14" s="1"/>
  <c r="BF8" i="14" s="1"/>
  <c r="J11" i="18"/>
  <c r="J12" i="14" s="1"/>
  <c r="BE8" i="14" s="1"/>
  <c r="G11" i="18"/>
  <c r="F11" i="18"/>
  <c r="F12" i="14" s="1"/>
  <c r="AW8" i="14" s="1"/>
  <c r="AW9" i="14" s="1"/>
  <c r="E11" i="18"/>
  <c r="E12" i="14" s="1"/>
  <c r="AV8" i="14" s="1"/>
  <c r="D11" i="18"/>
  <c r="A10" i="18"/>
  <c r="R10" i="18"/>
  <c r="R11" i="14" s="1"/>
  <c r="BN8" i="14" s="1"/>
  <c r="Q10" i="18"/>
  <c r="P10" i="18"/>
  <c r="M10" i="18"/>
  <c r="L10" i="18"/>
  <c r="K10" i="18"/>
  <c r="J10" i="18"/>
  <c r="J11" i="14" s="1"/>
  <c r="BB8" i="14" s="1"/>
  <c r="G10" i="18"/>
  <c r="F10" i="18"/>
  <c r="E10" i="18"/>
  <c r="Z7" i="18" s="1"/>
  <c r="D10" i="18"/>
  <c r="D11" i="14" s="1"/>
  <c r="A9" i="18"/>
  <c r="R9" i="18"/>
  <c r="R10" i="14" s="1"/>
  <c r="BK8" i="14" s="1"/>
  <c r="Q9" i="18"/>
  <c r="Q10" i="14" s="1"/>
  <c r="P9" i="18"/>
  <c r="P10" i="14" s="1"/>
  <c r="BI8" i="14" s="1"/>
  <c r="BI9" i="14" s="1"/>
  <c r="M9" i="18"/>
  <c r="L9" i="18"/>
  <c r="L10" i="14" s="1"/>
  <c r="K9" i="18"/>
  <c r="K10" i="14" s="1"/>
  <c r="AZ8" i="14" s="1"/>
  <c r="J9" i="18"/>
  <c r="G9" i="18"/>
  <c r="F9" i="18"/>
  <c r="F10" i="14" s="1"/>
  <c r="AQ8" i="14" s="1"/>
  <c r="E9" i="18"/>
  <c r="E10" i="14" s="1"/>
  <c r="D9" i="18"/>
  <c r="V7" i="18" s="1"/>
  <c r="A8" i="18"/>
  <c r="A7" i="18"/>
  <c r="A8" i="14" s="1"/>
  <c r="AM8" i="14" s="1"/>
  <c r="A6" i="18"/>
  <c r="R6" i="18"/>
  <c r="R7" i="14" s="1"/>
  <c r="AK7" i="14" s="1"/>
  <c r="BQ5" i="14" s="1"/>
  <c r="Q6" i="18"/>
  <c r="P6" i="18"/>
  <c r="P7" i="14" s="1"/>
  <c r="AK5" i="14" s="1"/>
  <c r="BK5" i="14" s="1"/>
  <c r="M6" i="18"/>
  <c r="L6" i="18"/>
  <c r="K6" i="18"/>
  <c r="J6" i="18"/>
  <c r="J7" i="14" s="1"/>
  <c r="G6" i="18"/>
  <c r="F6" i="18"/>
  <c r="E6" i="18"/>
  <c r="E7" i="14" s="1"/>
  <c r="D6" i="18"/>
  <c r="D7" i="14" s="1"/>
  <c r="Y5" i="14" s="1"/>
  <c r="AQ5" i="14" s="1"/>
  <c r="A5" i="18"/>
  <c r="R5" i="18"/>
  <c r="R6" i="14" s="1"/>
  <c r="BN3" i="14" s="1"/>
  <c r="BN4" i="14" s="1"/>
  <c r="Q5" i="18"/>
  <c r="P5" i="18"/>
  <c r="M5" i="18"/>
  <c r="L5" i="18"/>
  <c r="L6" i="14" s="1"/>
  <c r="BD3" i="14" s="1"/>
  <c r="BD4" i="14" s="1"/>
  <c r="K5" i="18"/>
  <c r="J5" i="18"/>
  <c r="G5" i="18"/>
  <c r="F5" i="18"/>
  <c r="E5" i="18"/>
  <c r="Z2" i="18" s="1"/>
  <c r="D5" i="18"/>
  <c r="Y2" i="18" s="1"/>
  <c r="A4" i="18"/>
  <c r="R4" i="18"/>
  <c r="R5" i="14" s="1"/>
  <c r="AI7" i="14" s="1"/>
  <c r="BO5" i="14" s="1"/>
  <c r="Q4" i="18"/>
  <c r="Q5" i="14" s="1"/>
  <c r="AI6" i="14" s="1"/>
  <c r="BL5" i="14" s="1"/>
  <c r="P4" i="18"/>
  <c r="P5" i="14" s="1"/>
  <c r="BI3" i="14" s="1"/>
  <c r="BI4" i="14" s="1"/>
  <c r="M4" i="18"/>
  <c r="L4" i="18"/>
  <c r="L5" i="14" s="1"/>
  <c r="BA3" i="14" s="1"/>
  <c r="BA4" i="14" s="1"/>
  <c r="K4" i="18"/>
  <c r="K5" i="14" s="1"/>
  <c r="AC6" i="14" s="1"/>
  <c r="BB5" i="14" s="1"/>
  <c r="J4" i="18"/>
  <c r="J5" i="14" s="1"/>
  <c r="G4" i="18"/>
  <c r="F4" i="18"/>
  <c r="E4" i="18"/>
  <c r="E5" i="14" s="1"/>
  <c r="AP3" i="14" s="1"/>
  <c r="AP4" i="14" s="1"/>
  <c r="D4" i="18"/>
  <c r="D5" i="14" s="1"/>
  <c r="W5" i="14" s="1"/>
  <c r="A3" i="18"/>
  <c r="M3" i="18"/>
  <c r="G3" i="18"/>
  <c r="A2" i="18"/>
  <c r="A3" i="14" s="1"/>
  <c r="T3" i="14" s="1"/>
  <c r="AM5" i="14" s="1"/>
  <c r="M2" i="18"/>
  <c r="G2" i="18"/>
  <c r="Y45" i="14"/>
  <c r="AQ45" i="14" s="1"/>
  <c r="AJ46" i="14"/>
  <c r="BM45" i="14" s="1"/>
  <c r="AD47" i="14"/>
  <c r="BF45" i="14" s="1"/>
  <c r="X45" i="14"/>
  <c r="AP45" i="14" s="1"/>
  <c r="AC45" i="14"/>
  <c r="AY45" i="14" s="1"/>
  <c r="AK42" i="14"/>
  <c r="BQ40" i="14" s="1"/>
  <c r="AE40" i="14"/>
  <c r="BA40" i="14" s="1"/>
  <c r="Y41" i="14"/>
  <c r="AT40" i="14" s="1"/>
  <c r="AJ42" i="14"/>
  <c r="BP40" i="14" s="1"/>
  <c r="X42" i="14"/>
  <c r="AV40" i="14" s="1"/>
  <c r="X40" i="14"/>
  <c r="AP40" i="14" s="1"/>
  <c r="AI41" i="14"/>
  <c r="BL40" i="14" s="1"/>
  <c r="AI40" i="14"/>
  <c r="BI40" i="14" s="1"/>
  <c r="W42" i="14"/>
  <c r="AU40" i="14" s="1"/>
  <c r="AJ36" i="14"/>
  <c r="BM35" i="14" s="1"/>
  <c r="AI36" i="14"/>
  <c r="BL35" i="14" s="1"/>
  <c r="AI35" i="14"/>
  <c r="BI35" i="14" s="1"/>
  <c r="AC36" i="14"/>
  <c r="BB35" i="14" s="1"/>
  <c r="W37" i="14"/>
  <c r="AU35" i="14" s="1"/>
  <c r="W36" i="14"/>
  <c r="AR35" i="14" s="1"/>
  <c r="AK32" i="14"/>
  <c r="BQ30" i="14" s="1"/>
  <c r="Y30" i="14"/>
  <c r="AQ30" i="14" s="1"/>
  <c r="Y27" i="14"/>
  <c r="AW25" i="14" s="1"/>
  <c r="Y25" i="14"/>
  <c r="AQ25" i="14" s="1"/>
  <c r="AD27" i="14"/>
  <c r="BF25" i="14" s="1"/>
  <c r="AC25" i="14"/>
  <c r="AY25" i="14" s="1"/>
  <c r="X22" i="14"/>
  <c r="AV20" i="14" s="1"/>
  <c r="AK15" i="14"/>
  <c r="BK15" i="14" s="1"/>
  <c r="AE16" i="14"/>
  <c r="BD15" i="14" s="1"/>
  <c r="Y15" i="14"/>
  <c r="AQ15" i="14" s="1"/>
  <c r="AJ16" i="14"/>
  <c r="BM15" i="14" s="1"/>
  <c r="AD15" i="14"/>
  <c r="AZ15" i="14" s="1"/>
  <c r="AE11" i="14"/>
  <c r="BD10" i="14" s="1"/>
  <c r="Y11" i="14"/>
  <c r="AT10" i="14" s="1"/>
  <c r="AD10" i="14"/>
  <c r="AZ10" i="14" s="1"/>
  <c r="AC11" i="14"/>
  <c r="BB10" i="14" s="1"/>
  <c r="BE3" i="14"/>
  <c r="BE4" i="14" s="1"/>
  <c r="Y6" i="14"/>
  <c r="AT5" i="14" s="1"/>
  <c r="AC5" i="14"/>
  <c r="AY5" i="14" s="1"/>
  <c r="AK37" i="14" l="1"/>
  <c r="BQ35" i="14" s="1"/>
  <c r="AE37" i="14"/>
  <c r="BG35" i="14" s="1"/>
  <c r="AI30" i="14"/>
  <c r="BI30" i="14" s="1"/>
  <c r="AE27" i="14"/>
  <c r="BG25" i="14" s="1"/>
  <c r="BN44" i="14"/>
  <c r="BL29" i="14"/>
  <c r="AE47" i="14"/>
  <c r="BG45" i="14" s="1"/>
  <c r="Y46" i="14"/>
  <c r="AT45" i="14" s="1"/>
  <c r="AK46" i="14"/>
  <c r="BN45" i="14" s="1"/>
  <c r="AC20" i="14"/>
  <c r="AY20" i="14" s="1"/>
  <c r="AW22" i="18"/>
  <c r="AC42" i="18"/>
  <c r="AL52" i="18"/>
  <c r="AQ62" i="18"/>
  <c r="AG32" i="18"/>
  <c r="AQ42" i="18"/>
  <c r="AM52" i="18"/>
  <c r="AV62" i="18"/>
  <c r="W15" i="14"/>
  <c r="AO15" i="14" s="1"/>
  <c r="AK20" i="14"/>
  <c r="BK20" i="14" s="1"/>
  <c r="AK25" i="14"/>
  <c r="BK25" i="14" s="1"/>
  <c r="BF14" i="14"/>
  <c r="AL32" i="18"/>
  <c r="AW42" i="18"/>
  <c r="T57" i="18"/>
  <c r="BA57" i="18" s="1"/>
  <c r="A14" i="4" s="1"/>
  <c r="K14" i="4" s="1"/>
  <c r="A69" i="20" s="1"/>
  <c r="A68" i="20" s="1"/>
  <c r="AW62" i="18"/>
  <c r="AQ26" i="14"/>
  <c r="AQ44" i="14"/>
  <c r="AT32" i="18"/>
  <c r="X47" i="18"/>
  <c r="AU57" i="18"/>
  <c r="AA67" i="18"/>
  <c r="X27" i="14"/>
  <c r="AV25" i="14" s="1"/>
  <c r="AD32" i="14"/>
  <c r="BF30" i="14" s="1"/>
  <c r="BF31" i="14" s="1"/>
  <c r="T37" i="18"/>
  <c r="BA37" i="18" s="1"/>
  <c r="A10" i="4" s="1"/>
  <c r="AK47" i="18"/>
  <c r="V62" i="18"/>
  <c r="AD67" i="18"/>
  <c r="AA37" i="18"/>
  <c r="AX47" i="18"/>
  <c r="W62" i="18"/>
  <c r="AX67" i="18"/>
  <c r="AI10" i="14"/>
  <c r="BI10" i="14" s="1"/>
  <c r="AJ25" i="14"/>
  <c r="BJ25" i="14" s="1"/>
  <c r="Y31" i="14"/>
  <c r="AT30" i="14" s="1"/>
  <c r="AE35" i="14"/>
  <c r="BA35" i="14" s="1"/>
  <c r="AJ41" i="14"/>
  <c r="BM40" i="14" s="1"/>
  <c r="W42" i="18"/>
  <c r="Z52" i="18"/>
  <c r="AI62" i="18"/>
  <c r="BE39" i="14"/>
  <c r="AJ22" i="18"/>
  <c r="AB42" i="18"/>
  <c r="AG52" i="18"/>
  <c r="AJ62" i="18"/>
  <c r="J6" i="14"/>
  <c r="AD5" i="14" s="1"/>
  <c r="AZ5" i="14" s="1"/>
  <c r="AI2" i="18"/>
  <c r="P16" i="14"/>
  <c r="AS12" i="18"/>
  <c r="BE14" i="14"/>
  <c r="BA14" i="14"/>
  <c r="AU17" i="18"/>
  <c r="R21" i="14"/>
  <c r="J26" i="14"/>
  <c r="AI22" i="18"/>
  <c r="AU24" i="14"/>
  <c r="AQ29" i="14"/>
  <c r="AQ31" i="14" s="1"/>
  <c r="AU29" i="14"/>
  <c r="AR27" i="18"/>
  <c r="R30" i="14"/>
  <c r="F32" i="14"/>
  <c r="AW28" i="14" s="1"/>
  <c r="AW29" i="14" s="1"/>
  <c r="AD27" i="18"/>
  <c r="BQ31" i="14"/>
  <c r="AR36" i="14"/>
  <c r="P36" i="14"/>
  <c r="AS32" i="18"/>
  <c r="T38" i="14"/>
  <c r="AM40" i="14" s="1"/>
  <c r="AM38" i="14"/>
  <c r="BA39" i="14"/>
  <c r="BA41" i="14" s="1"/>
  <c r="L42" i="14"/>
  <c r="BG38" i="14" s="1"/>
  <c r="BG39" i="14" s="1"/>
  <c r="AN37" i="18"/>
  <c r="D45" i="14"/>
  <c r="V42" i="18"/>
  <c r="J46" i="14"/>
  <c r="AI42" i="18"/>
  <c r="AU44" i="14"/>
  <c r="P47" i="14"/>
  <c r="AV42" i="18"/>
  <c r="R50" i="14"/>
  <c r="BK48" i="14" s="1"/>
  <c r="AR47" i="18"/>
  <c r="F52" i="14"/>
  <c r="AW48" i="14" s="1"/>
  <c r="AW49" i="14" s="1"/>
  <c r="AD47" i="18"/>
  <c r="J55" i="14"/>
  <c r="AY53" i="14" s="1"/>
  <c r="AY54" i="14" s="1"/>
  <c r="AF52" i="18"/>
  <c r="P56" i="14"/>
  <c r="BL53" i="14" s="1"/>
  <c r="BJ54" i="14" s="1"/>
  <c r="AS52" i="18"/>
  <c r="BE54" i="14"/>
  <c r="BA54" i="14"/>
  <c r="F61" i="14"/>
  <c r="AT58" i="14" s="1"/>
  <c r="AT59" i="14" s="1"/>
  <c r="AA57" i="18"/>
  <c r="BB63" i="14"/>
  <c r="AD65" i="14"/>
  <c r="AZ65" i="14" s="1"/>
  <c r="AU63" i="14"/>
  <c r="Y65" i="14"/>
  <c r="AQ65" i="14" s="1"/>
  <c r="AQ68" i="14"/>
  <c r="W72" i="14"/>
  <c r="AU70" i="14" s="1"/>
  <c r="BO69" i="14"/>
  <c r="BQ68" i="14"/>
  <c r="BQ69" i="14" s="1"/>
  <c r="AK72" i="14"/>
  <c r="BQ70" i="14" s="1"/>
  <c r="AB2" i="18"/>
  <c r="AQ2" i="18"/>
  <c r="AD7" i="18"/>
  <c r="AR7" i="18"/>
  <c r="AB12" i="18"/>
  <c r="AQ12" i="18"/>
  <c r="Z17" i="18"/>
  <c r="AN17" i="18"/>
  <c r="X22" i="18"/>
  <c r="AM22" i="18"/>
  <c r="X27" i="18"/>
  <c r="AK27" i="18"/>
  <c r="T32" i="18"/>
  <c r="BA32" i="18" s="1"/>
  <c r="A9" i="4" s="1"/>
  <c r="AH32" i="18"/>
  <c r="AW32" i="18"/>
  <c r="AG37" i="18"/>
  <c r="AT37" i="18"/>
  <c r="AA47" i="18"/>
  <c r="AP47" i="18"/>
  <c r="Y52" i="18"/>
  <c r="AP52" i="18"/>
  <c r="AB57" i="18"/>
  <c r="Y62" i="18"/>
  <c r="K6" i="14"/>
  <c r="AD6" i="14" s="1"/>
  <c r="BC5" i="14" s="1"/>
  <c r="AJ2" i="18"/>
  <c r="AW2" i="18"/>
  <c r="Q7" i="14"/>
  <c r="AK6" i="14" s="1"/>
  <c r="BN5" i="14" s="1"/>
  <c r="K15" i="14"/>
  <c r="AG12" i="18"/>
  <c r="X16" i="14"/>
  <c r="AS15" i="14" s="1"/>
  <c r="AS13" i="14"/>
  <c r="AS14" i="14" s="1"/>
  <c r="Q25" i="14"/>
  <c r="BJ23" i="14" s="1"/>
  <c r="BJ24" i="14" s="1"/>
  <c r="AQ22" i="18"/>
  <c r="E27" i="14"/>
  <c r="AC22" i="18"/>
  <c r="E36" i="14"/>
  <c r="AS33" i="14" s="1"/>
  <c r="AS34" i="14" s="1"/>
  <c r="Z32" i="18"/>
  <c r="BM36" i="14"/>
  <c r="AM32" i="18"/>
  <c r="K37" i="14"/>
  <c r="BF33" i="14" s="1"/>
  <c r="BF34" i="14" s="1"/>
  <c r="W46" i="14"/>
  <c r="AR45" i="14" s="1"/>
  <c r="AP43" i="14"/>
  <c r="BP44" i="14"/>
  <c r="AS53" i="14"/>
  <c r="AS54" i="14" s="1"/>
  <c r="X56" i="14"/>
  <c r="AS55" i="14" s="1"/>
  <c r="BC63" i="14"/>
  <c r="BC64" i="14" s="1"/>
  <c r="AD66" i="14"/>
  <c r="BC65" i="14" s="1"/>
  <c r="AC2" i="18"/>
  <c r="AR2" i="18"/>
  <c r="AG7" i="18"/>
  <c r="AU7" i="18"/>
  <c r="AC12" i="18"/>
  <c r="AR12" i="18"/>
  <c r="AA17" i="18"/>
  <c r="AQ17" i="18"/>
  <c r="AA22" i="18"/>
  <c r="AN22" i="18"/>
  <c r="Y27" i="18"/>
  <c r="AL27" i="18"/>
  <c r="W32" i="18"/>
  <c r="AK32" i="18"/>
  <c r="AX32" i="18"/>
  <c r="AH37" i="18"/>
  <c r="AU37" i="18"/>
  <c r="AF42" i="18"/>
  <c r="AT42" i="18"/>
  <c r="AB47" i="18"/>
  <c r="AQ47" i="18"/>
  <c r="AQ52" i="18"/>
  <c r="AC57" i="18"/>
  <c r="Z62" i="18"/>
  <c r="BA9" i="14"/>
  <c r="BP14" i="14"/>
  <c r="AR22" i="18"/>
  <c r="R25" i="14"/>
  <c r="AW26" i="14"/>
  <c r="J30" i="14"/>
  <c r="AY28" i="14" s="1"/>
  <c r="AY29" i="14" s="1"/>
  <c r="AF27" i="18"/>
  <c r="F36" i="14"/>
  <c r="AT33" i="14" s="1"/>
  <c r="AT34" i="14" s="1"/>
  <c r="AA32" i="18"/>
  <c r="D40" i="14"/>
  <c r="V37" i="18"/>
  <c r="AI37" i="18"/>
  <c r="J41" i="14"/>
  <c r="BB38" i="14" s="1"/>
  <c r="R45" i="14"/>
  <c r="BK43" i="14" s="1"/>
  <c r="AR42" i="18"/>
  <c r="F47" i="14"/>
  <c r="AD42" i="18"/>
  <c r="J50" i="14"/>
  <c r="AY48" i="14" s="1"/>
  <c r="AY49" i="14" s="1"/>
  <c r="AF47" i="18"/>
  <c r="BL49" i="14"/>
  <c r="BJ49" i="14"/>
  <c r="BE48" i="14"/>
  <c r="AE50" i="14"/>
  <c r="BA50" i="14" s="1"/>
  <c r="F56" i="14"/>
  <c r="AT53" i="14" s="1"/>
  <c r="AV54" i="14" s="1"/>
  <c r="AA52" i="18"/>
  <c r="BP54" i="14"/>
  <c r="L57" i="14"/>
  <c r="BG53" i="14" s="1"/>
  <c r="BG54" i="14" s="1"/>
  <c r="AN52" i="18"/>
  <c r="D60" i="14"/>
  <c r="AO58" i="14" s="1"/>
  <c r="AO59" i="14" s="1"/>
  <c r="V57" i="18"/>
  <c r="P60" i="14"/>
  <c r="BI58" i="14" s="1"/>
  <c r="BI59" i="14" s="1"/>
  <c r="AP57" i="18"/>
  <c r="X62" i="18"/>
  <c r="F65" i="14"/>
  <c r="AQ63" i="14" s="1"/>
  <c r="AR62" i="18"/>
  <c r="R65" i="14"/>
  <c r="BK63" i="14" s="1"/>
  <c r="L66" i="14"/>
  <c r="BD63" i="14" s="1"/>
  <c r="AK62" i="18"/>
  <c r="AW63" i="14"/>
  <c r="AW64" i="14" s="1"/>
  <c r="Y67" i="14"/>
  <c r="AW65" i="14" s="1"/>
  <c r="AX62" i="18"/>
  <c r="R67" i="14"/>
  <c r="D71" i="14"/>
  <c r="Y67" i="18"/>
  <c r="P71" i="14"/>
  <c r="AS67" i="18"/>
  <c r="AF2" i="18"/>
  <c r="AU2" i="18"/>
  <c r="AH7" i="18"/>
  <c r="AV7" i="18"/>
  <c r="AD12" i="18"/>
  <c r="AT12" i="18"/>
  <c r="AD17" i="18"/>
  <c r="AR17" i="18"/>
  <c r="AB22" i="18"/>
  <c r="AP22" i="18"/>
  <c r="AA27" i="18"/>
  <c r="AP27" i="18"/>
  <c r="X32" i="18"/>
  <c r="AJ37" i="18"/>
  <c r="AX37" i="18"/>
  <c r="AG42" i="18"/>
  <c r="AU42" i="18"/>
  <c r="AC47" i="18"/>
  <c r="AS47" i="18"/>
  <c r="AC52" i="18"/>
  <c r="AU52" i="18"/>
  <c r="AR57" i="18"/>
  <c r="AD62" i="18"/>
  <c r="F5" i="14"/>
  <c r="W7" i="14" s="1"/>
  <c r="AU5" i="14" s="1"/>
  <c r="X2" i="18"/>
  <c r="AD2" i="18"/>
  <c r="F7" i="14"/>
  <c r="Y7" i="14" s="1"/>
  <c r="AW5" i="14" s="1"/>
  <c r="AF7" i="18"/>
  <c r="J10" i="14"/>
  <c r="P11" i="14"/>
  <c r="AS7" i="18"/>
  <c r="T13" i="14"/>
  <c r="AM15" i="14" s="1"/>
  <c r="AM13" i="14"/>
  <c r="F16" i="14"/>
  <c r="AA12" i="18"/>
  <c r="L17" i="14"/>
  <c r="AN12" i="18"/>
  <c r="P20" i="14"/>
  <c r="AP17" i="18"/>
  <c r="D22" i="14"/>
  <c r="AB17" i="18"/>
  <c r="BD24" i="14"/>
  <c r="BF24" i="14"/>
  <c r="BF26" i="14" s="1"/>
  <c r="BI41" i="14"/>
  <c r="P42" i="14"/>
  <c r="AV37" i="18"/>
  <c r="AK10" i="14"/>
  <c r="BK10" i="14" s="1"/>
  <c r="W20" i="14"/>
  <c r="AO20" i="14" s="1"/>
  <c r="AO21" i="14" s="1"/>
  <c r="Y22" i="14"/>
  <c r="AW20" i="14" s="1"/>
  <c r="AW21" i="14" s="1"/>
  <c r="AZ9" i="14"/>
  <c r="AZ11" i="14" s="1"/>
  <c r="BB9" i="14"/>
  <c r="BB11" i="14" s="1"/>
  <c r="Q11" i="14"/>
  <c r="AT7" i="18"/>
  <c r="W17" i="18"/>
  <c r="E20" i="14"/>
  <c r="AP18" i="14" s="1"/>
  <c r="AP19" i="14" s="1"/>
  <c r="E22" i="14"/>
  <c r="AV18" i="14" s="1"/>
  <c r="AV19" i="14" s="1"/>
  <c r="AV21" i="14" s="1"/>
  <c r="AC17" i="18"/>
  <c r="Z27" i="18"/>
  <c r="E31" i="14"/>
  <c r="K32" i="14"/>
  <c r="AM27" i="18"/>
  <c r="W37" i="18"/>
  <c r="E40" i="14"/>
  <c r="AP38" i="14" s="1"/>
  <c r="AP39" i="14" s="1"/>
  <c r="AP41" i="14" s="1"/>
  <c r="BJ39" i="14"/>
  <c r="BL39" i="14"/>
  <c r="BL41" i="14" s="1"/>
  <c r="AV39" i="14"/>
  <c r="AV41" i="14" s="1"/>
  <c r="AT39" i="14"/>
  <c r="AT41" i="14" s="1"/>
  <c r="Q42" i="14"/>
  <c r="BP38" i="14" s="1"/>
  <c r="BP39" i="14" s="1"/>
  <c r="BP41" i="14" s="1"/>
  <c r="AW37" i="18"/>
  <c r="E51" i="14"/>
  <c r="AS48" i="14" s="1"/>
  <c r="AS49" i="14" s="1"/>
  <c r="Z47" i="18"/>
  <c r="K52" i="14"/>
  <c r="BF48" i="14" s="1"/>
  <c r="BF49" i="14" s="1"/>
  <c r="AM47" i="18"/>
  <c r="E60" i="14"/>
  <c r="AP58" i="14" s="1"/>
  <c r="AP59" i="14" s="1"/>
  <c r="W57" i="18"/>
  <c r="Q60" i="14"/>
  <c r="AQ57" i="18"/>
  <c r="Q62" i="14"/>
  <c r="BP58" i="14" s="1"/>
  <c r="BP59" i="14" s="1"/>
  <c r="AW57" i="18"/>
  <c r="Z67" i="18"/>
  <c r="E71" i="14"/>
  <c r="Q71" i="14"/>
  <c r="BM68" i="14" s="1"/>
  <c r="BM69" i="14" s="1"/>
  <c r="AT67" i="18"/>
  <c r="AG2" i="18"/>
  <c r="AV2" i="18"/>
  <c r="AI7" i="18"/>
  <c r="AX7" i="18"/>
  <c r="AH12" i="18"/>
  <c r="AU12" i="18"/>
  <c r="AF17" i="18"/>
  <c r="AS17" i="18"/>
  <c r="AD22" i="18"/>
  <c r="AS22" i="18"/>
  <c r="AB27" i="18"/>
  <c r="AQ27" i="18"/>
  <c r="Y32" i="18"/>
  <c r="AN32" i="18"/>
  <c r="X37" i="18"/>
  <c r="AK37" i="18"/>
  <c r="T42" i="18"/>
  <c r="BA42" i="18" s="1"/>
  <c r="A11" i="4" s="1"/>
  <c r="AH42" i="18"/>
  <c r="AG47" i="18"/>
  <c r="AT47" i="18"/>
  <c r="AD52" i="18"/>
  <c r="AV52" i="18"/>
  <c r="AS57" i="18"/>
  <c r="AF62" i="18"/>
  <c r="AI12" i="14"/>
  <c r="BO10" i="14" s="1"/>
  <c r="AK12" i="14"/>
  <c r="BQ10" i="14" s="1"/>
  <c r="BQ11" i="14" s="1"/>
  <c r="P6" i="14"/>
  <c r="AJ5" i="14" s="1"/>
  <c r="BJ5" i="14" s="1"/>
  <c r="AS2" i="18"/>
  <c r="AC12" i="14"/>
  <c r="BE10" i="14" s="1"/>
  <c r="BA8" i="14"/>
  <c r="BE9" i="14" s="1"/>
  <c r="F11" i="14"/>
  <c r="AT8" i="14" s="1"/>
  <c r="AA7" i="18"/>
  <c r="L12" i="14"/>
  <c r="AN7" i="18"/>
  <c r="P15" i="14"/>
  <c r="AP12" i="18"/>
  <c r="X17" i="18"/>
  <c r="F20" i="14"/>
  <c r="AQ18" i="14" s="1"/>
  <c r="AQ19" i="14" s="1"/>
  <c r="L21" i="14"/>
  <c r="AK17" i="18"/>
  <c r="AX17" i="18"/>
  <c r="R22" i="14"/>
  <c r="AY26" i="14"/>
  <c r="D26" i="14"/>
  <c r="Y22" i="18"/>
  <c r="J27" i="14"/>
  <c r="BE23" i="14" s="1"/>
  <c r="AL22" i="18"/>
  <c r="BA29" i="14"/>
  <c r="BE29" i="14"/>
  <c r="AT29" i="14"/>
  <c r="AV29" i="14"/>
  <c r="L32" i="14"/>
  <c r="BG28" i="14" s="1"/>
  <c r="BG29" i="14" s="1"/>
  <c r="AN27" i="18"/>
  <c r="V32" i="18"/>
  <c r="D35" i="14"/>
  <c r="BI36" i="14"/>
  <c r="J36" i="14"/>
  <c r="AI32" i="18"/>
  <c r="AU36" i="14"/>
  <c r="P37" i="14"/>
  <c r="AV32" i="18"/>
  <c r="AQ39" i="14"/>
  <c r="AU39" i="14"/>
  <c r="AU41" i="14" s="1"/>
  <c r="R40" i="14"/>
  <c r="BK38" i="14" s="1"/>
  <c r="AR37" i="18"/>
  <c r="F42" i="14"/>
  <c r="AD37" i="18"/>
  <c r="BQ41" i="14"/>
  <c r="AY46" i="14"/>
  <c r="P46" i="14"/>
  <c r="BL43" i="14" s="1"/>
  <c r="BJ44" i="14" s="1"/>
  <c r="AS42" i="18"/>
  <c r="BE44" i="14"/>
  <c r="BA44" i="14"/>
  <c r="BA48" i="14"/>
  <c r="AC52" i="14"/>
  <c r="BE50" i="14" s="1"/>
  <c r="X52" i="14"/>
  <c r="AV50" i="14" s="1"/>
  <c r="AT48" i="14"/>
  <c r="AT49" i="14" s="1"/>
  <c r="L52" i="14"/>
  <c r="BG48" i="14" s="1"/>
  <c r="BG49" i="14" s="1"/>
  <c r="AN47" i="18"/>
  <c r="AI55" i="14"/>
  <c r="BI55" i="14" s="1"/>
  <c r="BI53" i="14"/>
  <c r="BI54" i="14" s="1"/>
  <c r="BI56" i="14" s="1"/>
  <c r="AI52" i="18"/>
  <c r="J56" i="14"/>
  <c r="BB53" i="14" s="1"/>
  <c r="D57" i="14"/>
  <c r="AB52" i="18"/>
  <c r="F60" i="14"/>
  <c r="AQ58" i="14" s="1"/>
  <c r="AQ59" i="14" s="1"/>
  <c r="X57" i="18"/>
  <c r="F62" i="14"/>
  <c r="AD57" i="18"/>
  <c r="R62" i="14"/>
  <c r="BQ58" i="14" s="1"/>
  <c r="BQ59" i="14" s="1"/>
  <c r="AX57" i="18"/>
  <c r="AR64" i="14"/>
  <c r="AP64" i="14"/>
  <c r="P66" i="14"/>
  <c r="AS62" i="18"/>
  <c r="J67" i="14"/>
  <c r="AL62" i="18"/>
  <c r="A68" i="14"/>
  <c r="AM68" i="14" s="1"/>
  <c r="T67" i="18"/>
  <c r="BA67" i="18" s="1"/>
  <c r="A16" i="4" s="1"/>
  <c r="F16" i="4" s="1"/>
  <c r="AV69" i="14"/>
  <c r="AH2" i="18"/>
  <c r="AX2" i="18"/>
  <c r="AL7" i="18"/>
  <c r="T12" i="18"/>
  <c r="BA12" i="18" s="1"/>
  <c r="A5" i="4" s="1"/>
  <c r="AI12" i="18"/>
  <c r="AV12" i="18"/>
  <c r="AH17" i="18"/>
  <c r="AV17" i="18"/>
  <c r="AF22" i="18"/>
  <c r="AT22" i="18"/>
  <c r="AC27" i="18"/>
  <c r="AS27" i="18"/>
  <c r="AB32" i="18"/>
  <c r="AP32" i="18"/>
  <c r="Y37" i="18"/>
  <c r="AL37" i="18"/>
  <c r="AK42" i="18"/>
  <c r="AX42" i="18"/>
  <c r="AH47" i="18"/>
  <c r="AU47" i="18"/>
  <c r="AX52" i="18"/>
  <c r="L11" i="14"/>
  <c r="AK7" i="18"/>
  <c r="AT2" i="18"/>
  <c r="Q6" i="14"/>
  <c r="AJ6" i="14" s="1"/>
  <c r="BM5" i="14" s="1"/>
  <c r="AM2" i="18"/>
  <c r="K7" i="14"/>
  <c r="AE6" i="14" s="1"/>
  <c r="BD5" i="14" s="1"/>
  <c r="BD6" i="14" s="1"/>
  <c r="E15" i="14"/>
  <c r="W12" i="18"/>
  <c r="K16" i="14"/>
  <c r="AJ12" i="18"/>
  <c r="Q17" i="14"/>
  <c r="BP13" i="14" s="1"/>
  <c r="BN14" i="14" s="1"/>
  <c r="AW12" i="18"/>
  <c r="AC26" i="14"/>
  <c r="BB25" i="14" s="1"/>
  <c r="AZ23" i="14"/>
  <c r="E26" i="14"/>
  <c r="AS23" i="14" s="1"/>
  <c r="AS24" i="14" s="1"/>
  <c r="Z22" i="18"/>
  <c r="K36" i="14"/>
  <c r="AJ32" i="18"/>
  <c r="BB44" i="14"/>
  <c r="E46" i="14"/>
  <c r="Z42" i="18"/>
  <c r="BM46" i="14"/>
  <c r="K47" i="14"/>
  <c r="BF43" i="14" s="1"/>
  <c r="BF44" i="14" s="1"/>
  <c r="BF46" i="14" s="1"/>
  <c r="AM42" i="18"/>
  <c r="E55" i="14"/>
  <c r="AP53" i="14" s="1"/>
  <c r="AR54" i="14" s="1"/>
  <c r="W52" i="18"/>
  <c r="K56" i="14"/>
  <c r="BC53" i="14" s="1"/>
  <c r="BC54" i="14" s="1"/>
  <c r="AJ52" i="18"/>
  <c r="AT54" i="14"/>
  <c r="Q57" i="14"/>
  <c r="BP53" i="14" s="1"/>
  <c r="BN54" i="14" s="1"/>
  <c r="AW52" i="18"/>
  <c r="AG62" i="18"/>
  <c r="K65" i="14"/>
  <c r="AS63" i="14"/>
  <c r="AS64" i="14" s="1"/>
  <c r="X66" i="14"/>
  <c r="AS65" i="14" s="1"/>
  <c r="Q66" i="14"/>
  <c r="BM63" i="14" s="1"/>
  <c r="BM64" i="14" s="1"/>
  <c r="AT62" i="18"/>
  <c r="AK2" i="18"/>
  <c r="T7" i="18"/>
  <c r="BA7" i="18" s="1"/>
  <c r="A4" i="4" s="1"/>
  <c r="AM7" i="18"/>
  <c r="V12" i="18"/>
  <c r="AK12" i="18"/>
  <c r="T17" i="18"/>
  <c r="BA17" i="18" s="1"/>
  <c r="A6" i="4" s="1"/>
  <c r="AI17" i="18"/>
  <c r="AW17" i="18"/>
  <c r="AG22" i="18"/>
  <c r="AV22" i="18"/>
  <c r="AG27" i="18"/>
  <c r="AT27" i="18"/>
  <c r="AC32" i="18"/>
  <c r="AQ32" i="18"/>
  <c r="AP37" i="18"/>
  <c r="X42" i="18"/>
  <c r="AL42" i="18"/>
  <c r="T47" i="18"/>
  <c r="BA47" i="18" s="1"/>
  <c r="A12" i="4" s="1"/>
  <c r="K12" i="4" s="1"/>
  <c r="A57" i="20" s="1"/>
  <c r="A56" i="20" s="1"/>
  <c r="AJ47" i="18"/>
  <c r="AH52" i="18"/>
  <c r="AV57" i="18"/>
  <c r="F6" i="14"/>
  <c r="X7" i="14" s="1"/>
  <c r="AV5" i="14" s="1"/>
  <c r="AA2" i="18"/>
  <c r="L7" i="14"/>
  <c r="AE7" i="14" s="1"/>
  <c r="BG5" i="14" s="1"/>
  <c r="AN2" i="18"/>
  <c r="D12" i="14"/>
  <c r="AB7" i="18"/>
  <c r="F15" i="14"/>
  <c r="AQ13" i="14" s="1"/>
  <c r="AQ14" i="14" s="1"/>
  <c r="AQ16" i="14" s="1"/>
  <c r="X12" i="18"/>
  <c r="R17" i="14"/>
  <c r="BQ13" i="14" s="1"/>
  <c r="BQ14" i="14" s="1"/>
  <c r="AX12" i="18"/>
  <c r="L25" i="14"/>
  <c r="BA23" i="14" s="1"/>
  <c r="AH22" i="18"/>
  <c r="AV24" i="14"/>
  <c r="AU22" i="18"/>
  <c r="R26" i="14"/>
  <c r="J31" i="14"/>
  <c r="AI27" i="18"/>
  <c r="P32" i="14"/>
  <c r="BO28" i="14" s="1"/>
  <c r="AV27" i="18"/>
  <c r="R35" i="14"/>
  <c r="AR32" i="18"/>
  <c r="J40" i="14"/>
  <c r="AF37" i="18"/>
  <c r="F46" i="14"/>
  <c r="AT43" i="14" s="1"/>
  <c r="AA42" i="18"/>
  <c r="D50" i="14"/>
  <c r="V47" i="18"/>
  <c r="AI47" i="18"/>
  <c r="J51" i="14"/>
  <c r="BB48" i="14" s="1"/>
  <c r="AZ49" i="14" s="1"/>
  <c r="AU49" i="14"/>
  <c r="AQ49" i="14"/>
  <c r="P52" i="14"/>
  <c r="AV47" i="18"/>
  <c r="W57" i="14"/>
  <c r="AU55" i="14" s="1"/>
  <c r="AQ53" i="14"/>
  <c r="AR52" i="18"/>
  <c r="R55" i="14"/>
  <c r="BK53" i="14" s="1"/>
  <c r="BK54" i="14" s="1"/>
  <c r="L56" i="14"/>
  <c r="BD53" i="14" s="1"/>
  <c r="BD54" i="14" s="1"/>
  <c r="AK52" i="18"/>
  <c r="BQ53" i="14"/>
  <c r="BQ54" i="14" s="1"/>
  <c r="AK57" i="14"/>
  <c r="BQ55" i="14" s="1"/>
  <c r="BL58" i="14"/>
  <c r="BL59" i="14" s="1"/>
  <c r="AJ60" i="14"/>
  <c r="BJ60" i="14" s="1"/>
  <c r="A63" i="14"/>
  <c r="AM63" i="14" s="1"/>
  <c r="T62" i="18"/>
  <c r="BA62" i="18" s="1"/>
  <c r="A15" i="4" s="1"/>
  <c r="K15" i="4" s="1"/>
  <c r="A75" i="20" s="1"/>
  <c r="A74" i="20" s="1"/>
  <c r="L65" i="14"/>
  <c r="BA63" i="14" s="1"/>
  <c r="AH62" i="18"/>
  <c r="F66" i="14"/>
  <c r="AT63" i="14" s="1"/>
  <c r="AA62" i="18"/>
  <c r="R66" i="14"/>
  <c r="BN63" i="14" s="1"/>
  <c r="BP64" i="14" s="1"/>
  <c r="AU62" i="18"/>
  <c r="V67" i="18"/>
  <c r="D70" i="14"/>
  <c r="AO68" i="14" s="1"/>
  <c r="AO69" i="14" s="1"/>
  <c r="P70" i="14"/>
  <c r="AP67" i="18"/>
  <c r="D72" i="14"/>
  <c r="AB67" i="18"/>
  <c r="P72" i="14"/>
  <c r="BO68" i="14" s="1"/>
  <c r="BK69" i="14" s="1"/>
  <c r="AV67" i="18"/>
  <c r="T2" i="18"/>
  <c r="BA2" i="18" s="1"/>
  <c r="A3" i="4" s="1"/>
  <c r="AL2" i="18"/>
  <c r="X7" i="18"/>
  <c r="AP7" i="18"/>
  <c r="Y12" i="18"/>
  <c r="AL12" i="18"/>
  <c r="V17" i="18"/>
  <c r="AJ17" i="18"/>
  <c r="V22" i="18"/>
  <c r="AH27" i="18"/>
  <c r="AU27" i="18"/>
  <c r="AF32" i="18"/>
  <c r="AB37" i="18"/>
  <c r="AQ37" i="18"/>
  <c r="Y42" i="18"/>
  <c r="AN42" i="18"/>
  <c r="V52" i="18"/>
  <c r="Y57" i="18"/>
  <c r="AM62" i="18"/>
  <c r="J15" i="14"/>
  <c r="AY13" i="14" s="1"/>
  <c r="AY14" i="14" s="1"/>
  <c r="AF12" i="18"/>
  <c r="W12" i="14"/>
  <c r="AU10" i="14" s="1"/>
  <c r="BO9" i="14"/>
  <c r="BK9" i="14"/>
  <c r="AI17" i="14"/>
  <c r="BO15" i="14" s="1"/>
  <c r="BK13" i="14"/>
  <c r="BK14" i="14" s="1"/>
  <c r="BK16" i="14" s="1"/>
  <c r="BD14" i="14"/>
  <c r="BD16" i="14" s="1"/>
  <c r="J22" i="14"/>
  <c r="AL17" i="18"/>
  <c r="D30" i="14"/>
  <c r="AO28" i="14" s="1"/>
  <c r="AO29" i="14" s="1"/>
  <c r="V27" i="18"/>
  <c r="F37" i="14"/>
  <c r="AD32" i="18"/>
  <c r="AR39" i="14"/>
  <c r="AC17" i="14"/>
  <c r="BE15" i="14" s="1"/>
  <c r="AE15" i="14"/>
  <c r="BA15" i="14" s="1"/>
  <c r="W25" i="14"/>
  <c r="AO25" i="14" s="1"/>
  <c r="AO26" i="14" s="1"/>
  <c r="AI11" i="14"/>
  <c r="BL10" i="14" s="1"/>
  <c r="BJ8" i="14"/>
  <c r="BL9" i="14" s="1"/>
  <c r="K11" i="14"/>
  <c r="AJ7" i="18"/>
  <c r="AV9" i="14"/>
  <c r="AT9" i="14"/>
  <c r="AT11" i="14" s="1"/>
  <c r="Q12" i="14"/>
  <c r="BP8" i="14" s="1"/>
  <c r="BP9" i="14" s="1"/>
  <c r="AW7" i="18"/>
  <c r="K20" i="14"/>
  <c r="AZ18" i="14" s="1"/>
  <c r="AZ19" i="14" s="1"/>
  <c r="AG17" i="18"/>
  <c r="Q21" i="14"/>
  <c r="AT17" i="18"/>
  <c r="E30" i="14"/>
  <c r="AP28" i="14" s="1"/>
  <c r="AP29" i="14" s="1"/>
  <c r="W27" i="18"/>
  <c r="BJ29" i="14"/>
  <c r="Q32" i="14"/>
  <c r="AW27" i="18"/>
  <c r="BB39" i="14"/>
  <c r="Z37" i="18"/>
  <c r="E41" i="14"/>
  <c r="K42" i="14"/>
  <c r="AM37" i="18"/>
  <c r="W47" i="18"/>
  <c r="E50" i="14"/>
  <c r="AP48" i="14" s="1"/>
  <c r="BC48" i="14"/>
  <c r="BC49" i="14" s="1"/>
  <c r="AD51" i="14"/>
  <c r="BC50" i="14" s="1"/>
  <c r="Q52" i="14"/>
  <c r="BP48" i="14" s="1"/>
  <c r="BP49" i="14" s="1"/>
  <c r="AW47" i="18"/>
  <c r="AT57" i="18"/>
  <c r="Q61" i="14"/>
  <c r="BM58" i="14" s="1"/>
  <c r="BM59" i="14" s="1"/>
  <c r="W67" i="18"/>
  <c r="E70" i="14"/>
  <c r="Q70" i="14"/>
  <c r="AQ67" i="18"/>
  <c r="E72" i="14"/>
  <c r="AV68" i="14" s="1"/>
  <c r="AT69" i="14" s="1"/>
  <c r="AC67" i="18"/>
  <c r="Q72" i="14"/>
  <c r="AW67" i="18"/>
  <c r="V2" i="18"/>
  <c r="AP2" i="18"/>
  <c r="AC7" i="18"/>
  <c r="AQ7" i="18"/>
  <c r="Z12" i="18"/>
  <c r="AM12" i="18"/>
  <c r="Y17" i="18"/>
  <c r="AM17" i="18"/>
  <c r="W22" i="18"/>
  <c r="AK22" i="18"/>
  <c r="AX22" i="18"/>
  <c r="AJ27" i="18"/>
  <c r="AX27" i="18"/>
  <c r="AU32" i="18"/>
  <c r="AC37" i="18"/>
  <c r="AS37" i="18"/>
  <c r="AP42" i="18"/>
  <c r="Y47" i="18"/>
  <c r="AL47" i="18"/>
  <c r="X52" i="18"/>
  <c r="Z57" i="18"/>
  <c r="AN62" i="18"/>
  <c r="AB62" i="18"/>
  <c r="X67" i="18"/>
  <c r="Q56" i="14"/>
  <c r="BM53" i="14" s="1"/>
  <c r="BM54" i="14" s="1"/>
  <c r="AT44" i="14"/>
  <c r="AJ42" i="18"/>
  <c r="AC62" i="18"/>
  <c r="AR67" i="18"/>
  <c r="BN68" i="14"/>
  <c r="AJ72" i="14"/>
  <c r="BP70" i="14" s="1"/>
  <c r="AP62" i="18"/>
  <c r="AU67" i="18"/>
  <c r="AL67" i="18"/>
  <c r="J70" i="14"/>
  <c r="AY68" i="14" s="1"/>
  <c r="AY69" i="14" s="1"/>
  <c r="AJ67" i="18"/>
  <c r="BG58" i="14"/>
  <c r="BG59" i="14" s="1"/>
  <c r="AE62" i="14"/>
  <c r="BG60" i="14" s="1"/>
  <c r="AF57" i="18"/>
  <c r="AN57" i="18"/>
  <c r="AG57" i="18"/>
  <c r="J61" i="14"/>
  <c r="BB58" i="14" s="1"/>
  <c r="BB59" i="14" s="1"/>
  <c r="AH57" i="18"/>
  <c r="K61" i="14"/>
  <c r="BC58" i="14" s="1"/>
  <c r="BC59" i="14" s="1"/>
  <c r="J62" i="14"/>
  <c r="BE58" i="14" s="1"/>
  <c r="BE59" i="14" s="1"/>
  <c r="AM57" i="18"/>
  <c r="L61" i="14"/>
  <c r="BD58" i="14" s="1"/>
  <c r="BD59" i="14" s="1"/>
  <c r="BA69" i="14"/>
  <c r="BE69" i="14"/>
  <c r="AH67" i="18"/>
  <c r="L72" i="14"/>
  <c r="AI67" i="18"/>
  <c r="AK67" i="18"/>
  <c r="AM67" i="18"/>
  <c r="K70" i="14"/>
  <c r="AZ68" i="14" s="1"/>
  <c r="AZ69" i="14" s="1"/>
  <c r="W2" i="18"/>
  <c r="D6" i="14"/>
  <c r="AR3" i="14" s="1"/>
  <c r="AR4" i="14" s="1"/>
  <c r="D10" i="14"/>
  <c r="AO8" i="14" s="1"/>
  <c r="AO9" i="14" s="1"/>
  <c r="E6" i="14"/>
  <c r="X6" i="14" s="1"/>
  <c r="AS5" i="14" s="1"/>
  <c r="E11" i="14"/>
  <c r="AS8" i="14" s="1"/>
  <c r="AS9" i="14" s="1"/>
  <c r="W11" i="14"/>
  <c r="AR10" i="14" s="1"/>
  <c r="AP8" i="14"/>
  <c r="AR9" i="14" s="1"/>
  <c r="W7" i="18"/>
  <c r="X10" i="14"/>
  <c r="AP10" i="14" s="1"/>
  <c r="AR8" i="14"/>
  <c r="Y7" i="18"/>
  <c r="AP9" i="14"/>
  <c r="A23" i="14"/>
  <c r="T28" i="14"/>
  <c r="AM30" i="14" s="1"/>
  <c r="AM28" i="14"/>
  <c r="T27" i="18"/>
  <c r="BA27" i="18" s="1"/>
  <c r="A8" i="4" s="1"/>
  <c r="A53" i="14"/>
  <c r="AM53" i="14" s="1"/>
  <c r="F13" i="4"/>
  <c r="BM16" i="14"/>
  <c r="AI50" i="14"/>
  <c r="BI50" i="14" s="1"/>
  <c r="BI51" i="14" s="1"/>
  <c r="Y56" i="14"/>
  <c r="AT55" i="14" s="1"/>
  <c r="AI62" i="14"/>
  <c r="BO60" i="14" s="1"/>
  <c r="BO61" i="14" s="1"/>
  <c r="AI16" i="14"/>
  <c r="BL15" i="14" s="1"/>
  <c r="X21" i="14"/>
  <c r="AS20" i="14" s="1"/>
  <c r="AS21" i="14" s="1"/>
  <c r="W32" i="14"/>
  <c r="AU30" i="14" s="1"/>
  <c r="AE30" i="14"/>
  <c r="BA30" i="14" s="1"/>
  <c r="AC37" i="14"/>
  <c r="BE35" i="14" s="1"/>
  <c r="BE36" i="14" s="1"/>
  <c r="AC51" i="14"/>
  <c r="BB50" i="14" s="1"/>
  <c r="BB51" i="14" s="1"/>
  <c r="X55" i="14"/>
  <c r="AP55" i="14" s="1"/>
  <c r="AP56" i="14" s="1"/>
  <c r="AJ57" i="14"/>
  <c r="BP55" i="14" s="1"/>
  <c r="AE61" i="14"/>
  <c r="BD60" i="14" s="1"/>
  <c r="AC65" i="14"/>
  <c r="AY65" i="14" s="1"/>
  <c r="AY66" i="14" s="1"/>
  <c r="Y66" i="14"/>
  <c r="AT65" i="14" s="1"/>
  <c r="AI72" i="14"/>
  <c r="BO70" i="14" s="1"/>
  <c r="AD52" i="14"/>
  <c r="BF50" i="14" s="1"/>
  <c r="AK36" i="14"/>
  <c r="BN35" i="14" s="1"/>
  <c r="BN36" i="14" s="1"/>
  <c r="T8" i="14"/>
  <c r="AM10" i="14" s="1"/>
  <c r="AD41" i="14"/>
  <c r="BC40" i="14" s="1"/>
  <c r="BC41" i="14" s="1"/>
  <c r="AD46" i="14"/>
  <c r="BC45" i="14" s="1"/>
  <c r="BC46" i="14" s="1"/>
  <c r="AJ12" i="14"/>
  <c r="BP10" i="14" s="1"/>
  <c r="AK60" i="14"/>
  <c r="BK60" i="14" s="1"/>
  <c r="T18" i="14"/>
  <c r="AM20" i="14" s="1"/>
  <c r="X15" i="14"/>
  <c r="AP15" i="14" s="1"/>
  <c r="AP16" i="14" s="1"/>
  <c r="AI21" i="14"/>
  <c r="BL20" i="14" s="1"/>
  <c r="BL21" i="14" s="1"/>
  <c r="AC22" i="14"/>
  <c r="BE20" i="14" s="1"/>
  <c r="AD26" i="14"/>
  <c r="BC25" i="14" s="1"/>
  <c r="BC26" i="14" s="1"/>
  <c r="Y40" i="14"/>
  <c r="AQ40" i="14" s="1"/>
  <c r="T43" i="14"/>
  <c r="AM45" i="14" s="1"/>
  <c r="T58" i="14"/>
  <c r="AM60" i="14" s="1"/>
  <c r="AJ50" i="14"/>
  <c r="BJ50" i="14" s="1"/>
  <c r="AI51" i="14"/>
  <c r="BL50" i="14" s="1"/>
  <c r="AC56" i="14"/>
  <c r="BB55" i="14" s="1"/>
  <c r="Y57" i="14"/>
  <c r="AW55" i="14" s="1"/>
  <c r="AW56" i="14" s="1"/>
  <c r="X60" i="14"/>
  <c r="AP60" i="14" s="1"/>
  <c r="AJ62" i="14"/>
  <c r="BP60" i="14" s="1"/>
  <c r="AI65" i="14"/>
  <c r="BI65" i="14" s="1"/>
  <c r="BI66" i="14" s="1"/>
  <c r="AE66" i="14"/>
  <c r="BD65" i="14" s="1"/>
  <c r="X72" i="14"/>
  <c r="AV70" i="14" s="1"/>
  <c r="AM3" i="14"/>
  <c r="AJ51" i="14"/>
  <c r="BM50" i="14" s="1"/>
  <c r="BM51" i="14" s="1"/>
  <c r="AE55" i="14"/>
  <c r="BA55" i="14" s="1"/>
  <c r="AC57" i="14"/>
  <c r="BE55" i="14" s="1"/>
  <c r="Y60" i="14"/>
  <c r="AQ60" i="14" s="1"/>
  <c r="X61" i="14"/>
  <c r="AS60" i="14" s="1"/>
  <c r="AS61" i="14" s="1"/>
  <c r="AI66" i="14"/>
  <c r="BL65" i="14" s="1"/>
  <c r="AE67" i="14"/>
  <c r="BG65" i="14" s="1"/>
  <c r="BG66" i="14" s="1"/>
  <c r="AD70" i="14"/>
  <c r="AZ70" i="14" s="1"/>
  <c r="Y72" i="14"/>
  <c r="AW70" i="14" s="1"/>
  <c r="AW71" i="14" s="1"/>
  <c r="AC32" i="14"/>
  <c r="BE30" i="14" s="1"/>
  <c r="X50" i="14"/>
  <c r="AP50" i="14" s="1"/>
  <c r="AJ52" i="14"/>
  <c r="BP50" i="14" s="1"/>
  <c r="AE56" i="14"/>
  <c r="BD55" i="14" s="1"/>
  <c r="AC60" i="14"/>
  <c r="AY60" i="14" s="1"/>
  <c r="AY61" i="14" s="1"/>
  <c r="Y61" i="14"/>
  <c r="AT60" i="14" s="1"/>
  <c r="W65" i="14"/>
  <c r="AO65" i="14" s="1"/>
  <c r="AO66" i="14" s="1"/>
  <c r="AK65" i="14"/>
  <c r="BK65" i="14" s="1"/>
  <c r="AE70" i="14"/>
  <c r="BA70" i="14" s="1"/>
  <c r="AD71" i="14"/>
  <c r="BC70" i="14" s="1"/>
  <c r="BC71" i="14" s="1"/>
  <c r="AC72" i="14"/>
  <c r="BE70" i="14" s="1"/>
  <c r="AC46" i="14"/>
  <c r="BB45" i="14" s="1"/>
  <c r="Y50" i="14"/>
  <c r="AQ50" i="14" s="1"/>
  <c r="X51" i="14"/>
  <c r="AS50" i="14" s="1"/>
  <c r="W52" i="14"/>
  <c r="AU50" i="14" s="1"/>
  <c r="AK52" i="14"/>
  <c r="BQ50" i="14" s="1"/>
  <c r="BQ51" i="14" s="1"/>
  <c r="AI56" i="14"/>
  <c r="BL55" i="14" s="1"/>
  <c r="BL56" i="14" s="1"/>
  <c r="AC61" i="14"/>
  <c r="BB60" i="14" s="1"/>
  <c r="X65" i="14"/>
  <c r="AP65" i="14" s="1"/>
  <c r="W66" i="14"/>
  <c r="AR65" i="14" s="1"/>
  <c r="AK66" i="14"/>
  <c r="BN65" i="14" s="1"/>
  <c r="BN66" i="14" s="1"/>
  <c r="AJ67" i="14"/>
  <c r="BP65" i="14" s="1"/>
  <c r="AE71" i="14"/>
  <c r="BD70" i="14" s="1"/>
  <c r="BD71" i="14" s="1"/>
  <c r="AD72" i="14"/>
  <c r="BF70" i="14" s="1"/>
  <c r="BF71" i="14" s="1"/>
  <c r="Y51" i="14"/>
  <c r="AT50" i="14" s="1"/>
  <c r="W55" i="14"/>
  <c r="AO55" i="14" s="1"/>
  <c r="AO56" i="14" s="1"/>
  <c r="AK55" i="14"/>
  <c r="BK55" i="14" s="1"/>
  <c r="AC62" i="14"/>
  <c r="BE60" i="14" s="1"/>
  <c r="T33" i="14"/>
  <c r="AM35" i="14" s="1"/>
  <c r="T48" i="14"/>
  <c r="AM50" i="14" s="1"/>
  <c r="AD21" i="14"/>
  <c r="BC20" i="14" s="1"/>
  <c r="BC21" i="14" s="1"/>
  <c r="AZ3" i="14"/>
  <c r="AZ4" i="14" s="1"/>
  <c r="AU3" i="14"/>
  <c r="AU4" i="14" s="1"/>
  <c r="X30" i="14"/>
  <c r="AP30" i="14" s="1"/>
  <c r="AJ7" i="14"/>
  <c r="BP5" i="14" s="1"/>
  <c r="AJ32" i="14"/>
  <c r="BP30" i="14" s="1"/>
  <c r="BQ3" i="14"/>
  <c r="BQ4" i="14" s="1"/>
  <c r="BQ6" i="14" s="1"/>
  <c r="AJ26" i="14"/>
  <c r="BM25" i="14" s="1"/>
  <c r="BM26" i="14" s="1"/>
  <c r="AJ47" i="14"/>
  <c r="BP45" i="14" s="1"/>
  <c r="AC42" i="14"/>
  <c r="BE40" i="14" s="1"/>
  <c r="AD42" i="14"/>
  <c r="BF40" i="14" s="1"/>
  <c r="AV3" i="14"/>
  <c r="AV4" i="14" s="1"/>
  <c r="AO5" i="14"/>
  <c r="AC7" i="14"/>
  <c r="BE5" i="14" s="1"/>
  <c r="BE6" i="14" s="1"/>
  <c r="Y17" i="14"/>
  <c r="AW15" i="14" s="1"/>
  <c r="AW16" i="14" s="1"/>
  <c r="W26" i="14"/>
  <c r="AR25" i="14" s="1"/>
  <c r="AJ30" i="14"/>
  <c r="BJ30" i="14" s="1"/>
  <c r="AE21" i="14"/>
  <c r="BD20" i="14" s="1"/>
  <c r="AK26" i="14"/>
  <c r="BN25" i="14" s="1"/>
  <c r="BN26" i="14" s="1"/>
  <c r="AC31" i="14"/>
  <c r="BB30" i="14" s="1"/>
  <c r="AE5" i="14"/>
  <c r="BA5" i="14" s="1"/>
  <c r="AI31" i="14"/>
  <c r="BL30" i="14" s="1"/>
  <c r="W6" i="14"/>
  <c r="AR5" i="14" s="1"/>
  <c r="AJ31" i="14"/>
  <c r="BM30" i="14" s="1"/>
  <c r="BM31" i="14" s="1"/>
  <c r="AC47" i="14"/>
  <c r="BE45" i="14" s="1"/>
  <c r="AK27" i="14"/>
  <c r="BQ25" i="14" s="1"/>
  <c r="BQ26" i="14" s="1"/>
  <c r="AC35" i="14"/>
  <c r="AY35" i="14" s="1"/>
  <c r="AY36" i="14" s="1"/>
  <c r="AD37" i="14"/>
  <c r="BF35" i="14" s="1"/>
  <c r="BK3" i="14"/>
  <c r="BK4" i="14" s="1"/>
  <c r="BK6" i="14" s="1"/>
  <c r="AD17" i="14"/>
  <c r="BF15" i="14" s="1"/>
  <c r="AJ40" i="14"/>
  <c r="BJ40" i="14" s="1"/>
  <c r="AI5" i="14"/>
  <c r="BI5" i="14" s="1"/>
  <c r="BI6" i="14" s="1"/>
  <c r="AD7" i="14"/>
  <c r="BF5" i="14" s="1"/>
  <c r="W27" i="14"/>
  <c r="AU25" i="14" s="1"/>
  <c r="AE45" i="14"/>
  <c r="BA45" i="14" s="1"/>
  <c r="AI45" i="14"/>
  <c r="BI45" i="14" s="1"/>
  <c r="BI46" i="14" s="1"/>
  <c r="AJ20" i="14"/>
  <c r="BJ20" i="14" s="1"/>
  <c r="BJ21" i="14" s="1"/>
  <c r="AE22" i="14"/>
  <c r="BG20" i="14" s="1"/>
  <c r="BG21" i="14" s="1"/>
  <c r="X32" i="14"/>
  <c r="AV30" i="14" s="1"/>
  <c r="X35" i="14"/>
  <c r="AP35" i="14" s="1"/>
  <c r="AP36" i="14" s="1"/>
  <c r="AJ37" i="14"/>
  <c r="BP35" i="14" s="1"/>
  <c r="BP36" i="14" s="1"/>
  <c r="W41" i="14"/>
  <c r="AR40" i="14" s="1"/>
  <c r="AK41" i="14"/>
  <c r="BN40" i="14" s="1"/>
  <c r="AI46" i="14"/>
  <c r="BL45" i="14" s="1"/>
  <c r="BL46" i="14" s="1"/>
  <c r="X20" i="14"/>
  <c r="AP20" i="14" s="1"/>
  <c r="AK21" i="14"/>
  <c r="BN20" i="14" s="1"/>
  <c r="AJ17" i="14"/>
  <c r="BP15" i="14" s="1"/>
  <c r="AI22" i="14"/>
  <c r="BO20" i="14" s="1"/>
  <c r="BO21" i="14" s="1"/>
  <c r="X36" i="14"/>
  <c r="AS35" i="14" s="1"/>
  <c r="Y35" i="14"/>
  <c r="AQ35" i="14" s="1"/>
  <c r="Y12" i="14"/>
  <c r="AW10" i="14" s="1"/>
  <c r="AW11" i="14" s="1"/>
  <c r="Y16" i="14"/>
  <c r="AT15" i="14" s="1"/>
  <c r="AO3" i="14"/>
  <c r="AO4" i="14" s="1"/>
  <c r="BO3" i="14"/>
  <c r="BO4" i="14" s="1"/>
  <c r="BO6" i="14" s="1"/>
  <c r="AI25" i="14"/>
  <c r="BI25" i="14" s="1"/>
  <c r="BI26" i="14" s="1"/>
  <c r="AE26" i="14"/>
  <c r="BD25" i="14" s="1"/>
  <c r="AD31" i="14"/>
  <c r="BC30" i="14" s="1"/>
  <c r="BC31" i="14" s="1"/>
  <c r="AE10" i="14"/>
  <c r="BA10" i="14" s="1"/>
  <c r="AY3" i="14"/>
  <c r="AY4" i="14" s="1"/>
  <c r="AY6" i="14" s="1"/>
  <c r="AC41" i="14"/>
  <c r="BB40" i="14" s="1"/>
  <c r="AD40" i="14"/>
  <c r="AZ40" i="14" s="1"/>
  <c r="W47" i="14"/>
  <c r="AU45" i="14" s="1"/>
  <c r="AK47" i="14"/>
  <c r="BQ45" i="14" s="1"/>
  <c r="BQ46" i="14" s="1"/>
  <c r="Y36" i="14"/>
  <c r="AT35" i="14" s="1"/>
  <c r="BJ3" i="14"/>
  <c r="BJ4" i="14" s="1"/>
  <c r="AD20" i="14"/>
  <c r="AZ20" i="14" s="1"/>
  <c r="K3" i="4"/>
  <c r="A3" i="20" s="1"/>
  <c r="A2" i="20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" i="3"/>
  <c r="BM3" i="14" l="1"/>
  <c r="BM4" i="14" s="1"/>
  <c r="BM6" i="14" s="1"/>
  <c r="BF3" i="14"/>
  <c r="BF4" i="14" s="1"/>
  <c r="BF6" i="14" s="1"/>
  <c r="AV26" i="14"/>
  <c r="AZ39" i="14"/>
  <c r="W70" i="14"/>
  <c r="AO70" i="14" s="1"/>
  <c r="AJ71" i="14"/>
  <c r="BM70" i="14" s="1"/>
  <c r="AK70" i="14"/>
  <c r="BK70" i="14" s="1"/>
  <c r="BA6" i="14"/>
  <c r="BJ26" i="14"/>
  <c r="BG36" i="14"/>
  <c r="BK21" i="14"/>
  <c r="BA36" i="14"/>
  <c r="BI31" i="14"/>
  <c r="BQ36" i="14"/>
  <c r="BN46" i="14"/>
  <c r="BG46" i="14"/>
  <c r="AY21" i="14"/>
  <c r="BG26" i="14"/>
  <c r="AT46" i="14"/>
  <c r="F14" i="4"/>
  <c r="F12" i="4"/>
  <c r="AO16" i="14"/>
  <c r="AK56" i="14"/>
  <c r="BN55" i="14" s="1"/>
  <c r="AK16" i="14"/>
  <c r="BN15" i="14" s="1"/>
  <c r="W22" i="14"/>
  <c r="AU20" i="14" s="1"/>
  <c r="AE51" i="14"/>
  <c r="BD50" i="14" s="1"/>
  <c r="W31" i="14"/>
  <c r="AR30" i="14" s="1"/>
  <c r="W61" i="14"/>
  <c r="AR60" i="14" s="1"/>
  <c r="AR61" i="14" s="1"/>
  <c r="AK61" i="14"/>
  <c r="BN60" i="14" s="1"/>
  <c r="BN61" i="14" s="1"/>
  <c r="AD56" i="14"/>
  <c r="BC55" i="14" s="1"/>
  <c r="BC56" i="14" s="1"/>
  <c r="AJ66" i="14"/>
  <c r="BM65" i="14" s="1"/>
  <c r="AV6" i="14"/>
  <c r="X26" i="14"/>
  <c r="AS25" i="14" s="1"/>
  <c r="BL3" i="14"/>
  <c r="BL4" i="14" s="1"/>
  <c r="BL6" i="14" s="1"/>
  <c r="X12" i="14"/>
  <c r="AV10" i="14" s="1"/>
  <c r="W30" i="14"/>
  <c r="AO30" i="14" s="1"/>
  <c r="AE32" i="14"/>
  <c r="BG30" i="14" s="1"/>
  <c r="BL31" i="14"/>
  <c r="BF16" i="14"/>
  <c r="AE46" i="14"/>
  <c r="BD45" i="14" s="1"/>
  <c r="BJ6" i="14"/>
  <c r="AC21" i="14"/>
  <c r="BB20" i="14" s="1"/>
  <c r="BB21" i="14" s="1"/>
  <c r="AS56" i="14"/>
  <c r="BC66" i="14"/>
  <c r="AQ46" i="14"/>
  <c r="AQ64" i="14"/>
  <c r="AQ66" i="14" s="1"/>
  <c r="BL24" i="14"/>
  <c r="AT31" i="14"/>
  <c r="BI11" i="14"/>
  <c r="BC37" i="18"/>
  <c r="C10" i="4" s="1"/>
  <c r="BQ56" i="14"/>
  <c r="BN6" i="14"/>
  <c r="BO11" i="14"/>
  <c r="BK11" i="14"/>
  <c r="AQ36" i="14"/>
  <c r="BM41" i="14"/>
  <c r="BC51" i="14"/>
  <c r="AV49" i="14"/>
  <c r="AV44" i="14"/>
  <c r="F15" i="4"/>
  <c r="K16" i="4"/>
  <c r="A81" i="20" s="1"/>
  <c r="A80" i="20" s="1"/>
  <c r="BQ71" i="14"/>
  <c r="BK61" i="14"/>
  <c r="W17" i="14"/>
  <c r="AU15" i="14" s="1"/>
  <c r="Y52" i="14"/>
  <c r="AW50" i="14" s="1"/>
  <c r="AI60" i="14"/>
  <c r="BI60" i="14" s="1"/>
  <c r="X67" i="14"/>
  <c r="AV65" i="14" s="1"/>
  <c r="AC55" i="14"/>
  <c r="AY55" i="14" s="1"/>
  <c r="W60" i="14"/>
  <c r="AO60" i="14" s="1"/>
  <c r="X47" i="14"/>
  <c r="AV45" i="14" s="1"/>
  <c r="T63" i="14"/>
  <c r="AM65" i="14" s="1"/>
  <c r="AJ45" i="14"/>
  <c r="BJ45" i="14" s="1"/>
  <c r="AE52" i="14"/>
  <c r="BG50" i="14" s="1"/>
  <c r="AD55" i="14"/>
  <c r="AZ55" i="14" s="1"/>
  <c r="AD67" i="14"/>
  <c r="BF65" i="14" s="1"/>
  <c r="AC70" i="14"/>
  <c r="AY70" i="14" s="1"/>
  <c r="AY71" i="14" s="1"/>
  <c r="AI52" i="14"/>
  <c r="BO50" i="14" s="1"/>
  <c r="W62" i="14"/>
  <c r="AU60" i="14" s="1"/>
  <c r="AU61" i="14" s="1"/>
  <c r="W51" i="14"/>
  <c r="AR50" i="14" s="1"/>
  <c r="AD57" i="14"/>
  <c r="BF55" i="14" s="1"/>
  <c r="X62" i="14"/>
  <c r="AV60" i="14" s="1"/>
  <c r="AV61" i="14" s="1"/>
  <c r="AI67" i="14"/>
  <c r="BO65" i="14" s="1"/>
  <c r="AU51" i="14"/>
  <c r="AJ55" i="14"/>
  <c r="BJ55" i="14" s="1"/>
  <c r="AE57" i="14"/>
  <c r="BG55" i="14" s="1"/>
  <c r="BB61" i="14"/>
  <c r="AR66" i="14"/>
  <c r="AC50" i="14"/>
  <c r="AY50" i="14" s="1"/>
  <c r="AJ56" i="14"/>
  <c r="BM55" i="14" s="1"/>
  <c r="AI57" i="14"/>
  <c r="BO55" i="14" s="1"/>
  <c r="AE60" i="14"/>
  <c r="BA60" i="14" s="1"/>
  <c r="BA61" i="14" s="1"/>
  <c r="W67" i="14"/>
  <c r="AU65" i="14" s="1"/>
  <c r="AI47" i="14"/>
  <c r="BO45" i="14" s="1"/>
  <c r="AW3" i="14"/>
  <c r="AW4" i="14" s="1"/>
  <c r="AW6" i="14" s="1"/>
  <c r="AZ6" i="14"/>
  <c r="AU6" i="14"/>
  <c r="BE41" i="14"/>
  <c r="AE36" i="14"/>
  <c r="BD35" i="14" s="1"/>
  <c r="BD36" i="14" s="1"/>
  <c r="W10" i="14"/>
  <c r="AO10" i="14" s="1"/>
  <c r="AC27" i="14"/>
  <c r="BE25" i="14" s="1"/>
  <c r="BC3" i="14"/>
  <c r="BC4" i="14" s="1"/>
  <c r="BC6" i="14" s="1"/>
  <c r="AE25" i="14"/>
  <c r="BA25" i="14" s="1"/>
  <c r="X37" i="14"/>
  <c r="AV35" i="14" s="1"/>
  <c r="AV36" i="14" s="1"/>
  <c r="AQ3" i="14"/>
  <c r="AQ4" i="14" s="1"/>
  <c r="AQ6" i="14" s="1"/>
  <c r="BB3" i="14"/>
  <c r="BB4" i="14" s="1"/>
  <c r="BB6" i="14" s="1"/>
  <c r="AE42" i="14"/>
  <c r="BG40" i="14" s="1"/>
  <c r="AI42" i="14"/>
  <c r="BO40" i="14" s="1"/>
  <c r="AC30" i="14"/>
  <c r="AY30" i="14" s="1"/>
  <c r="AK17" i="14"/>
  <c r="BQ15" i="14" s="1"/>
  <c r="BG3" i="14"/>
  <c r="BG4" i="14" s="1"/>
  <c r="BG6" i="14" s="1"/>
  <c r="BP3" i="14"/>
  <c r="BP4" i="14" s="1"/>
  <c r="AI26" i="14"/>
  <c r="BL25" i="14" s="1"/>
  <c r="W21" i="14"/>
  <c r="AR20" i="14" s="1"/>
  <c r="AR21" i="14" s="1"/>
  <c r="AK30" i="14"/>
  <c r="BK30" i="14" s="1"/>
  <c r="Y21" i="14"/>
  <c r="AT20" i="14" s="1"/>
  <c r="AT21" i="14" s="1"/>
  <c r="AC67" i="14"/>
  <c r="BE65" i="14" s="1"/>
  <c r="AJ61" i="14"/>
  <c r="BM60" i="14" s="1"/>
  <c r="W56" i="14"/>
  <c r="AR55" i="14" s="1"/>
  <c r="BB2" i="18"/>
  <c r="B3" i="4" s="1"/>
  <c r="BD62" i="18"/>
  <c r="D15" i="4" s="1"/>
  <c r="N15" i="4" s="1"/>
  <c r="BD42" i="18"/>
  <c r="D11" i="4" s="1"/>
  <c r="BE11" i="14"/>
  <c r="BB52" i="18"/>
  <c r="B13" i="4" s="1"/>
  <c r="L13" i="4" s="1"/>
  <c r="AS16" i="14"/>
  <c r="X57" i="14"/>
  <c r="AV55" i="14" s="1"/>
  <c r="AV56" i="14" s="1"/>
  <c r="BD37" i="18"/>
  <c r="D10" i="4" s="1"/>
  <c r="BN9" i="14"/>
  <c r="BD49" i="14"/>
  <c r="Y32" i="14"/>
  <c r="AW30" i="14" s="1"/>
  <c r="AK62" i="14"/>
  <c r="BQ60" i="14" s="1"/>
  <c r="BB62" i="18"/>
  <c r="B15" i="4" s="1"/>
  <c r="L15" i="4" s="1"/>
  <c r="T68" i="14"/>
  <c r="AM70" i="14" s="1"/>
  <c r="BD2" i="18"/>
  <c r="D3" i="4" s="1"/>
  <c r="AZ21" i="14"/>
  <c r="AT3" i="14"/>
  <c r="AT4" i="14" s="1"/>
  <c r="AT6" i="14" s="1"/>
  <c r="AK51" i="14"/>
  <c r="BN50" i="14" s="1"/>
  <c r="T53" i="14"/>
  <c r="AM55" i="14" s="1"/>
  <c r="AS38" i="14"/>
  <c r="AS39" i="14" s="1"/>
  <c r="X41" i="14"/>
  <c r="AS40" i="14" s="1"/>
  <c r="BB27" i="18"/>
  <c r="B8" i="4" s="1"/>
  <c r="BC32" i="18"/>
  <c r="C9" i="4" s="1"/>
  <c r="BD7" i="18"/>
  <c r="D4" i="4" s="1"/>
  <c r="BD67" i="18"/>
  <c r="D16" i="4" s="1"/>
  <c r="AT64" i="14"/>
  <c r="AT66" i="14" s="1"/>
  <c r="AV64" i="14"/>
  <c r="BB47" i="18"/>
  <c r="B12" i="4" s="1"/>
  <c r="AY38" i="14"/>
  <c r="AY39" i="14" s="1"/>
  <c r="AC40" i="14"/>
  <c r="AY40" i="14" s="1"/>
  <c r="AP13" i="14"/>
  <c r="AR14" i="14" s="1"/>
  <c r="W16" i="14"/>
  <c r="AR15" i="14" s="1"/>
  <c r="BB54" i="14"/>
  <c r="BB56" i="14" s="1"/>
  <c r="AZ54" i="14"/>
  <c r="AT51" i="14"/>
  <c r="BD18" i="14"/>
  <c r="BD19" i="14" s="1"/>
  <c r="BD21" i="14" s="1"/>
  <c r="AD22" i="14"/>
  <c r="BF20" i="14" s="1"/>
  <c r="BF21" i="14" s="1"/>
  <c r="BF51" i="14"/>
  <c r="AS28" i="14"/>
  <c r="AS29" i="14" s="1"/>
  <c r="X31" i="14"/>
  <c r="AS30" i="14" s="1"/>
  <c r="AP21" i="14"/>
  <c r="AR29" i="14"/>
  <c r="BI18" i="14"/>
  <c r="BI19" i="14" s="1"/>
  <c r="AI20" i="14"/>
  <c r="BI20" i="14" s="1"/>
  <c r="BL68" i="14"/>
  <c r="AJ70" i="14"/>
  <c r="BJ70" i="14" s="1"/>
  <c r="BD64" i="14"/>
  <c r="BD66" i="14" s="1"/>
  <c r="BF64" i="14"/>
  <c r="BB37" i="18"/>
  <c r="B10" i="4" s="1"/>
  <c r="BE56" i="14"/>
  <c r="BB43" i="14"/>
  <c r="AZ44" i="14" s="1"/>
  <c r="AD45" i="14"/>
  <c r="AZ45" i="14" s="1"/>
  <c r="BC67" i="18"/>
  <c r="C16" i="4" s="1"/>
  <c r="BJ68" i="14"/>
  <c r="AI71" i="14"/>
  <c r="BL70" i="14" s="1"/>
  <c r="AP31" i="14"/>
  <c r="BP11" i="14"/>
  <c r="AI70" i="14"/>
  <c r="BI70" i="14" s="1"/>
  <c r="BI68" i="14"/>
  <c r="BI69" i="14" s="1"/>
  <c r="BI71" i="14" s="1"/>
  <c r="W50" i="14"/>
  <c r="AO50" i="14" s="1"/>
  <c r="AO48" i="14"/>
  <c r="AO49" i="14" s="1"/>
  <c r="BN23" i="14"/>
  <c r="BP24" i="14" s="1"/>
  <c r="AJ27" i="14"/>
  <c r="BP25" i="14" s="1"/>
  <c r="AT56" i="14"/>
  <c r="BE63" i="14"/>
  <c r="AE65" i="14"/>
  <c r="BA65" i="14" s="1"/>
  <c r="BO33" i="14"/>
  <c r="BO34" i="14" s="1"/>
  <c r="AK35" i="14"/>
  <c r="BK35" i="14" s="1"/>
  <c r="BG8" i="14"/>
  <c r="BG9" i="14" s="1"/>
  <c r="AE12" i="14"/>
  <c r="BG10" i="14" s="1"/>
  <c r="BP61" i="14"/>
  <c r="BL8" i="14"/>
  <c r="BJ9" i="14" s="1"/>
  <c r="AJ10" i="14"/>
  <c r="BJ10" i="14" s="1"/>
  <c r="BK64" i="14"/>
  <c r="BK66" i="14" s="1"/>
  <c r="BO64" i="14"/>
  <c r="BB57" i="18"/>
  <c r="B14" i="4" s="1"/>
  <c r="AW43" i="14"/>
  <c r="AW44" i="14" s="1"/>
  <c r="Y47" i="14"/>
  <c r="AW45" i="14" s="1"/>
  <c r="AO38" i="14"/>
  <c r="AO39" i="14" s="1"/>
  <c r="W40" i="14"/>
  <c r="AO40" i="14" s="1"/>
  <c r="AI27" i="14"/>
  <c r="BO25" i="14" s="1"/>
  <c r="BK23" i="14"/>
  <c r="AP44" i="14"/>
  <c r="AP46" i="14" s="1"/>
  <c r="AR44" i="14"/>
  <c r="AR46" i="14" s="1"/>
  <c r="BB23" i="14"/>
  <c r="BB24" i="14" s="1"/>
  <c r="BB26" i="14" s="1"/>
  <c r="AD25" i="14"/>
  <c r="AZ25" i="14" s="1"/>
  <c r="BA16" i="14"/>
  <c r="AP68" i="14"/>
  <c r="W71" i="14"/>
  <c r="AR70" i="14" s="1"/>
  <c r="BE64" i="14"/>
  <c r="AK50" i="14"/>
  <c r="BK50" i="14" s="1"/>
  <c r="BO48" i="14"/>
  <c r="BB12" i="18"/>
  <c r="B5" i="4" s="1"/>
  <c r="BC33" i="14"/>
  <c r="BC34" i="14" s="1"/>
  <c r="AD36" i="14"/>
  <c r="BC35" i="14" s="1"/>
  <c r="BC2" i="18"/>
  <c r="C3" i="4" s="1"/>
  <c r="Y62" i="14"/>
  <c r="AW60" i="14" s="1"/>
  <c r="AW58" i="14"/>
  <c r="AW59" i="14" s="1"/>
  <c r="AV31" i="14"/>
  <c r="AR23" i="14"/>
  <c r="X25" i="14"/>
  <c r="AP25" i="14" s="1"/>
  <c r="AS51" i="14"/>
  <c r="BJ41" i="14"/>
  <c r="BD26" i="14"/>
  <c r="AY8" i="14"/>
  <c r="AY9" i="14" s="1"/>
  <c r="AC10" i="14"/>
  <c r="AY10" i="14" s="1"/>
  <c r="X70" i="14"/>
  <c r="AP70" i="14" s="1"/>
  <c r="AR68" i="14"/>
  <c r="BE49" i="14"/>
  <c r="BE51" i="14" s="1"/>
  <c r="BA49" i="14"/>
  <c r="BA51" i="14" s="1"/>
  <c r="BD44" i="14"/>
  <c r="AC16" i="14"/>
  <c r="BB15" i="14" s="1"/>
  <c r="AZ13" i="14"/>
  <c r="BD52" i="18"/>
  <c r="D13" i="4" s="1"/>
  <c r="BO71" i="14"/>
  <c r="BB42" i="18"/>
  <c r="B11" i="4" s="1"/>
  <c r="BE16" i="14"/>
  <c r="BB22" i="18"/>
  <c r="B7" i="4" s="1"/>
  <c r="BB67" i="18"/>
  <c r="B16" i="4" s="1"/>
  <c r="AQ51" i="14"/>
  <c r="AI37" i="14"/>
  <c r="BO35" i="14" s="1"/>
  <c r="BK33" i="14"/>
  <c r="BK34" i="14" s="1"/>
  <c r="BC22" i="18"/>
  <c r="C7" i="4" s="1"/>
  <c r="AJ65" i="14"/>
  <c r="BJ65" i="14" s="1"/>
  <c r="BL63" i="14"/>
  <c r="AW38" i="14"/>
  <c r="AW39" i="14" s="1"/>
  <c r="Y42" i="14"/>
  <c r="AW40" i="14" s="1"/>
  <c r="BB17" i="18"/>
  <c r="B6" i="4" s="1"/>
  <c r="BO38" i="14"/>
  <c r="AK40" i="14"/>
  <c r="BK40" i="14" s="1"/>
  <c r="BG13" i="14"/>
  <c r="BG14" i="14" s="1"/>
  <c r="AE17" i="14"/>
  <c r="BG15" i="14" s="1"/>
  <c r="BC7" i="18"/>
  <c r="C4" i="4" s="1"/>
  <c r="BD27" i="18"/>
  <c r="D8" i="4" s="1"/>
  <c r="BQ63" i="14"/>
  <c r="BQ64" i="14" s="1"/>
  <c r="AK67" i="14"/>
  <c r="BQ65" i="14" s="1"/>
  <c r="BJ51" i="14"/>
  <c r="BP16" i="14"/>
  <c r="BF54" i="14"/>
  <c r="BF36" i="14"/>
  <c r="AV23" i="14"/>
  <c r="AT24" i="14" s="1"/>
  <c r="Y26" i="14"/>
  <c r="AT25" i="14" s="1"/>
  <c r="AO43" i="14"/>
  <c r="AO44" i="14" s="1"/>
  <c r="W45" i="14"/>
  <c r="AO45" i="14" s="1"/>
  <c r="BK28" i="14"/>
  <c r="AI32" i="14"/>
  <c r="BO30" i="14" s="1"/>
  <c r="Y71" i="14"/>
  <c r="AT70" i="14" s="1"/>
  <c r="AT71" i="14" s="1"/>
  <c r="AC15" i="14"/>
  <c r="AY15" i="14" s="1"/>
  <c r="AY16" i="14" s="1"/>
  <c r="AR11" i="14"/>
  <c r="AZ71" i="14"/>
  <c r="BC57" i="18"/>
  <c r="C14" i="4" s="1"/>
  <c r="H14" i="4" s="1"/>
  <c r="BM61" i="14"/>
  <c r="BM18" i="14"/>
  <c r="BM19" i="14" s="1"/>
  <c r="AJ21" i="14"/>
  <c r="BM20" i="14" s="1"/>
  <c r="BE18" i="14"/>
  <c r="BE19" i="14" s="1"/>
  <c r="BE21" i="14" s="1"/>
  <c r="AE20" i="14"/>
  <c r="BA20" i="14" s="1"/>
  <c r="BA21" i="14" s="1"/>
  <c r="BD56" i="14"/>
  <c r="AS66" i="14"/>
  <c r="AS43" i="14"/>
  <c r="AS44" i="14" s="1"/>
  <c r="X46" i="14"/>
  <c r="AS45" i="14" s="1"/>
  <c r="AV71" i="14"/>
  <c r="AP66" i="14"/>
  <c r="AQ61" i="14"/>
  <c r="BA46" i="14"/>
  <c r="BB33" i="14"/>
  <c r="BB34" i="14" s="1"/>
  <c r="BB36" i="14" s="1"/>
  <c r="AD35" i="14"/>
  <c r="AZ35" i="14" s="1"/>
  <c r="AZ36" i="14" s="1"/>
  <c r="BE31" i="14"/>
  <c r="BQ18" i="14"/>
  <c r="BQ19" i="14" s="1"/>
  <c r="AK22" i="14"/>
  <c r="BQ20" i="14" s="1"/>
  <c r="BO14" i="14"/>
  <c r="BO16" i="14" s="1"/>
  <c r="BC62" i="18"/>
  <c r="C15" i="4" s="1"/>
  <c r="BJ58" i="14"/>
  <c r="BJ59" i="14" s="1"/>
  <c r="BJ61" i="14" s="1"/>
  <c r="AI61" i="14"/>
  <c r="BL60" i="14" s="1"/>
  <c r="BM8" i="14"/>
  <c r="BM9" i="14" s="1"/>
  <c r="AJ11" i="14"/>
  <c r="BM10" i="14" s="1"/>
  <c r="BL51" i="14"/>
  <c r="AT36" i="14"/>
  <c r="BD47" i="18"/>
  <c r="D12" i="4" s="1"/>
  <c r="BC52" i="18"/>
  <c r="C13" i="4" s="1"/>
  <c r="BL33" i="14"/>
  <c r="BL34" i="14" s="1"/>
  <c r="BL36" i="14" s="1"/>
  <c r="AJ35" i="14"/>
  <c r="BJ35" i="14" s="1"/>
  <c r="BJ36" i="14" s="1"/>
  <c r="BL13" i="14"/>
  <c r="AJ15" i="14"/>
  <c r="BJ15" i="14" s="1"/>
  <c r="BB41" i="14"/>
  <c r="AR41" i="14"/>
  <c r="BP68" i="14"/>
  <c r="AK71" i="14"/>
  <c r="BN70" i="14" s="1"/>
  <c r="BP28" i="14"/>
  <c r="AK31" i="14"/>
  <c r="BN30" i="14" s="1"/>
  <c r="BC8" i="14"/>
  <c r="BC9" i="14" s="1"/>
  <c r="AD11" i="14"/>
  <c r="BC10" i="14" s="1"/>
  <c r="AW33" i="14"/>
  <c r="AW34" i="14" s="1"/>
  <c r="Y37" i="14"/>
  <c r="AW35" i="14" s="1"/>
  <c r="BK56" i="14"/>
  <c r="AU8" i="14"/>
  <c r="Y10" i="14"/>
  <c r="AQ10" i="14" s="1"/>
  <c r="AZ63" i="14"/>
  <c r="AZ64" i="14" s="1"/>
  <c r="AZ66" i="14" s="1"/>
  <c r="AC66" i="14"/>
  <c r="BB65" i="14" s="1"/>
  <c r="BB46" i="14"/>
  <c r="BO54" i="14"/>
  <c r="BE46" i="14"/>
  <c r="BA31" i="14"/>
  <c r="AU14" i="14"/>
  <c r="BC17" i="18"/>
  <c r="C6" i="4" s="1"/>
  <c r="AU18" i="14"/>
  <c r="AU19" i="14" s="1"/>
  <c r="Y20" i="14"/>
  <c r="AQ20" i="14" s="1"/>
  <c r="AQ21" i="14" s="1"/>
  <c r="AT13" i="14"/>
  <c r="X17" i="14"/>
  <c r="AV15" i="14" s="1"/>
  <c r="BD22" i="18"/>
  <c r="D7" i="4" s="1"/>
  <c r="BP56" i="14"/>
  <c r="BC47" i="18"/>
  <c r="C12" i="4" s="1"/>
  <c r="BC27" i="18"/>
  <c r="C8" i="4" s="1"/>
  <c r="BA11" i="14"/>
  <c r="BC42" i="18"/>
  <c r="C11" i="4" s="1"/>
  <c r="AU69" i="14"/>
  <c r="AU71" i="14" s="1"/>
  <c r="BO43" i="14"/>
  <c r="AK45" i="14"/>
  <c r="BK45" i="14" s="1"/>
  <c r="AU31" i="14"/>
  <c r="BN18" i="14"/>
  <c r="BN19" i="14" s="1"/>
  <c r="BN21" i="14" s="1"/>
  <c r="AJ22" i="14"/>
  <c r="BP20" i="14" s="1"/>
  <c r="BP21" i="14" s="1"/>
  <c r="AP49" i="14"/>
  <c r="AP51" i="14" s="1"/>
  <c r="AR49" i="14"/>
  <c r="AD50" i="14"/>
  <c r="AZ50" i="14" s="1"/>
  <c r="AZ51" i="14" s="1"/>
  <c r="AK11" i="14"/>
  <c r="BN10" i="14" s="1"/>
  <c r="BE61" i="14"/>
  <c r="BF38" i="14"/>
  <c r="AE41" i="14"/>
  <c r="BD40" i="14" s="1"/>
  <c r="BL11" i="14"/>
  <c r="BC12" i="18"/>
  <c r="C5" i="4" s="1"/>
  <c r="BP66" i="14"/>
  <c r="BA24" i="14"/>
  <c r="BE24" i="14"/>
  <c r="BC13" i="14"/>
  <c r="BC14" i="14" s="1"/>
  <c r="AD16" i="14"/>
  <c r="BC15" i="14" s="1"/>
  <c r="BD8" i="14"/>
  <c r="AD12" i="14"/>
  <c r="BF10" i="14" s="1"/>
  <c r="BD32" i="18"/>
  <c r="D9" i="4" s="1"/>
  <c r="AO33" i="14"/>
  <c r="AO34" i="14" s="1"/>
  <c r="W35" i="14"/>
  <c r="AO35" i="14" s="1"/>
  <c r="BD12" i="18"/>
  <c r="D5" i="4" s="1"/>
  <c r="AS68" i="14"/>
  <c r="AS69" i="14" s="1"/>
  <c r="X71" i="14"/>
  <c r="AS70" i="14" s="1"/>
  <c r="AP61" i="14"/>
  <c r="BF28" i="14"/>
  <c r="BD29" i="14" s="1"/>
  <c r="AE31" i="14"/>
  <c r="BD30" i="14" s="1"/>
  <c r="AW66" i="14"/>
  <c r="BP46" i="14"/>
  <c r="AT61" i="14"/>
  <c r="AU46" i="14"/>
  <c r="BN39" i="14"/>
  <c r="BN41" i="14" s="1"/>
  <c r="BP51" i="14"/>
  <c r="BJ31" i="14"/>
  <c r="AU68" i="14"/>
  <c r="AQ69" i="14" s="1"/>
  <c r="Y70" i="14"/>
  <c r="AQ70" i="14" s="1"/>
  <c r="BB28" i="14"/>
  <c r="AD30" i="14"/>
  <c r="AZ30" i="14" s="1"/>
  <c r="AU53" i="14"/>
  <c r="Y55" i="14"/>
  <c r="AQ55" i="14" s="1"/>
  <c r="BN49" i="14"/>
  <c r="AQ41" i="14"/>
  <c r="BB32" i="18"/>
  <c r="B9" i="4" s="1"/>
  <c r="BI13" i="14"/>
  <c r="BI14" i="14" s="1"/>
  <c r="AI15" i="14"/>
  <c r="BI15" i="14" s="1"/>
  <c r="BD17" i="18"/>
  <c r="D6" i="4" s="1"/>
  <c r="BD57" i="18"/>
  <c r="D14" i="4" s="1"/>
  <c r="AS36" i="14"/>
  <c r="AU64" i="14"/>
  <c r="BA56" i="14"/>
  <c r="AU26" i="14"/>
  <c r="AS3" i="14"/>
  <c r="AS4" i="14" s="1"/>
  <c r="AS6" i="14" s="1"/>
  <c r="BA71" i="14"/>
  <c r="BD61" i="14"/>
  <c r="BG61" i="14"/>
  <c r="AD62" i="14"/>
  <c r="BF60" i="14" s="1"/>
  <c r="BF61" i="14" s="1"/>
  <c r="AD60" i="14"/>
  <c r="AZ60" i="14" s="1"/>
  <c r="AZ61" i="14" s="1"/>
  <c r="AD61" i="14"/>
  <c r="BC60" i="14" s="1"/>
  <c r="BC61" i="14" s="1"/>
  <c r="BB69" i="14"/>
  <c r="BE71" i="14"/>
  <c r="AE72" i="14"/>
  <c r="BG70" i="14" s="1"/>
  <c r="BG68" i="14"/>
  <c r="BG69" i="14" s="1"/>
  <c r="AC71" i="14"/>
  <c r="BB70" i="14" s="1"/>
  <c r="X5" i="14"/>
  <c r="AP5" i="14" s="1"/>
  <c r="AP6" i="14" s="1"/>
  <c r="AR6" i="14"/>
  <c r="X11" i="14"/>
  <c r="AS10" i="14" s="1"/>
  <c r="AS11" i="14" s="1"/>
  <c r="AP11" i="14"/>
  <c r="BB7" i="18"/>
  <c r="B4" i="4" s="1"/>
  <c r="T23" i="14"/>
  <c r="AM25" i="14" s="1"/>
  <c r="AM23" i="14"/>
  <c r="AO6" i="14"/>
  <c r="A4" i="3"/>
  <c r="E4" i="3" s="1"/>
  <c r="K4" i="4"/>
  <c r="A9" i="20" s="1"/>
  <c r="A8" i="20" s="1"/>
  <c r="F4" i="4"/>
  <c r="F5" i="4"/>
  <c r="K5" i="4"/>
  <c r="A15" i="20" s="1"/>
  <c r="A14" i="20" s="1"/>
  <c r="F6" i="4"/>
  <c r="K6" i="4"/>
  <c r="A21" i="20" s="1"/>
  <c r="A20" i="20" s="1"/>
  <c r="F7" i="4"/>
  <c r="K7" i="4"/>
  <c r="A27" i="20" s="1"/>
  <c r="A26" i="20" s="1"/>
  <c r="K8" i="4"/>
  <c r="A33" i="20" s="1"/>
  <c r="A32" i="20" s="1"/>
  <c r="F8" i="4"/>
  <c r="F10" i="4"/>
  <c r="A17" i="3"/>
  <c r="E17" i="3" s="1"/>
  <c r="A16" i="3"/>
  <c r="E16" i="3" s="1"/>
  <c r="K10" i="4"/>
  <c r="A45" i="20" s="1"/>
  <c r="A44" i="20" s="1"/>
  <c r="A19" i="3"/>
  <c r="E19" i="3" s="1"/>
  <c r="A18" i="3"/>
  <c r="E18" i="3" s="1"/>
  <c r="K11" i="4"/>
  <c r="A51" i="20" s="1"/>
  <c r="A50" i="20" s="1"/>
  <c r="F11" i="4"/>
  <c r="K9" i="4"/>
  <c r="A39" i="20" s="1"/>
  <c r="A38" i="20" s="1"/>
  <c r="F9" i="4"/>
  <c r="A14" i="3"/>
  <c r="E14" i="3" s="1"/>
  <c r="A15" i="3"/>
  <c r="E15" i="3" s="1"/>
  <c r="A13" i="3"/>
  <c r="E13" i="3" s="1"/>
  <c r="A12" i="3"/>
  <c r="E12" i="3" s="1"/>
  <c r="A7" i="3"/>
  <c r="E7" i="3" s="1"/>
  <c r="N3" i="4"/>
  <c r="L3" i="4"/>
  <c r="A6" i="3"/>
  <c r="E6" i="3" s="1"/>
  <c r="A8" i="3"/>
  <c r="E8" i="3" s="1"/>
  <c r="A10" i="3"/>
  <c r="E10" i="3" s="1"/>
  <c r="A11" i="3"/>
  <c r="E11" i="3" s="1"/>
  <c r="A9" i="3"/>
  <c r="E9" i="3" s="1"/>
  <c r="A2" i="3"/>
  <c r="E2" i="3" s="1"/>
  <c r="F3" i="4"/>
  <c r="A5" i="3"/>
  <c r="E5" i="3" s="1"/>
  <c r="A3" i="3"/>
  <c r="E3" i="3" s="1"/>
  <c r="BO56" i="14" l="1"/>
  <c r="BF56" i="14"/>
  <c r="BF66" i="14"/>
  <c r="BQ16" i="14"/>
  <c r="AO71" i="14"/>
  <c r="G13" i="4"/>
  <c r="BM71" i="14"/>
  <c r="BK71" i="14"/>
  <c r="BJ56" i="14"/>
  <c r="BM56" i="14"/>
  <c r="BK36" i="14"/>
  <c r="BP6" i="14"/>
  <c r="BG41" i="14"/>
  <c r="AR51" i="14"/>
  <c r="AZ41" i="14"/>
  <c r="BN11" i="14"/>
  <c r="A70" i="20"/>
  <c r="AU66" i="14"/>
  <c r="M3" i="4"/>
  <c r="AW51" i="14"/>
  <c r="BN56" i="14"/>
  <c r="BD51" i="14"/>
  <c r="AV11" i="14"/>
  <c r="AV46" i="14"/>
  <c r="BN16" i="14"/>
  <c r="AV51" i="14"/>
  <c r="AV66" i="14"/>
  <c r="AZ56" i="14"/>
  <c r="AR31" i="14"/>
  <c r="BI61" i="14"/>
  <c r="AO31" i="14"/>
  <c r="BG31" i="14"/>
  <c r="BM66" i="14"/>
  <c r="AO61" i="14"/>
  <c r="BD46" i="14"/>
  <c r="AU16" i="14"/>
  <c r="AU21" i="14"/>
  <c r="AY56" i="14"/>
  <c r="A4" i="20"/>
  <c r="AS26" i="14"/>
  <c r="BJ46" i="14"/>
  <c r="M14" i="4"/>
  <c r="M16" i="4"/>
  <c r="A10" i="20"/>
  <c r="AO11" i="14"/>
  <c r="I15" i="4"/>
  <c r="BQ61" i="14"/>
  <c r="BL26" i="14"/>
  <c r="AS31" i="14"/>
  <c r="BP26" i="14"/>
  <c r="BG11" i="14"/>
  <c r="BO66" i="14"/>
  <c r="AW46" i="14"/>
  <c r="AW31" i="14"/>
  <c r="BA64" i="14"/>
  <c r="BE66" i="14"/>
  <c r="AT26" i="14"/>
  <c r="AS46" i="14"/>
  <c r="BG56" i="14"/>
  <c r="BC11" i="14"/>
  <c r="BL61" i="14"/>
  <c r="BA26" i="14"/>
  <c r="BE26" i="14"/>
  <c r="BC16" i="14"/>
  <c r="BG51" i="14"/>
  <c r="AO36" i="14"/>
  <c r="BD31" i="14"/>
  <c r="AY51" i="14"/>
  <c r="AY31" i="14"/>
  <c r="AR56" i="14"/>
  <c r="BN51" i="14"/>
  <c r="H16" i="4"/>
  <c r="A82" i="20"/>
  <c r="AS71" i="14"/>
  <c r="AQ71" i="14"/>
  <c r="AP69" i="14"/>
  <c r="A22" i="20"/>
  <c r="BL69" i="14"/>
  <c r="G15" i="4"/>
  <c r="AW61" i="14"/>
  <c r="A46" i="20"/>
  <c r="AS41" i="14"/>
  <c r="BB29" i="14"/>
  <c r="BB31" i="14" s="1"/>
  <c r="AZ29" i="14"/>
  <c r="AZ31" i="14" s="1"/>
  <c r="M13" i="4"/>
  <c r="H13" i="4"/>
  <c r="BL64" i="14"/>
  <c r="BL66" i="14" s="1"/>
  <c r="BJ64" i="14"/>
  <c r="BJ66" i="14" s="1"/>
  <c r="A64" i="20"/>
  <c r="N13" i="4"/>
  <c r="I13" i="4"/>
  <c r="BK24" i="14"/>
  <c r="BK26" i="14" s="1"/>
  <c r="BO24" i="14"/>
  <c r="BO26" i="14" s="1"/>
  <c r="BO36" i="14"/>
  <c r="BP69" i="14"/>
  <c r="BP71" i="14" s="1"/>
  <c r="BN69" i="14"/>
  <c r="BN71" i="14" s="1"/>
  <c r="I12" i="4"/>
  <c r="N12" i="4"/>
  <c r="H15" i="4"/>
  <c r="M15" i="4"/>
  <c r="A78" i="20" s="1"/>
  <c r="AZ14" i="14"/>
  <c r="AZ16" i="14" s="1"/>
  <c r="BB14" i="14"/>
  <c r="BB16" i="14" s="1"/>
  <c r="AR24" i="14"/>
  <c r="AR26" i="14" s="1"/>
  <c r="AP24" i="14"/>
  <c r="AP26" i="14" s="1"/>
  <c r="A16" i="20"/>
  <c r="I16" i="4"/>
  <c r="N16" i="4"/>
  <c r="AT14" i="14"/>
  <c r="AT16" i="14" s="1"/>
  <c r="AV14" i="14"/>
  <c r="AV16" i="14" s="1"/>
  <c r="BG16" i="14"/>
  <c r="AY11" i="14"/>
  <c r="BO49" i="14"/>
  <c r="BO51" i="14" s="1"/>
  <c r="BK49" i="14"/>
  <c r="BK51" i="14" s="1"/>
  <c r="BJ11" i="14"/>
  <c r="AZ46" i="14"/>
  <c r="AR16" i="14"/>
  <c r="N14" i="4"/>
  <c r="I14" i="4"/>
  <c r="AW36" i="14"/>
  <c r="BM21" i="14"/>
  <c r="AO41" i="14"/>
  <c r="AZ24" i="14"/>
  <c r="AZ26" i="14" s="1"/>
  <c r="BF39" i="14"/>
  <c r="BF41" i="14" s="1"/>
  <c r="BD39" i="14"/>
  <c r="BD41" i="14" s="1"/>
  <c r="AU54" i="14"/>
  <c r="AU56" i="14" s="1"/>
  <c r="AQ54" i="14"/>
  <c r="AQ56" i="14" s="1"/>
  <c r="BQ21" i="14"/>
  <c r="BK29" i="14"/>
  <c r="BK31" i="14" s="1"/>
  <c r="BO29" i="14"/>
  <c r="BO31" i="14" s="1"/>
  <c r="BO39" i="14"/>
  <c r="BO41" i="14" s="1"/>
  <c r="BK39" i="14"/>
  <c r="BK41" i="14" s="1"/>
  <c r="BI21" i="14"/>
  <c r="A34" i="20"/>
  <c r="BL14" i="14"/>
  <c r="BL16" i="14" s="1"/>
  <c r="BJ14" i="14"/>
  <c r="BJ16" i="14" s="1"/>
  <c r="A52" i="20"/>
  <c r="BB64" i="14"/>
  <c r="BB66" i="14" s="1"/>
  <c r="AY41" i="14"/>
  <c r="A76" i="20"/>
  <c r="BI16" i="14"/>
  <c r="M12" i="4"/>
  <c r="H12" i="4"/>
  <c r="BM11" i="14"/>
  <c r="AO46" i="14"/>
  <c r="L16" i="4"/>
  <c r="G16" i="4"/>
  <c r="L14" i="4"/>
  <c r="G14" i="4"/>
  <c r="G12" i="4"/>
  <c r="A58" i="20"/>
  <c r="L12" i="4"/>
  <c r="BQ66" i="14"/>
  <c r="A40" i="20"/>
  <c r="BD9" i="14"/>
  <c r="BD11" i="14" s="1"/>
  <c r="BF9" i="14"/>
  <c r="BF11" i="14" s="1"/>
  <c r="BO44" i="14"/>
  <c r="BO46" i="14" s="1"/>
  <c r="BK44" i="14"/>
  <c r="BK46" i="14" s="1"/>
  <c r="AU9" i="14"/>
  <c r="AU11" i="14" s="1"/>
  <c r="AQ9" i="14"/>
  <c r="AQ11" i="14" s="1"/>
  <c r="BP29" i="14"/>
  <c r="BP31" i="14" s="1"/>
  <c r="BN29" i="14"/>
  <c r="BN31" i="14" s="1"/>
  <c r="AW41" i="14"/>
  <c r="A28" i="20"/>
  <c r="AR69" i="14"/>
  <c r="AR71" i="14" s="1"/>
  <c r="BC36" i="14"/>
  <c r="AO51" i="14"/>
  <c r="BJ69" i="14"/>
  <c r="BJ71" i="14" s="1"/>
  <c r="BG71" i="14"/>
  <c r="BB71" i="14"/>
  <c r="H11" i="4"/>
  <c r="M11" i="4"/>
  <c r="N10" i="4"/>
  <c r="I10" i="4"/>
  <c r="L11" i="4"/>
  <c r="G11" i="4"/>
  <c r="I5" i="4"/>
  <c r="I6" i="3" s="1"/>
  <c r="N5" i="4"/>
  <c r="I7" i="3" s="1"/>
  <c r="L6" i="4"/>
  <c r="G6" i="4"/>
  <c r="M10" i="4"/>
  <c r="H10" i="4"/>
  <c r="L5" i="4"/>
  <c r="G5" i="4"/>
  <c r="I11" i="4"/>
  <c r="N11" i="4"/>
  <c r="L10" i="4"/>
  <c r="G10" i="4"/>
  <c r="I3" i="4"/>
  <c r="H3" i="4"/>
  <c r="G3" i="4"/>
  <c r="A83" i="20" l="1"/>
  <c r="A59" i="20"/>
  <c r="A71" i="20"/>
  <c r="A5" i="20"/>
  <c r="A6" i="20"/>
  <c r="A84" i="20"/>
  <c r="A72" i="20"/>
  <c r="A60" i="20"/>
  <c r="A66" i="20"/>
  <c r="AP71" i="14"/>
  <c r="A65" i="20"/>
  <c r="A77" i="20"/>
  <c r="BA66" i="14"/>
  <c r="BL71" i="14"/>
  <c r="A54" i="20"/>
  <c r="A53" i="20"/>
  <c r="A47" i="20"/>
  <c r="A48" i="20"/>
  <c r="G6" i="3"/>
  <c r="G7" i="3"/>
  <c r="N6" i="4"/>
  <c r="I9" i="3" s="1"/>
  <c r="I6" i="4"/>
  <c r="I8" i="3" s="1"/>
  <c r="H9" i="4"/>
  <c r="H14" i="3" s="1"/>
  <c r="M9" i="4"/>
  <c r="H15" i="3" s="1"/>
  <c r="L7" i="4"/>
  <c r="G7" i="4"/>
  <c r="I9" i="4"/>
  <c r="I14" i="3" s="1"/>
  <c r="N9" i="4"/>
  <c r="I15" i="3" s="1"/>
  <c r="H7" i="4"/>
  <c r="H10" i="3" s="1"/>
  <c r="M7" i="4"/>
  <c r="H11" i="3" s="1"/>
  <c r="G4" i="4"/>
  <c r="L4" i="4"/>
  <c r="I7" i="4"/>
  <c r="I10" i="3" s="1"/>
  <c r="N7" i="4"/>
  <c r="I11" i="3" s="1"/>
  <c r="G8" i="4"/>
  <c r="L8" i="4"/>
  <c r="H5" i="4"/>
  <c r="H6" i="3" s="1"/>
  <c r="M5" i="4"/>
  <c r="H7" i="3" s="1"/>
  <c r="M4" i="4"/>
  <c r="H5" i="3" s="1"/>
  <c r="H4" i="4"/>
  <c r="H4" i="3" s="1"/>
  <c r="I4" i="4"/>
  <c r="I4" i="3" s="1"/>
  <c r="N4" i="4"/>
  <c r="I5" i="3" s="1"/>
  <c r="M8" i="4"/>
  <c r="H13" i="3" s="1"/>
  <c r="H8" i="4"/>
  <c r="H12" i="3" s="1"/>
  <c r="N8" i="4"/>
  <c r="I13" i="3" s="1"/>
  <c r="I8" i="4"/>
  <c r="I12" i="3" s="1"/>
  <c r="M6" i="4"/>
  <c r="H9" i="3" s="1"/>
  <c r="H6" i="4"/>
  <c r="H8" i="3" s="1"/>
  <c r="L9" i="4"/>
  <c r="G9" i="4"/>
  <c r="G18" i="3"/>
  <c r="I19" i="3"/>
  <c r="I18" i="3"/>
  <c r="H18" i="3"/>
  <c r="G19" i="3"/>
  <c r="I3" i="3"/>
  <c r="H3" i="3"/>
  <c r="G9" i="3"/>
  <c r="G3" i="3"/>
  <c r="G8" i="3"/>
  <c r="G2" i="3"/>
  <c r="H19" i="3"/>
  <c r="H2" i="3"/>
  <c r="I2" i="3"/>
  <c r="A42" i="20" l="1"/>
  <c r="A41" i="20"/>
  <c r="A11" i="20"/>
  <c r="A29" i="20"/>
  <c r="A24" i="20"/>
  <c r="A36" i="20"/>
  <c r="A35" i="20"/>
  <c r="A30" i="20"/>
  <c r="A12" i="20"/>
  <c r="A18" i="20"/>
  <c r="A17" i="20"/>
  <c r="A23" i="20"/>
  <c r="C6" i="3"/>
  <c r="G12" i="3"/>
  <c r="C12" i="3" s="1"/>
  <c r="G14" i="3"/>
  <c r="C14" i="3" s="1"/>
  <c r="G10" i="3"/>
  <c r="C10" i="3" s="1"/>
  <c r="G15" i="3"/>
  <c r="G11" i="3"/>
  <c r="G5" i="3"/>
  <c r="G4" i="3"/>
  <c r="C7" i="3"/>
  <c r="G13" i="3"/>
  <c r="C13" i="3" s="1"/>
  <c r="I16" i="3"/>
  <c r="G17" i="3"/>
  <c r="I17" i="3"/>
  <c r="G16" i="3"/>
  <c r="H17" i="3"/>
  <c r="H16" i="3"/>
  <c r="C19" i="3"/>
  <c r="C18" i="3"/>
  <c r="C3" i="3"/>
  <c r="C9" i="3"/>
  <c r="C2" i="3"/>
  <c r="C8" i="3"/>
  <c r="C15" i="3" l="1"/>
  <c r="C4" i="3"/>
  <c r="C5" i="3"/>
  <c r="C11" i="3"/>
  <c r="C16" i="3"/>
  <c r="C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 Salomons</author>
  </authors>
  <commentList>
    <comment ref="BK5" authorId="0" shapeId="0" xr:uid="{54A9A63C-9373-4115-96BB-9E3BD5BCDFE7}">
      <text>
        <r>
          <rPr>
            <b/>
            <sz val="9"/>
            <color indexed="81"/>
            <rFont val="Tahoma"/>
            <charset val="1"/>
          </rPr>
          <t>Greg Salomons:</t>
        </r>
        <r>
          <rPr>
            <sz val="9"/>
            <color indexed="81"/>
            <rFont val="Tahoma"/>
            <charset val="1"/>
          </rPr>
          <t xml:space="preserve">
Dropping Overlapping Boundaries requirement, because it is possible for a ring to overlap another ring without the boundaries ever intersecting.
The other three conditions present are sufficient to uniquely identify overlapping structures.</t>
        </r>
      </text>
    </comment>
    <comment ref="CI70" authorId="0" shapeId="0" xr:uid="{053A75CB-9F5C-4BE0-B9FA-B5D66E0432AC}">
      <text>
        <r>
          <rPr>
            <b/>
            <sz val="9"/>
            <color indexed="81"/>
            <rFont val="Tahoma"/>
            <charset val="1"/>
          </rPr>
          <t>Greg Salomons:</t>
        </r>
        <r>
          <rPr>
            <sz val="9"/>
            <color indexed="81"/>
            <rFont val="Tahoma"/>
            <charset val="1"/>
          </rPr>
          <t xml:space="preserve">
Dropping this requirement because it is possible for a 2-region structure to have one of it regions surrounded by another structure, while another region is disjoint.  I have chosen to label this as disjoint.  </t>
        </r>
      </text>
    </comment>
    <comment ref="CK70" authorId="0" shapeId="0" xr:uid="{0018C5DF-4666-46A8-8498-4F80086CA224}">
      <text>
        <r>
          <rPr>
            <b/>
            <sz val="9"/>
            <color indexed="81"/>
            <rFont val="Tahoma"/>
            <charset val="1"/>
          </rPr>
          <t>Greg Salomons:</t>
        </r>
        <r>
          <rPr>
            <sz val="9"/>
            <color indexed="81"/>
            <rFont val="Tahoma"/>
            <charset val="1"/>
          </rPr>
          <t xml:space="preserve">
Since non-overlapping external bounds is not a requirement for Disjoint, I need to add the mutually overlapping exteriors criteria to provide a unique requirement for Disjoint</t>
        </r>
      </text>
    </comment>
  </commentList>
</comments>
</file>

<file path=xl/sharedStrings.xml><?xml version="1.0" encoding="utf-8"?>
<sst xmlns="http://schemas.openxmlformats.org/spreadsheetml/2006/main" count="3626" uniqueCount="88">
  <si>
    <t>Surrounds</t>
  </si>
  <si>
    <t>Enclosed</t>
  </si>
  <si>
    <t>Transitive</t>
  </si>
  <si>
    <r>
      <t>a</t>
    </r>
    <r>
      <rPr>
        <sz val="10"/>
        <color rgb="FF202122"/>
        <rFont val="Calibri"/>
        <family val="2"/>
      </rPr>
      <t xml:space="preserve"> </t>
    </r>
    <r>
      <rPr>
        <sz val="11"/>
        <color rgb="FF000000"/>
        <rFont val="Aptos"/>
        <family val="2"/>
      </rPr>
      <t xml:space="preserve">and </t>
    </r>
    <r>
      <rPr>
        <b/>
        <i/>
        <sz val="14"/>
        <color rgb="FF00B050"/>
        <rFont val="Calibri"/>
        <family val="2"/>
      </rPr>
      <t>b</t>
    </r>
    <r>
      <rPr>
        <sz val="10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 xml:space="preserve">have no interior points in common, and with holes filled </t>
    </r>
    <r>
      <rPr>
        <b/>
        <i/>
        <sz val="14"/>
        <color rgb="FF00B050"/>
        <rFont val="Calibri"/>
        <family val="2"/>
      </rPr>
      <t>b</t>
    </r>
    <r>
      <rPr>
        <sz val="10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 xml:space="preserve">lies in the interior of </t>
    </r>
    <r>
      <rPr>
        <b/>
        <i/>
        <sz val="14"/>
        <color rgb="FF5B9BD5"/>
        <rFont val="Calibri"/>
        <family val="2"/>
      </rPr>
      <t>a</t>
    </r>
    <r>
      <rPr>
        <sz val="11"/>
        <color rgb="FF000000"/>
        <rFont val="Aptos"/>
        <family val="2"/>
      </rPr>
      <t>.</t>
    </r>
  </si>
  <si>
    <r>
      <t xml:space="preserve">region a 
</t>
    </r>
    <r>
      <rPr>
        <b/>
        <i/>
        <sz val="12"/>
        <color rgb="FF00B050"/>
        <rFont val="Calibri"/>
        <family val="2"/>
      </rPr>
      <t xml:space="preserve">region b 
</t>
    </r>
    <r>
      <rPr>
        <b/>
        <i/>
        <sz val="12"/>
        <color rgb="FFF7AC08"/>
        <rFont val="Calibri"/>
        <family val="2"/>
      </rPr>
      <t>intersection of a &amp; b</t>
    </r>
    <r>
      <rPr>
        <sz val="12"/>
        <color rgb="FF000000"/>
        <rFont val="Aptos"/>
        <family val="2"/>
      </rPr>
      <t xml:space="preserve"> </t>
    </r>
  </si>
  <si>
    <t>Shelters</t>
  </si>
  <si>
    <t>Sheltered</t>
  </si>
  <si>
    <r>
      <t>a</t>
    </r>
    <r>
      <rPr>
        <sz val="11"/>
        <color rgb="FF000000"/>
        <rFont val="Aptos"/>
        <family val="2"/>
      </rPr>
      <t xml:space="preserve"> and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 have no points in common, but the </t>
    </r>
    <r>
      <rPr>
        <i/>
        <sz val="11"/>
        <color rgb="FF000000"/>
        <rFont val="Aptos"/>
        <family val="2"/>
      </rPr>
      <t>Convex Hull</t>
    </r>
    <r>
      <rPr>
        <sz val="11"/>
        <color rgb="FF000000"/>
        <rFont val="Aptos"/>
        <family val="2"/>
      </rPr>
      <t xml:space="preserve"> of </t>
    </r>
    <r>
      <rPr>
        <b/>
        <i/>
        <sz val="14"/>
        <color rgb="FF5B9BD5"/>
        <rFont val="Calibri"/>
        <family val="2"/>
      </rPr>
      <t>a</t>
    </r>
    <r>
      <rPr>
        <sz val="11"/>
        <color rgb="FF000000"/>
        <rFont val="Aptos"/>
        <family val="2"/>
      </rPr>
      <t xml:space="preserve"> contains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>.</t>
    </r>
  </si>
  <si>
    <r>
      <t xml:space="preserve">A relation is </t>
    </r>
    <r>
      <rPr>
        <b/>
        <sz val="11"/>
        <color rgb="FF000000"/>
        <rFont val="Aptos"/>
        <family val="2"/>
      </rPr>
      <t>transitive</t>
    </r>
    <r>
      <rPr>
        <sz val="11"/>
        <color rgb="FF000000"/>
        <rFont val="Aptos"/>
        <family val="2"/>
      </rPr>
      <t xml:space="preserve"> if whenever ,</t>
    </r>
    <r>
      <rPr>
        <i/>
        <sz val="11"/>
        <color rgb="FF000000"/>
        <rFont val="Aptos"/>
        <family val="2"/>
      </rPr>
      <t>aRb</t>
    </r>
    <r>
      <rPr>
        <sz val="11"/>
        <color rgb="FF000000"/>
        <rFont val="Aptos"/>
        <family val="2"/>
      </rPr>
      <t xml:space="preserve"> and</t>
    </r>
    <r>
      <rPr>
        <i/>
        <sz val="11"/>
        <color rgb="FF000000"/>
        <rFont val="Aptos"/>
        <family val="2"/>
      </rPr>
      <t xml:space="preserve"> bRc</t>
    </r>
    <r>
      <rPr>
        <sz val="11"/>
        <color rgb="FF000000"/>
        <rFont val="Aptos"/>
        <family val="2"/>
      </rPr>
      <t xml:space="preserve"> then </t>
    </r>
    <r>
      <rPr>
        <i/>
        <sz val="11"/>
        <color rgb="FF000000"/>
        <rFont val="Aptos"/>
        <family val="2"/>
      </rPr>
      <t>aRc</t>
    </r>
    <r>
      <rPr>
        <sz val="11"/>
        <color rgb="FF000000"/>
        <rFont val="Aptos"/>
        <family val="2"/>
      </rPr>
      <t xml:space="preserve">. For example, if </t>
    </r>
    <r>
      <rPr>
        <b/>
        <i/>
        <sz val="14"/>
        <color rgb="FF5B9BD5"/>
        <rFont val="Calibri"/>
        <family val="2"/>
      </rPr>
      <t xml:space="preserve">a </t>
    </r>
    <r>
      <rPr>
        <i/>
        <sz val="11"/>
        <color rgb="FF000000"/>
        <rFont val="Aptos"/>
        <family val="2"/>
      </rPr>
      <t xml:space="preserve">Contains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 and </t>
    </r>
    <r>
      <rPr>
        <b/>
        <i/>
        <sz val="14"/>
        <color rgb="FF00B050"/>
        <rFont val="Calibri"/>
        <family val="2"/>
      </rPr>
      <t xml:space="preserve">b </t>
    </r>
    <r>
      <rPr>
        <i/>
        <sz val="11"/>
        <color rgb="FF000000"/>
        <rFont val="Aptos"/>
        <family val="2"/>
      </rPr>
      <t xml:space="preserve">Contains </t>
    </r>
    <r>
      <rPr>
        <b/>
        <i/>
        <sz val="14"/>
        <color rgb="FFD39307"/>
        <rFont val="Calibri"/>
        <family val="2"/>
      </rPr>
      <t>c</t>
    </r>
    <r>
      <rPr>
        <sz val="10.5"/>
        <color rgb="FF202122"/>
        <rFont val="Arial"/>
        <family val="2"/>
      </rPr>
      <t xml:space="preserve"> relation, then</t>
    </r>
    <r>
      <rPr>
        <b/>
        <i/>
        <sz val="14"/>
        <color rgb="FF5B9BD5"/>
        <rFont val="Calibri"/>
        <family val="2"/>
      </rPr>
      <t xml:space="preserve"> a</t>
    </r>
    <r>
      <rPr>
        <i/>
        <sz val="11"/>
        <color rgb="FF000000"/>
        <rFont val="Aptos"/>
        <family val="2"/>
      </rPr>
      <t xml:space="preserve"> Contains</t>
    </r>
    <r>
      <rPr>
        <b/>
        <i/>
        <sz val="14"/>
        <color rgb="FFD39307"/>
        <rFont val="Calibri"/>
        <family val="2"/>
      </rPr>
      <t xml:space="preserve"> c</t>
    </r>
    <r>
      <rPr>
        <sz val="11"/>
        <color rgb="FF000000"/>
        <rFont val="Aptos"/>
        <family val="2"/>
      </rPr>
      <t>.</t>
    </r>
  </si>
  <si>
    <t>Disjoint</t>
  </si>
  <si>
    <t>Symmetric</t>
  </si>
  <si>
    <r>
      <t>a</t>
    </r>
    <r>
      <rPr>
        <sz val="11"/>
        <color rgb="FF000000"/>
        <rFont val="Aptos"/>
        <family val="2"/>
      </rPr>
      <t xml:space="preserve"> and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 have no points in common.</t>
    </r>
  </si>
  <si>
    <r>
      <t xml:space="preserve">A relation is </t>
    </r>
    <r>
      <rPr>
        <b/>
        <sz val="11"/>
        <color rgb="FF000000"/>
        <rFont val="Aptos"/>
        <family val="2"/>
      </rPr>
      <t>symmetric</t>
    </r>
    <r>
      <rPr>
        <sz val="11"/>
        <color rgb="FF000000"/>
        <rFont val="Aptos"/>
        <family val="2"/>
      </rPr>
      <t xml:space="preserve"> if </t>
    </r>
    <r>
      <rPr>
        <i/>
        <sz val="11"/>
        <color rgb="FF000000"/>
        <rFont val="Aptos"/>
        <family val="2"/>
      </rPr>
      <t>aRb</t>
    </r>
    <r>
      <rPr>
        <sz val="11"/>
        <color rgb="FF000000"/>
        <rFont val="Aptos"/>
        <family val="2"/>
      </rPr>
      <t xml:space="preserve"> implies </t>
    </r>
    <r>
      <rPr>
        <i/>
        <sz val="11"/>
        <color rgb="FF000000"/>
        <rFont val="Aptos"/>
        <family val="2"/>
      </rPr>
      <t>bRa</t>
    </r>
    <r>
      <rPr>
        <sz val="11"/>
        <color rgb="FF000000"/>
        <rFont val="Aptos"/>
        <family val="2"/>
      </rPr>
      <t xml:space="preserve"> for all a and b. For example, if </t>
    </r>
    <r>
      <rPr>
        <b/>
        <i/>
        <sz val="14"/>
        <color rgb="FF5B9BD5"/>
        <rFont val="Calibri"/>
        <family val="2"/>
      </rPr>
      <t xml:space="preserve">a </t>
    </r>
    <r>
      <rPr>
        <i/>
        <sz val="11"/>
        <color rgb="FF000000"/>
        <rFont val="Aptos"/>
        <family val="2"/>
      </rPr>
      <t xml:space="preserve">Equals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 then </t>
    </r>
    <r>
      <rPr>
        <b/>
        <i/>
        <sz val="14"/>
        <color rgb="FF00B050"/>
        <rFont val="Calibri"/>
        <family val="2"/>
      </rPr>
      <t xml:space="preserve">b </t>
    </r>
    <r>
      <rPr>
        <i/>
        <sz val="11"/>
        <color rgb="FF000000"/>
        <rFont val="Aptos"/>
        <family val="2"/>
      </rPr>
      <t xml:space="preserve">Equals </t>
    </r>
    <r>
      <rPr>
        <b/>
        <i/>
        <sz val="14"/>
        <color rgb="FF5B9BD5"/>
        <rFont val="Calibri"/>
        <family val="2"/>
      </rPr>
      <t>a</t>
    </r>
    <r>
      <rPr>
        <sz val="11"/>
        <color rgb="FF000000"/>
        <rFont val="Aptos"/>
        <family val="2"/>
      </rPr>
      <t>.</t>
    </r>
  </si>
  <si>
    <t>Borders</t>
  </si>
  <si>
    <r>
      <t xml:space="preserve">The exterior boundaries of </t>
    </r>
    <r>
      <rPr>
        <b/>
        <i/>
        <sz val="14"/>
        <color rgb="FF5B9BD5"/>
        <rFont val="Calibri"/>
        <family val="2"/>
      </rPr>
      <t>a</t>
    </r>
    <r>
      <rPr>
        <sz val="10"/>
        <color rgb="FF202122"/>
        <rFont val="Calibri"/>
        <family val="2"/>
      </rPr>
      <t xml:space="preserve"> </t>
    </r>
    <r>
      <rPr>
        <sz val="11"/>
        <color theme="1"/>
        <rFont val="Aptos"/>
        <family val="2"/>
      </rPr>
      <t xml:space="preserve">and </t>
    </r>
    <r>
      <rPr>
        <b/>
        <i/>
        <sz val="14"/>
        <color rgb="FF00B050"/>
        <rFont val="Calibri"/>
        <family val="2"/>
      </rPr>
      <t>b</t>
    </r>
    <r>
      <rPr>
        <sz val="10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have more than one point in common, but their interiors do not intersect.</t>
    </r>
  </si>
  <si>
    <t>Confines</t>
  </si>
  <si>
    <t>Confined</t>
  </si>
  <si>
    <r>
      <t xml:space="preserve">The interior boundary of one shape </t>
    </r>
    <r>
      <rPr>
        <b/>
        <i/>
        <sz val="14"/>
        <color rgb="FF5B9BD5"/>
        <rFont val="Calibri"/>
        <family val="2"/>
      </rPr>
      <t>a</t>
    </r>
    <r>
      <rPr>
        <sz val="10"/>
        <color rgb="FF202122"/>
        <rFont val="Calibri"/>
        <family val="2"/>
      </rPr>
      <t xml:space="preserve"> </t>
    </r>
    <r>
      <rPr>
        <sz val="11"/>
        <color theme="1"/>
        <rFont val="Aptos"/>
        <family val="2"/>
      </rPr>
      <t xml:space="preserve">and the exterior boundary of another shape </t>
    </r>
    <r>
      <rPr>
        <b/>
        <i/>
        <sz val="14"/>
        <color rgb="FF00B050"/>
        <rFont val="Calibri"/>
        <family val="2"/>
      </rPr>
      <t>b</t>
    </r>
    <r>
      <rPr>
        <sz val="10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have more than one point in common, but their interiors do not intersect.</t>
    </r>
  </si>
  <si>
    <t>Overlaps</t>
  </si>
  <si>
    <r>
      <t>a</t>
    </r>
    <r>
      <rPr>
        <sz val="11"/>
        <color theme="1"/>
        <rFont val="Aptos"/>
        <family val="2"/>
      </rPr>
      <t xml:space="preserve"> overlaps </t>
    </r>
    <r>
      <rPr>
        <b/>
        <i/>
        <sz val="14"/>
        <color rgb="FF00B050"/>
        <rFont val="Calibri"/>
        <family val="2"/>
      </rPr>
      <t>b</t>
    </r>
    <r>
      <rPr>
        <sz val="11"/>
        <color theme="1"/>
        <rFont val="Aptos"/>
        <family val="2"/>
      </rPr>
      <t>: both have some but not all points in common.</t>
    </r>
  </si>
  <si>
    <t>Partitioned</t>
  </si>
  <si>
    <t>Partitions</t>
  </si>
  <si>
    <r>
      <t xml:space="preserve">All points of </t>
    </r>
    <r>
      <rPr>
        <b/>
        <i/>
        <sz val="14"/>
        <color rgb="FF5B9BD5"/>
        <rFont val="Calibri"/>
        <family val="2"/>
      </rPr>
      <t>a</t>
    </r>
    <r>
      <rPr>
        <sz val="10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 xml:space="preserve">lie in the interior of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, no points of </t>
    </r>
    <r>
      <rPr>
        <b/>
        <i/>
        <sz val="14"/>
        <color rgb="FF5B9BD5"/>
        <rFont val="Calibri"/>
        <family val="2"/>
      </rPr>
      <t>a</t>
    </r>
    <r>
      <rPr>
        <sz val="10"/>
        <color rgb="FF202122"/>
        <rFont val="Calibri"/>
        <family val="2"/>
      </rPr>
      <t xml:space="preserve"> </t>
    </r>
    <r>
      <rPr>
        <sz val="11"/>
        <color rgb="FF000000"/>
        <rFont val="Aptos"/>
        <family val="2"/>
      </rPr>
      <t xml:space="preserve">lie in the exterior of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, some points in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 are exterior to </t>
    </r>
    <r>
      <rPr>
        <b/>
        <i/>
        <sz val="14"/>
        <color rgb="FF5B9BD5"/>
        <rFont val="Calibri"/>
        <family val="2"/>
      </rPr>
      <t>a</t>
    </r>
    <r>
      <rPr>
        <sz val="11"/>
        <color rgb="FF000000"/>
        <rFont val="Aptos"/>
        <family val="2"/>
      </rPr>
      <t xml:space="preserve">, and the boundaries of </t>
    </r>
    <r>
      <rPr>
        <b/>
        <i/>
        <sz val="14"/>
        <color rgb="FF5B9BD5"/>
        <rFont val="Calibri"/>
        <family val="2"/>
      </rPr>
      <t>a</t>
    </r>
    <r>
      <rPr>
        <sz val="10"/>
        <color rgb="FF202122"/>
        <rFont val="Calibri"/>
        <family val="2"/>
      </rPr>
      <t xml:space="preserve"> </t>
    </r>
    <r>
      <rPr>
        <sz val="11"/>
        <color rgb="FF000000"/>
        <rFont val="Aptos"/>
        <family val="2"/>
      </rPr>
      <t xml:space="preserve">and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 have more than one point in common.</t>
    </r>
  </si>
  <si>
    <t>.</t>
  </si>
  <si>
    <t>Contains</t>
  </si>
  <si>
    <t>Within</t>
  </si>
  <si>
    <r>
      <t xml:space="preserve">All points of </t>
    </r>
    <r>
      <rPr>
        <b/>
        <i/>
        <sz val="14"/>
        <color rgb="FF5B9BD5"/>
        <rFont val="Calibri"/>
        <family val="2"/>
      </rPr>
      <t>a</t>
    </r>
    <r>
      <rPr>
        <sz val="10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 xml:space="preserve">lie in the interior of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, no points of </t>
    </r>
    <r>
      <rPr>
        <b/>
        <i/>
        <sz val="14"/>
        <color rgb="FF5B9BD5"/>
        <rFont val="Calibri"/>
        <family val="2"/>
      </rPr>
      <t>a</t>
    </r>
    <r>
      <rPr>
        <sz val="10"/>
        <color rgb="FF202122"/>
        <rFont val="Calibri"/>
        <family val="2"/>
      </rPr>
      <t xml:space="preserve"> </t>
    </r>
    <r>
      <rPr>
        <sz val="11"/>
        <color rgb="FF000000"/>
        <rFont val="Aptos"/>
        <family val="2"/>
      </rPr>
      <t xml:space="preserve">lie in the exterior of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, some points in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 are </t>
    </r>
    <r>
      <rPr>
        <i/>
        <sz val="11"/>
        <color rgb="FF000000"/>
        <rFont val="Aptos"/>
        <family val="2"/>
      </rPr>
      <t xml:space="preserve">exterior to </t>
    </r>
    <r>
      <rPr>
        <b/>
        <i/>
        <sz val="14"/>
        <color rgb="FF5B9BD5"/>
        <rFont val="Calibri"/>
        <family val="2"/>
      </rPr>
      <t>a</t>
    </r>
    <r>
      <rPr>
        <i/>
        <sz val="11"/>
        <color rgb="FF000000"/>
        <rFont val="Aptos"/>
        <family val="2"/>
      </rPr>
      <t xml:space="preserve">, and the boundaries of </t>
    </r>
    <r>
      <rPr>
        <b/>
        <i/>
        <sz val="14"/>
        <color rgb="FF5B9BD5"/>
        <rFont val="Calibri"/>
        <family val="2"/>
      </rPr>
      <t>a</t>
    </r>
    <r>
      <rPr>
        <i/>
        <sz val="10"/>
        <color rgb="FF202122"/>
        <rFont val="Calibri"/>
        <family val="2"/>
      </rPr>
      <t xml:space="preserve"> </t>
    </r>
    <r>
      <rPr>
        <i/>
        <sz val="11"/>
        <color rgb="FF000000"/>
        <rFont val="Aptos"/>
        <family val="2"/>
      </rPr>
      <t xml:space="preserve">and </t>
    </r>
    <r>
      <rPr>
        <b/>
        <i/>
        <sz val="14"/>
        <color rgb="FF00B050"/>
        <rFont val="Calibri"/>
        <family val="2"/>
      </rPr>
      <t>b</t>
    </r>
    <r>
      <rPr>
        <i/>
        <sz val="11"/>
        <color rgb="FF000000"/>
        <rFont val="Aptos"/>
        <family val="2"/>
      </rPr>
      <t xml:space="preserve"> do not intersect.</t>
    </r>
  </si>
  <si>
    <t>Equals</t>
  </si>
  <si>
    <t>Symmetric, Transitive</t>
  </si>
  <si>
    <r>
      <t xml:space="preserve">The interiors of </t>
    </r>
    <r>
      <rPr>
        <b/>
        <i/>
        <sz val="14"/>
        <color rgb="FF5B9BD5"/>
        <rFont val="Calibri"/>
        <family val="2"/>
      </rPr>
      <t>a</t>
    </r>
    <r>
      <rPr>
        <sz val="11"/>
        <color rgb="FF000000"/>
        <rFont val="Aptos"/>
        <family val="2"/>
      </rPr>
      <t xml:space="preserve"> and </t>
    </r>
    <r>
      <rPr>
        <b/>
        <i/>
        <sz val="14"/>
        <color rgb="FF00B050"/>
        <rFont val="Calibri"/>
        <family val="2"/>
      </rPr>
      <t>b</t>
    </r>
    <r>
      <rPr>
        <sz val="11"/>
        <color rgb="FF000000"/>
        <rFont val="Aptos"/>
        <family val="2"/>
      </rPr>
      <t xml:space="preserve"> intersect and no part of the interior of one geometry intersects the exterior of the other.</t>
    </r>
  </si>
  <si>
    <t>No</t>
  </si>
  <si>
    <t>B</t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</si>
  <si>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is </t>
    </r>
    <r>
      <rPr>
        <b/>
        <i/>
        <sz val="11"/>
        <color theme="1"/>
        <rFont val="Aptos Narrow"/>
        <family val="2"/>
        <scheme val="minor"/>
      </rPr>
      <t>Disjoint</t>
    </r>
    <r>
      <rPr>
        <b/>
        <sz val="11"/>
        <color theme="1"/>
        <rFont val="Aptos Narrow"/>
        <family val="2"/>
        <scheme val="minor"/>
      </rPr>
      <t xml:space="preserve"> 
with </t>
    </r>
    <r>
      <rPr>
        <b/>
        <sz val="11"/>
        <color rgb="FF00B050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 xml:space="preserve"> </t>
    </r>
  </si>
  <si>
    <t xml:space="preserve"> </t>
  </si>
  <si>
    <t>I</t>
  </si>
  <si>
    <t>E</t>
  </si>
  <si>
    <t>A</t>
  </si>
  <si>
    <t>F</t>
  </si>
  <si>
    <t>*</t>
  </si>
  <si>
    <t>T</t>
  </si>
  <si>
    <t>Yes</t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</si>
  <si>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Shelters </t>
    </r>
    <r>
      <rPr>
        <b/>
        <sz val="11"/>
        <color rgb="FF00B050"/>
        <rFont val="Aptos Narrow"/>
        <family val="2"/>
        <scheme val="minor"/>
      </rPr>
      <t>B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</si>
  <si>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Surrounds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</si>
  <si>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Borders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</si>
  <si>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Confines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</si>
  <si>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Contains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</si>
  <si>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Equals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</si>
  <si>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Overlaps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</si>
  <si>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t>Region Test</t>
  </si>
  <si>
    <t>Exterior Test</t>
  </si>
  <si>
    <t>Hull Test</t>
  </si>
  <si>
    <t>Region</t>
  </si>
  <si>
    <t>External</t>
  </si>
  <si>
    <t>Hull</t>
  </si>
  <si>
    <t>Tests</t>
  </si>
  <si>
    <t>Masks</t>
  </si>
  <si>
    <t>Values</t>
  </si>
  <si>
    <t>Relationship</t>
  </si>
  <si>
    <t>Binary Groups</t>
  </si>
  <si>
    <t>Type</t>
  </si>
  <si>
    <t>Mask</t>
  </si>
  <si>
    <t>Value</t>
  </si>
  <si>
    <r>
      <t xml:space="preserve">Do the </t>
    </r>
    <r>
      <rPr>
        <b/>
        <sz val="11"/>
        <color theme="1"/>
        <rFont val="Aptos Narrow"/>
        <family val="2"/>
        <scheme val="minor"/>
      </rPr>
      <t>boundaries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rgb="FF00B050"/>
        <rFont val="Aptos Narrow"/>
        <family val="2"/>
        <scheme val="minor"/>
      </rPr>
      <t xml:space="preserve">B </t>
    </r>
    <r>
      <rPr>
        <sz val="11"/>
        <color theme="1"/>
        <rFont val="Aptos Narrow"/>
        <family val="2"/>
        <scheme val="minor"/>
      </rPr>
      <t xml:space="preserve">overlap? </t>
    </r>
  </si>
  <si>
    <r>
      <t xml:space="preserve">Does the </t>
    </r>
    <r>
      <rPr>
        <b/>
        <sz val="11"/>
        <color theme="1"/>
        <rFont val="Aptos Narrow"/>
        <family val="2"/>
        <scheme val="minor"/>
      </rPr>
      <t>interior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include the </t>
    </r>
    <r>
      <rPr>
        <b/>
        <sz val="11"/>
        <color theme="1"/>
        <rFont val="Aptos Narrow"/>
        <family val="2"/>
        <scheme val="minor"/>
      </rPr>
      <t>exterior</t>
    </r>
    <r>
      <rPr>
        <sz val="11"/>
        <color theme="1"/>
        <rFont val="Aptos Narrow"/>
        <family val="2"/>
        <scheme val="minor"/>
      </rPr>
      <t xml:space="preserve"> of 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? </t>
    </r>
  </si>
  <si>
    <r>
      <t xml:space="preserve">Does the </t>
    </r>
    <r>
      <rPr>
        <b/>
        <sz val="11"/>
        <color theme="1"/>
        <rFont val="Aptos Narrow"/>
        <family val="2"/>
        <scheme val="minor"/>
      </rPr>
      <t>interior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include the </t>
    </r>
    <r>
      <rPr>
        <b/>
        <sz val="11"/>
        <color theme="1"/>
        <rFont val="Aptos Narrow"/>
        <family val="2"/>
        <scheme val="minor"/>
      </rPr>
      <t>exterior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? </t>
    </r>
  </si>
  <si>
    <r>
      <t xml:space="preserve">Do the </t>
    </r>
    <r>
      <rPr>
        <b/>
        <sz val="11"/>
        <color theme="1"/>
        <rFont val="Aptos Narrow"/>
        <family val="2"/>
        <scheme val="minor"/>
      </rPr>
      <t>interiors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rgb="FF00B050"/>
        <rFont val="Aptos Narrow"/>
        <family val="2"/>
        <scheme val="minor"/>
      </rPr>
      <t xml:space="preserve">B </t>
    </r>
    <r>
      <rPr>
        <sz val="11"/>
        <color theme="1"/>
        <rFont val="Aptos Narrow"/>
        <family val="2"/>
        <scheme val="minor"/>
      </rPr>
      <t>overlap?</t>
    </r>
  </si>
  <si>
    <t>Complementary Matricies</t>
  </si>
  <si>
    <t>Standard Matricies</t>
  </si>
  <si>
    <r>
      <t xml:space="preserve">Do the </t>
    </r>
    <r>
      <rPr>
        <b/>
        <sz val="11"/>
        <color theme="1"/>
        <rFont val="Aptos Narrow"/>
        <family val="2"/>
        <scheme val="minor"/>
      </rPr>
      <t>external bounds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 xml:space="preserve">A </t>
    </r>
    <r>
      <rPr>
        <sz val="11"/>
        <color theme="1"/>
        <rFont val="Aptos Narrow"/>
        <family val="2"/>
        <scheme val="minor"/>
      </rPr>
      <t xml:space="preserve">contain the </t>
    </r>
    <r>
      <rPr>
        <b/>
        <sz val="11"/>
        <color theme="1"/>
        <rFont val="Aptos Narrow"/>
        <family val="2"/>
        <scheme val="minor"/>
      </rPr>
      <t>external bounds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?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</si>
  <si>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is </t>
    </r>
    <r>
      <rPr>
        <b/>
        <i/>
        <sz val="11"/>
        <color theme="1"/>
        <rFont val="Aptos Narrow"/>
        <family val="2"/>
        <scheme val="minor"/>
      </rPr>
      <t xml:space="preserve">Partitioned by 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</si>
  <si>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 xml:space="preserve">Partitions </t>
    </r>
    <r>
      <rPr>
        <b/>
        <sz val="11"/>
        <color rgb="FF00B050"/>
        <rFont val="Aptos Narrow"/>
        <family val="2"/>
        <scheme val="minor"/>
      </rPr>
      <t>B</t>
    </r>
  </si>
  <si>
    <r>
      <t xml:space="preserve">Do the </t>
    </r>
    <r>
      <rPr>
        <b/>
        <sz val="11"/>
        <color theme="1"/>
        <rFont val="Aptos Narrow"/>
        <family val="2"/>
        <scheme val="minor"/>
      </rPr>
      <t>external bounds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 xml:space="preserve">A </t>
    </r>
    <r>
      <rPr>
        <sz val="11"/>
        <color theme="1"/>
        <rFont val="Aptos Narrow"/>
        <family val="2"/>
        <scheme val="minor"/>
      </rPr>
      <t xml:space="preserve">exist outside the </t>
    </r>
    <r>
      <rPr>
        <b/>
        <sz val="11"/>
        <color theme="1"/>
        <rFont val="Aptos Narrow"/>
        <family val="2"/>
        <scheme val="minor"/>
      </rPr>
      <t>external bounds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?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</si>
  <si>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is </t>
    </r>
    <r>
      <rPr>
        <b/>
        <i/>
        <sz val="11"/>
        <color theme="1"/>
        <rFont val="Aptos Narrow"/>
        <family val="2"/>
        <scheme val="minor"/>
      </rPr>
      <t>Confined by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</si>
  <si>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is Within </t>
    </r>
    <r>
      <rPr>
        <b/>
        <sz val="11"/>
        <color rgb="FF00B050"/>
        <rFont val="Aptos Narrow"/>
        <family val="2"/>
        <scheme val="minor"/>
      </rPr>
      <t>B</t>
    </r>
  </si>
  <si>
    <r>
      <t xml:space="preserve">Does the </t>
    </r>
    <r>
      <rPr>
        <b/>
        <sz val="11"/>
        <color theme="1"/>
        <rFont val="Aptos Narrow"/>
        <family val="2"/>
        <scheme val="minor"/>
      </rPr>
      <t>convex hull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contain the </t>
    </r>
    <r>
      <rPr>
        <b/>
        <sz val="11"/>
        <color theme="1"/>
        <rFont val="Aptos Narrow"/>
        <family val="2"/>
        <scheme val="minor"/>
      </rPr>
      <t>convex hull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?</t>
    </r>
  </si>
  <si>
    <r>
      <t xml:space="preserve">Does the </t>
    </r>
    <r>
      <rPr>
        <b/>
        <sz val="11"/>
        <color theme="1"/>
        <rFont val="Aptos Narrow"/>
        <family val="2"/>
        <scheme val="minor"/>
      </rPr>
      <t>convex hull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exist outside the </t>
    </r>
    <r>
      <rPr>
        <b/>
        <sz val="11"/>
        <color theme="1"/>
        <rFont val="Aptos Narrow"/>
        <family val="2"/>
        <scheme val="minor"/>
      </rPr>
      <t>convex hull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?</t>
    </r>
  </si>
  <si>
    <r>
      <t xml:space="preserve">Do the </t>
    </r>
    <r>
      <rPr>
        <b/>
        <sz val="11"/>
        <color theme="1"/>
        <rFont val="Aptos Narrow"/>
        <family val="2"/>
        <scheme val="minor"/>
      </rPr>
      <t>external bounds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50"/>
        <rFont val="Aptos Narrow"/>
        <family val="2"/>
        <scheme val="minor"/>
      </rPr>
      <t>B</t>
    </r>
    <r>
      <rPr>
        <b/>
        <sz val="11"/>
        <color rgb="FF00B0F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exist outside the </t>
    </r>
    <r>
      <rPr>
        <b/>
        <sz val="11"/>
        <color theme="1"/>
        <rFont val="Aptos Narrow"/>
        <family val="2"/>
        <scheme val="minor"/>
      </rPr>
      <t>external bounds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?</t>
    </r>
  </si>
  <si>
    <r>
      <t xml:space="preserve">Does the </t>
    </r>
    <r>
      <rPr>
        <b/>
        <sz val="11"/>
        <color theme="1"/>
        <rFont val="Aptos Narrow"/>
        <family val="2"/>
        <scheme val="minor"/>
      </rPr>
      <t>convex hull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exist outside the </t>
    </r>
    <r>
      <rPr>
        <b/>
        <sz val="11"/>
        <color theme="1"/>
        <rFont val="Aptos Narrow"/>
        <family val="2"/>
        <scheme val="minor"/>
      </rPr>
      <t>convex hull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?</t>
    </r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</si>
  <si>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is Sheltered by </t>
    </r>
    <r>
      <rPr>
        <b/>
        <sz val="11"/>
        <color rgb="FF00B050"/>
        <rFont val="Aptos Narrow"/>
        <family val="2"/>
        <scheme val="minor"/>
      </rPr>
      <t>B</t>
    </r>
  </si>
  <si>
    <t>Not Symmetric</t>
  </si>
  <si>
    <t>expected</t>
  </si>
  <si>
    <r>
      <rPr>
        <b/>
        <sz val="11"/>
        <color rgb="FF00B0F0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is Enclosed by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B</t>
    </r>
  </si>
  <si>
    <t>},{</t>
  </si>
  <si>
    <t>{"Relationships":[{</t>
  </si>
  <si>
    <t>}]}</t>
  </si>
  <si>
    <t>Not Up To Date</t>
  </si>
  <si>
    <t>Should this be Possible?</t>
  </si>
  <si>
    <r>
      <t xml:space="preserve">Does the </t>
    </r>
    <r>
      <rPr>
        <b/>
        <sz val="11"/>
        <color theme="1"/>
        <rFont val="Aptos Narrow"/>
        <family val="2"/>
        <scheme val="minor"/>
      </rPr>
      <t>interior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include the </t>
    </r>
    <r>
      <rPr>
        <b/>
        <sz val="11"/>
        <color theme="1"/>
        <rFont val="Aptos Narrow"/>
        <family val="2"/>
        <scheme val="minor"/>
      </rPr>
      <t>exterior</t>
    </r>
    <r>
      <rPr>
        <sz val="11"/>
        <color theme="1"/>
        <rFont val="Aptos Narrow"/>
        <family val="2"/>
        <scheme val="minor"/>
      </rPr>
      <t xml:space="preserve"> of 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? 
Does the </t>
    </r>
    <r>
      <rPr>
        <b/>
        <sz val="11"/>
        <color theme="1"/>
        <rFont val="Aptos Narrow"/>
        <family val="2"/>
        <scheme val="minor"/>
      </rPr>
      <t>interior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50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include the </t>
    </r>
    <r>
      <rPr>
        <b/>
        <sz val="11"/>
        <color theme="1"/>
        <rFont val="Aptos Narrow"/>
        <family val="2"/>
        <scheme val="minor"/>
      </rPr>
      <t>exterior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?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</si>
</sst>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1"/>
      <name val="Aptos"/>
      <family val="2"/>
    </font>
    <font>
      <sz val="14"/>
      <color rgb="FF000000"/>
      <name val="Courier New"/>
      <family val="3"/>
    </font>
    <font>
      <sz val="14"/>
      <color theme="1"/>
      <name val="Courier New"/>
      <family val="3"/>
    </font>
    <font>
      <b/>
      <sz val="14"/>
      <color theme="1"/>
      <name val="Aptos"/>
      <family val="2"/>
    </font>
    <font>
      <i/>
      <sz val="10"/>
      <color theme="1"/>
      <name val="Aptos"/>
      <family val="2"/>
    </font>
    <font>
      <b/>
      <sz val="15"/>
      <color theme="3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i/>
      <sz val="11"/>
      <color theme="1"/>
      <name val="Aptos"/>
      <family val="2"/>
    </font>
    <font>
      <b/>
      <i/>
      <sz val="14"/>
      <color rgb="FF5B9BD5"/>
      <name val="Calibri"/>
      <family val="2"/>
    </font>
    <font>
      <sz val="10"/>
      <color rgb="FF202122"/>
      <name val="Calibri"/>
      <family val="2"/>
    </font>
    <font>
      <sz val="11"/>
      <color rgb="FF000000"/>
      <name val="Aptos"/>
      <family val="2"/>
    </font>
    <font>
      <b/>
      <i/>
      <sz val="14"/>
      <color rgb="FF00B050"/>
      <name val="Calibri"/>
      <family val="2"/>
    </font>
    <font>
      <sz val="10"/>
      <color rgb="FF000000"/>
      <name val="Aptos"/>
      <family val="2"/>
    </font>
    <font>
      <i/>
      <sz val="11"/>
      <color rgb="FF000000"/>
      <name val="Aptos"/>
      <family val="2"/>
    </font>
    <font>
      <sz val="10"/>
      <color theme="1"/>
      <name val="Aptos"/>
      <family val="2"/>
    </font>
    <font>
      <sz val="12"/>
      <color theme="1"/>
      <name val="Times New Roman"/>
      <family val="1"/>
    </font>
    <font>
      <i/>
      <sz val="10"/>
      <color rgb="FF202122"/>
      <name val="Calibri"/>
      <family val="2"/>
    </font>
    <font>
      <b/>
      <sz val="11"/>
      <color rgb="FF2E75B5"/>
      <name val="Times New Roman"/>
      <family val="1"/>
    </font>
    <font>
      <sz val="10.5"/>
      <color rgb="FF202122"/>
      <name val="Arial"/>
      <family val="2"/>
    </font>
    <font>
      <b/>
      <i/>
      <sz val="14"/>
      <color rgb="FFD39307"/>
      <name val="Calibri"/>
      <family val="2"/>
    </font>
    <font>
      <sz val="12"/>
      <color rgb="FF000000"/>
      <name val="Aptos"/>
      <family val="2"/>
    </font>
    <font>
      <b/>
      <i/>
      <sz val="12"/>
      <color rgb="FF5B9BD5"/>
      <name val="Calibri"/>
      <family val="2"/>
    </font>
    <font>
      <b/>
      <i/>
      <sz val="12"/>
      <color rgb="FF00B050"/>
      <name val="Calibri"/>
      <family val="2"/>
    </font>
    <font>
      <b/>
      <i/>
      <sz val="12"/>
      <color rgb="FFF7AC08"/>
      <name val="Calibri"/>
      <family val="2"/>
    </font>
    <font>
      <b/>
      <sz val="11"/>
      <color rgb="FF000000"/>
      <name val="Aptos"/>
      <family val="2"/>
    </font>
    <font>
      <b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Hack"/>
      <family val="3"/>
    </font>
    <font>
      <sz val="8"/>
      <color theme="1"/>
      <name val="Aptos Narrow"/>
      <family val="2"/>
      <scheme val="minor"/>
    </font>
    <font>
      <sz val="8"/>
      <color theme="1"/>
      <name val="Courier New"/>
      <family val="3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A50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5"/>
      </patternFill>
    </fill>
    <fill>
      <patternFill patternType="solid">
        <fgColor rgb="FFFFC7CE"/>
      </patternFill>
    </fill>
  </fills>
  <borders count="10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theme="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thick">
        <color theme="4"/>
      </bottom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theme="8" tint="0.3999145481734672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theme="8" tint="0.39988402966399123"/>
      </left>
      <right style="double">
        <color theme="8" tint="0.39991454817346722"/>
      </right>
      <top style="double">
        <color theme="8" tint="0.39991454817346722"/>
      </top>
      <bottom/>
      <diagonal/>
    </border>
    <border>
      <left style="double">
        <color theme="8" tint="0.39988402966399123"/>
      </left>
      <right style="double">
        <color theme="8" tint="0.39991454817346722"/>
      </right>
      <top/>
      <bottom/>
      <diagonal/>
    </border>
    <border>
      <left style="double">
        <color theme="8" tint="0.39988402966399123"/>
      </left>
      <right style="double">
        <color theme="8" tint="0.39991454817346722"/>
      </right>
      <top/>
      <bottom style="double">
        <color theme="8" tint="0.39991454817346722"/>
      </bottom>
      <diagonal/>
    </border>
    <border>
      <left style="double">
        <color theme="8" tint="0.39991454817346722"/>
      </left>
      <right style="double">
        <color theme="8" tint="0.39991454817346722"/>
      </right>
      <top style="double">
        <color theme="8" tint="0.39994506668294322"/>
      </top>
      <bottom/>
      <diagonal/>
    </border>
    <border>
      <left style="double">
        <color theme="8" tint="0.39991454817346722"/>
      </left>
      <right style="double">
        <color theme="8" tint="0.39991454817346722"/>
      </right>
      <top/>
      <bottom/>
      <diagonal/>
    </border>
    <border>
      <left style="double">
        <color theme="8" tint="0.39991454817346722"/>
      </left>
      <right style="double">
        <color theme="8" tint="0.39991454817346722"/>
      </right>
      <top/>
      <bottom style="double">
        <color theme="8" tint="0.39991454817346722"/>
      </bottom>
      <diagonal/>
    </border>
    <border>
      <left style="double">
        <color theme="8" tint="0.39991454817346722"/>
      </left>
      <right style="double">
        <color theme="8" tint="0.39991454817346722"/>
      </right>
      <top style="double">
        <color theme="8" tint="0.39991454817346722"/>
      </top>
      <bottom/>
      <diagonal/>
    </border>
    <border>
      <left style="double">
        <color theme="8" tint="0.39991454817346722"/>
      </left>
      <right style="double">
        <color theme="8" tint="0.39991454817346722"/>
      </right>
      <top/>
      <bottom style="double">
        <color theme="8" tint="0.39994506668294322"/>
      </bottom>
      <diagonal/>
    </border>
    <border>
      <left style="double">
        <color theme="8" tint="0.39988402966399123"/>
      </left>
      <right style="double">
        <color theme="8" tint="0.39991454817346722"/>
      </right>
      <top/>
      <bottom style="double">
        <color theme="8" tint="0.39988402966399123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ck">
        <color theme="4"/>
      </right>
      <top/>
      <bottom/>
      <diagonal/>
    </border>
    <border>
      <left style="double">
        <color theme="8" tint="0.39991454817346722"/>
      </left>
      <right style="thick">
        <color theme="4"/>
      </right>
      <top/>
      <bottom/>
      <diagonal/>
    </border>
    <border>
      <left style="double">
        <color theme="8" tint="0.39991454817346722"/>
      </left>
      <right style="thick">
        <color theme="4"/>
      </right>
      <top/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indexed="64"/>
      </left>
      <right/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ck">
        <color theme="4"/>
      </left>
      <right/>
      <top style="thick">
        <color theme="0"/>
      </top>
      <bottom style="thin">
        <color theme="0"/>
      </bottom>
      <diagonal/>
    </border>
    <border>
      <left style="thick">
        <color theme="4"/>
      </left>
      <right/>
      <top style="thin">
        <color theme="0"/>
      </top>
      <bottom style="thin">
        <color theme="0"/>
      </bottom>
      <diagonal/>
    </border>
    <border>
      <left style="thick">
        <color theme="4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rgb="FF000000"/>
      </right>
      <top style="thin">
        <color theme="0"/>
      </top>
      <bottom style="medium">
        <color rgb="FF000000"/>
      </bottom>
      <diagonal/>
    </border>
    <border>
      <left style="medium">
        <color indexed="64"/>
      </left>
      <right style="thick">
        <color theme="4"/>
      </right>
      <top/>
      <bottom/>
      <diagonal/>
    </border>
    <border>
      <left/>
      <right/>
      <top style="thin">
        <color theme="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/>
      <diagonal/>
    </border>
    <border>
      <left style="thin">
        <color theme="0"/>
      </left>
      <right style="medium">
        <color rgb="FF000000"/>
      </right>
      <top style="thick">
        <color theme="0"/>
      </top>
      <bottom/>
      <diagonal/>
    </border>
    <border>
      <left style="thin">
        <color theme="0"/>
      </left>
      <right style="medium">
        <color rgb="FF000000"/>
      </right>
      <top style="thin">
        <color theme="0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 style="medium">
        <color rgb="FFFF0000"/>
      </diagonal>
    </border>
    <border>
      <left/>
      <right/>
      <top style="medium">
        <color rgb="FF000000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4">
    <xf numFmtId="0" fontId="0" fillId="0" borderId="0"/>
    <xf numFmtId="0" fontId="1" fillId="0" borderId="1" applyNumberFormat="0" applyFill="0" applyAlignment="0" applyProtection="0"/>
    <xf numFmtId="0" fontId="7" fillId="0" borderId="8" applyNumberFormat="0" applyFill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1" borderId="0" applyNumberFormat="0" applyBorder="0" applyAlignment="0" applyProtection="0"/>
  </cellStyleXfs>
  <cellXfs count="228">
    <xf numFmtId="0" fontId="0" fillId="0" borderId="0" xfId="0"/>
    <xf numFmtId="49" fontId="0" fillId="0" borderId="0" xfId="0" applyNumberFormat="1"/>
    <xf numFmtId="0" fontId="2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6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6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top"/>
    </xf>
    <xf numFmtId="0" fontId="12" fillId="2" borderId="2" xfId="3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top"/>
    </xf>
    <xf numFmtId="0" fontId="12" fillId="2" borderId="0" xfId="3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2" borderId="3" xfId="3" applyFont="1" applyBorder="1" applyAlignment="1">
      <alignment horizontal="center" vertical="top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top"/>
    </xf>
    <xf numFmtId="0" fontId="12" fillId="6" borderId="30" xfId="0" applyFont="1" applyFill="1" applyBorder="1" applyAlignment="1">
      <alignment horizontal="center" vertical="top"/>
    </xf>
    <xf numFmtId="0" fontId="10" fillId="8" borderId="31" xfId="0" applyFont="1" applyFill="1" applyBorder="1" applyAlignment="1">
      <alignment vertical="center" wrapText="1"/>
    </xf>
    <xf numFmtId="0" fontId="12" fillId="2" borderId="27" xfId="3" applyFont="1" applyBorder="1" applyAlignment="1">
      <alignment horizontal="center" vertical="top"/>
    </xf>
    <xf numFmtId="0" fontId="12" fillId="6" borderId="32" xfId="0" applyFont="1" applyFill="1" applyBorder="1" applyAlignment="1">
      <alignment horizontal="center" vertical="top"/>
    </xf>
    <xf numFmtId="0" fontId="12" fillId="6" borderId="33" xfId="0" applyFont="1" applyFill="1" applyBorder="1" applyAlignment="1">
      <alignment horizontal="center" vertical="top"/>
    </xf>
    <xf numFmtId="0" fontId="12" fillId="2" borderId="28" xfId="3" applyFont="1" applyBorder="1" applyAlignment="1">
      <alignment horizontal="center" vertical="top"/>
    </xf>
    <xf numFmtId="0" fontId="4" fillId="0" borderId="37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" fillId="0" borderId="12" xfId="1" applyBorder="1" applyAlignment="1">
      <alignment vertical="center"/>
    </xf>
    <xf numFmtId="49" fontId="1" fillId="0" borderId="12" xfId="1" applyNumberFormat="1" applyBorder="1"/>
    <xf numFmtId="0" fontId="1" fillId="0" borderId="6" xfId="1" applyBorder="1" applyAlignment="1">
      <alignment vertical="center"/>
    </xf>
    <xf numFmtId="0" fontId="2" fillId="0" borderId="28" xfId="0" applyFont="1" applyBorder="1" applyAlignment="1">
      <alignment vertical="center"/>
    </xf>
    <xf numFmtId="49" fontId="1" fillId="0" borderId="21" xfId="1" applyNumberFormat="1" applyBorder="1"/>
    <xf numFmtId="0" fontId="3" fillId="0" borderId="4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12" fillId="11" borderId="2" xfId="3" applyFont="1" applyFill="1" applyBorder="1" applyAlignment="1">
      <alignment horizontal="center" vertical="top"/>
    </xf>
    <xf numFmtId="0" fontId="12" fillId="11" borderId="0" xfId="3" applyFont="1" applyFill="1" applyBorder="1" applyAlignment="1">
      <alignment horizontal="center" vertical="top"/>
    </xf>
    <xf numFmtId="0" fontId="12" fillId="11" borderId="3" xfId="3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/>
    </xf>
    <xf numFmtId="0" fontId="18" fillId="0" borderId="34" xfId="0" applyFont="1" applyBorder="1" applyAlignment="1">
      <alignment vertical="center"/>
    </xf>
    <xf numFmtId="0" fontId="19" fillId="0" borderId="35" xfId="0" applyFont="1" applyBorder="1" applyAlignment="1">
      <alignment vertical="center"/>
    </xf>
    <xf numFmtId="0" fontId="20" fillId="0" borderId="35" xfId="0" applyFont="1" applyBorder="1" applyAlignment="1">
      <alignment vertical="center" wrapText="1"/>
    </xf>
    <xf numFmtId="0" fontId="22" fillId="0" borderId="36" xfId="0" applyFont="1" applyBorder="1" applyAlignment="1">
      <alignment wrapText="1"/>
    </xf>
    <xf numFmtId="0" fontId="2" fillId="0" borderId="35" xfId="0" applyFont="1" applyBorder="1" applyAlignment="1">
      <alignment vertical="center" wrapText="1"/>
    </xf>
    <xf numFmtId="0" fontId="2" fillId="0" borderId="36" xfId="0" applyFont="1" applyBorder="1" applyAlignment="1">
      <alignment wrapText="1"/>
    </xf>
    <xf numFmtId="0" fontId="27" fillId="0" borderId="36" xfId="0" applyFont="1" applyBorder="1" applyAlignment="1">
      <alignment vertical="center" wrapText="1"/>
    </xf>
    <xf numFmtId="0" fontId="22" fillId="0" borderId="35" xfId="0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vertical="center"/>
    </xf>
    <xf numFmtId="0" fontId="22" fillId="0" borderId="0" xfId="0" applyFont="1" applyAlignment="1">
      <alignment horizontal="left" vertical="center" indent="8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wrapText="1"/>
    </xf>
    <xf numFmtId="0" fontId="23" fillId="0" borderId="0" xfId="0" applyFont="1"/>
    <xf numFmtId="0" fontId="33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4" fillId="0" borderId="51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4" fillId="0" borderId="53" xfId="0" applyFont="1" applyBorder="1" applyAlignment="1">
      <alignment vertical="center" wrapText="1"/>
    </xf>
    <xf numFmtId="0" fontId="11" fillId="13" borderId="0" xfId="0" applyFont="1" applyFill="1" applyAlignment="1">
      <alignment horizontal="center" vertical="top"/>
    </xf>
    <xf numFmtId="0" fontId="0" fillId="0" borderId="0" xfId="0" applyAlignment="1">
      <alignment vertical="center" wrapText="1"/>
    </xf>
    <xf numFmtId="0" fontId="39" fillId="5" borderId="0" xfId="0" applyFont="1" applyFill="1" applyAlignment="1">
      <alignment horizontal="center" vertical="top"/>
    </xf>
    <xf numFmtId="0" fontId="39" fillId="14" borderId="65" xfId="0" applyFont="1" applyFill="1" applyBorder="1" applyAlignment="1">
      <alignment horizontal="center" vertical="top"/>
    </xf>
    <xf numFmtId="0" fontId="39" fillId="14" borderId="66" xfId="0" applyFont="1" applyFill="1" applyBorder="1" applyAlignment="1">
      <alignment horizontal="center" vertical="top"/>
    </xf>
    <xf numFmtId="0" fontId="12" fillId="6" borderId="67" xfId="0" applyFont="1" applyFill="1" applyBorder="1" applyAlignment="1">
      <alignment horizontal="center" vertical="top"/>
    </xf>
    <xf numFmtId="0" fontId="39" fillId="14" borderId="68" xfId="0" applyFont="1" applyFill="1" applyBorder="1" applyAlignment="1">
      <alignment horizontal="center" vertical="top"/>
    </xf>
    <xf numFmtId="0" fontId="12" fillId="6" borderId="63" xfId="0" applyFont="1" applyFill="1" applyBorder="1" applyAlignment="1">
      <alignment horizontal="center" vertical="top"/>
    </xf>
    <xf numFmtId="0" fontId="39" fillId="14" borderId="69" xfId="0" applyFont="1" applyFill="1" applyBorder="1" applyAlignment="1">
      <alignment horizontal="center" vertical="top"/>
    </xf>
    <xf numFmtId="0" fontId="12" fillId="6" borderId="64" xfId="0" applyFont="1" applyFill="1" applyBorder="1" applyAlignment="1">
      <alignment horizontal="center" vertical="top"/>
    </xf>
    <xf numFmtId="0" fontId="9" fillId="17" borderId="29" xfId="10" applyBorder="1" applyAlignment="1">
      <alignment horizontal="center" vertical="top"/>
    </xf>
    <xf numFmtId="0" fontId="9" fillId="18" borderId="29" xfId="11" applyBorder="1" applyAlignment="1">
      <alignment horizontal="center" vertical="top"/>
    </xf>
    <xf numFmtId="0" fontId="9" fillId="3" borderId="29" xfId="4" applyBorder="1" applyAlignment="1">
      <alignment horizontal="center" vertical="top"/>
    </xf>
    <xf numFmtId="0" fontId="9" fillId="4" borderId="29" xfId="5" applyBorder="1" applyAlignment="1">
      <alignment horizontal="center" vertical="top"/>
    </xf>
    <xf numFmtId="0" fontId="38" fillId="19" borderId="32" xfId="12" applyBorder="1" applyAlignment="1">
      <alignment horizontal="center" vertical="top"/>
    </xf>
    <xf numFmtId="0" fontId="38" fillId="19" borderId="29" xfId="12" applyBorder="1" applyAlignment="1">
      <alignment horizontal="center" vertical="top"/>
    </xf>
    <xf numFmtId="0" fontId="38" fillId="19" borderId="33" xfId="12" applyBorder="1" applyAlignment="1">
      <alignment horizontal="center" vertical="top"/>
    </xf>
    <xf numFmtId="0" fontId="9" fillId="15" borderId="29" xfId="8" applyBorder="1" applyAlignment="1">
      <alignment horizontal="center" vertical="top"/>
    </xf>
    <xf numFmtId="0" fontId="9" fillId="16" borderId="29" xfId="9" applyBorder="1" applyAlignment="1">
      <alignment horizontal="center" vertical="top"/>
    </xf>
    <xf numFmtId="0" fontId="9" fillId="17" borderId="30" xfId="10" applyBorder="1" applyAlignment="1">
      <alignment horizontal="center" vertical="top"/>
    </xf>
    <xf numFmtId="0" fontId="9" fillId="18" borderId="30" xfId="11" applyBorder="1" applyAlignment="1">
      <alignment horizontal="center" vertical="top"/>
    </xf>
    <xf numFmtId="0" fontId="9" fillId="3" borderId="30" xfId="4" applyBorder="1" applyAlignment="1">
      <alignment horizontal="center" vertical="top"/>
    </xf>
    <xf numFmtId="0" fontId="9" fillId="4" borderId="30" xfId="5" applyBorder="1" applyAlignment="1">
      <alignment horizontal="center" vertical="top"/>
    </xf>
    <xf numFmtId="0" fontId="9" fillId="16" borderId="72" xfId="9" applyBorder="1" applyAlignment="1">
      <alignment horizontal="center" vertical="top"/>
    </xf>
    <xf numFmtId="0" fontId="38" fillId="19" borderId="82" xfId="12" applyBorder="1" applyAlignment="1">
      <alignment horizontal="center" vertical="top"/>
    </xf>
    <xf numFmtId="0" fontId="9" fillId="3" borderId="82" xfId="4" applyBorder="1" applyAlignment="1">
      <alignment horizontal="center" vertical="top"/>
    </xf>
    <xf numFmtId="0" fontId="9" fillId="18" borderId="83" xfId="11" applyBorder="1" applyAlignment="1">
      <alignment horizontal="center" vertical="top"/>
    </xf>
    <xf numFmtId="0" fontId="9" fillId="4" borderId="84" xfId="5" applyBorder="1" applyAlignment="1">
      <alignment horizontal="center" vertical="top"/>
    </xf>
    <xf numFmtId="0" fontId="38" fillId="19" borderId="85" xfId="12" applyBorder="1" applyAlignment="1">
      <alignment horizontal="center" vertical="top"/>
    </xf>
    <xf numFmtId="0" fontId="9" fillId="15" borderId="86" xfId="8" applyBorder="1" applyAlignment="1">
      <alignment horizontal="center" vertical="top"/>
    </xf>
    <xf numFmtId="0" fontId="9" fillId="17" borderId="86" xfId="10" applyBorder="1" applyAlignment="1">
      <alignment horizontal="center" vertical="top"/>
    </xf>
    <xf numFmtId="0" fontId="12" fillId="0" borderId="88" xfId="0" applyFont="1" applyBorder="1" applyAlignment="1">
      <alignment horizontal="center" vertical="top"/>
    </xf>
    <xf numFmtId="0" fontId="38" fillId="19" borderId="87" xfId="12" applyBorder="1" applyAlignment="1">
      <alignment horizontal="center" vertical="top"/>
    </xf>
    <xf numFmtId="0" fontId="9" fillId="16" borderId="76" xfId="9" applyBorder="1" applyAlignment="1">
      <alignment horizontal="center" vertical="top"/>
    </xf>
    <xf numFmtId="0" fontId="9" fillId="18" borderId="77" xfId="11" applyBorder="1" applyAlignment="1">
      <alignment horizontal="center" vertical="top"/>
    </xf>
    <xf numFmtId="0" fontId="12" fillId="0" borderId="89" xfId="0" applyFont="1" applyBorder="1" applyAlignment="1">
      <alignment horizontal="center" vertical="top"/>
    </xf>
    <xf numFmtId="0" fontId="9" fillId="15" borderId="71" xfId="8" applyBorder="1" applyAlignment="1">
      <alignment horizontal="center" vertical="top"/>
    </xf>
    <xf numFmtId="0" fontId="38" fillId="19" borderId="71" xfId="12" applyBorder="1" applyAlignment="1">
      <alignment horizontal="center" vertical="top"/>
    </xf>
    <xf numFmtId="0" fontId="9" fillId="4" borderId="72" xfId="5" applyBorder="1" applyAlignment="1">
      <alignment horizontal="center" vertical="top"/>
    </xf>
    <xf numFmtId="0" fontId="12" fillId="0" borderId="90" xfId="0" applyFont="1" applyBorder="1" applyAlignment="1">
      <alignment horizontal="center" vertical="top"/>
    </xf>
    <xf numFmtId="0" fontId="9" fillId="17" borderId="73" xfId="10" applyBorder="1" applyAlignment="1">
      <alignment horizontal="center" vertical="top"/>
    </xf>
    <xf numFmtId="0" fontId="9" fillId="3" borderId="73" xfId="4" applyBorder="1" applyAlignment="1">
      <alignment horizontal="center" vertical="top"/>
    </xf>
    <xf numFmtId="0" fontId="38" fillId="19" borderId="84" xfId="12" applyBorder="1" applyAlignment="1">
      <alignment horizontal="center" vertical="top"/>
    </xf>
    <xf numFmtId="0" fontId="38" fillId="19" borderId="64" xfId="12" applyBorder="1" applyAlignment="1">
      <alignment horizontal="center" vertical="top"/>
    </xf>
    <xf numFmtId="0" fontId="0" fillId="16" borderId="76" xfId="9" applyFont="1" applyBorder="1" applyAlignment="1">
      <alignment horizontal="center" vertical="top"/>
    </xf>
    <xf numFmtId="0" fontId="0" fillId="18" borderId="77" xfId="11" applyFont="1" applyBorder="1" applyAlignment="1">
      <alignment horizontal="center" vertical="top"/>
    </xf>
    <xf numFmtId="0" fontId="0" fillId="15" borderId="71" xfId="8" applyFont="1" applyBorder="1" applyAlignment="1">
      <alignment horizontal="center" vertical="top"/>
    </xf>
    <xf numFmtId="0" fontId="0" fillId="4" borderId="72" xfId="5" applyFont="1" applyBorder="1" applyAlignment="1">
      <alignment horizontal="center" vertical="top"/>
    </xf>
    <xf numFmtId="0" fontId="0" fillId="17" borderId="74" xfId="10" applyFont="1" applyBorder="1" applyAlignment="1">
      <alignment horizontal="center" vertical="top"/>
    </xf>
    <xf numFmtId="0" fontId="0" fillId="3" borderId="74" xfId="4" applyFont="1" applyBorder="1" applyAlignment="1">
      <alignment horizontal="center" vertical="top"/>
    </xf>
    <xf numFmtId="0" fontId="38" fillId="19" borderId="75" xfId="12" applyBorder="1" applyAlignment="1">
      <alignment horizontal="center" vertical="top"/>
    </xf>
    <xf numFmtId="0" fontId="37" fillId="0" borderId="0" xfId="0" applyFont="1"/>
    <xf numFmtId="0" fontId="12" fillId="0" borderId="0" xfId="0" applyFont="1" applyAlignment="1">
      <alignment vertical="top"/>
    </xf>
    <xf numFmtId="0" fontId="12" fillId="0" borderId="2" xfId="0" applyFont="1" applyBorder="1"/>
    <xf numFmtId="0" fontId="12" fillId="0" borderId="3" xfId="0" applyFont="1" applyBorder="1"/>
    <xf numFmtId="0" fontId="0" fillId="0" borderId="0" xfId="0" applyAlignment="1">
      <alignment vertical="center"/>
    </xf>
    <xf numFmtId="0" fontId="0" fillId="0" borderId="27" xfId="0" applyBorder="1" applyAlignment="1">
      <alignment vertical="center" wrapText="1"/>
    </xf>
    <xf numFmtId="0" fontId="11" fillId="13" borderId="63" xfId="0" applyFont="1" applyFill="1" applyBorder="1" applyAlignment="1">
      <alignment horizontal="center" vertical="top"/>
    </xf>
    <xf numFmtId="0" fontId="39" fillId="14" borderId="93" xfId="0" applyFont="1" applyFill="1" applyBorder="1" applyAlignment="1">
      <alignment horizontal="center" vertical="top"/>
    </xf>
    <xf numFmtId="0" fontId="12" fillId="6" borderId="75" xfId="0" applyFont="1" applyFill="1" applyBorder="1" applyAlignment="1">
      <alignment horizontal="center" vertical="top"/>
    </xf>
    <xf numFmtId="0" fontId="39" fillId="14" borderId="94" xfId="0" applyFont="1" applyFill="1" applyBorder="1" applyAlignment="1">
      <alignment horizontal="center" vertical="top"/>
    </xf>
    <xf numFmtId="0" fontId="12" fillId="6" borderId="95" xfId="0" applyFont="1" applyFill="1" applyBorder="1" applyAlignment="1">
      <alignment horizontal="center" vertical="top"/>
    </xf>
    <xf numFmtId="0" fontId="12" fillId="6" borderId="96" xfId="0" applyFont="1" applyFill="1" applyBorder="1" applyAlignment="1">
      <alignment horizontal="center" vertical="top"/>
    </xf>
    <xf numFmtId="0" fontId="12" fillId="6" borderId="91" xfId="0" applyFont="1" applyFill="1" applyBorder="1" applyAlignment="1">
      <alignment horizontal="center" vertical="top"/>
    </xf>
    <xf numFmtId="0" fontId="11" fillId="13" borderId="67" xfId="0" applyFont="1" applyFill="1" applyBorder="1" applyAlignment="1">
      <alignment horizontal="center" vertical="top"/>
    </xf>
    <xf numFmtId="0" fontId="11" fillId="6" borderId="63" xfId="0" applyFont="1" applyFill="1" applyBorder="1" applyAlignment="1">
      <alignment horizontal="center" vertical="top"/>
    </xf>
    <xf numFmtId="0" fontId="11" fillId="6" borderId="67" xfId="0" applyFont="1" applyFill="1" applyBorder="1" applyAlignment="1">
      <alignment horizontal="center" vertical="top"/>
    </xf>
    <xf numFmtId="0" fontId="11" fillId="13" borderId="75" xfId="0" applyFont="1" applyFill="1" applyBorder="1" applyAlignment="1">
      <alignment horizontal="center" vertical="top"/>
    </xf>
    <xf numFmtId="0" fontId="12" fillId="0" borderId="27" xfId="0" applyFont="1" applyBorder="1"/>
    <xf numFmtId="0" fontId="11" fillId="20" borderId="67" xfId="0" applyFont="1" applyFill="1" applyBorder="1" applyAlignment="1">
      <alignment horizontal="center" vertical="top"/>
    </xf>
    <xf numFmtId="0" fontId="12" fillId="0" borderId="2" xfId="0" applyFont="1" applyBorder="1" applyAlignment="1">
      <alignment vertical="top"/>
    </xf>
    <xf numFmtId="0" fontId="0" fillId="0" borderId="7" xfId="0" applyBorder="1" applyAlignment="1">
      <alignment vertical="center" wrapText="1"/>
    </xf>
    <xf numFmtId="0" fontId="11" fillId="6" borderId="75" xfId="0" applyFont="1" applyFill="1" applyBorder="1" applyAlignment="1">
      <alignment horizontal="center" vertical="top"/>
    </xf>
    <xf numFmtId="0" fontId="11" fillId="0" borderId="27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8" borderId="31" xfId="0" applyFont="1" applyFill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right" vertical="center"/>
    </xf>
    <xf numFmtId="0" fontId="38" fillId="0" borderId="0" xfId="0" applyFont="1"/>
    <xf numFmtId="0" fontId="38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8" fillId="0" borderId="50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3" fillId="0" borderId="97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0" xfId="0" applyFont="1"/>
    <xf numFmtId="0" fontId="38" fillId="21" borderId="63" xfId="13" applyBorder="1" applyAlignment="1">
      <alignment horizontal="center" vertical="top"/>
    </xf>
    <xf numFmtId="0" fontId="45" fillId="21" borderId="67" xfId="13" applyFont="1" applyBorder="1" applyAlignment="1">
      <alignment horizontal="center" vertical="top"/>
    </xf>
    <xf numFmtId="0" fontId="0" fillId="0" borderId="0" xfId="0" quotePrefix="1"/>
    <xf numFmtId="0" fontId="45" fillId="21" borderId="75" xfId="13" applyFont="1" applyBorder="1" applyAlignment="1">
      <alignment horizontal="center" vertical="top"/>
    </xf>
    <xf numFmtId="0" fontId="48" fillId="6" borderId="98" xfId="0" applyFont="1" applyFill="1" applyBorder="1" applyAlignment="1">
      <alignment horizontal="center" vertical="top"/>
    </xf>
    <xf numFmtId="0" fontId="48" fillId="13" borderId="67" xfId="0" applyFont="1" applyFill="1" applyBorder="1" applyAlignment="1">
      <alignment horizontal="center" vertical="top"/>
    </xf>
    <xf numFmtId="0" fontId="12" fillId="0" borderId="99" xfId="0" applyFont="1" applyBorder="1"/>
    <xf numFmtId="0" fontId="0" fillId="0" borderId="100" xfId="0" applyBorder="1" applyAlignment="1">
      <alignment horizontal="center" vertical="center" wrapText="1"/>
    </xf>
    <xf numFmtId="0" fontId="0" fillId="0" borderId="101" xfId="0" applyBorder="1" applyAlignment="1">
      <alignment horizontal="center" vertical="center" wrapText="1"/>
    </xf>
    <xf numFmtId="0" fontId="0" fillId="0" borderId="102" xfId="0" applyBorder="1" applyAlignment="1">
      <alignment horizontal="center" vertical="center" wrapText="1"/>
    </xf>
    <xf numFmtId="0" fontId="16" fillId="12" borderId="2" xfId="4" applyFont="1" applyFill="1" applyBorder="1" applyAlignment="1">
      <alignment horizontal="right" vertical="center" textRotation="90"/>
    </xf>
    <xf numFmtId="0" fontId="16" fillId="12" borderId="0" xfId="4" applyFont="1" applyFill="1" applyBorder="1" applyAlignment="1">
      <alignment horizontal="right" vertical="center" textRotation="90"/>
    </xf>
    <xf numFmtId="0" fontId="16" fillId="12" borderId="3" xfId="4" applyFont="1" applyFill="1" applyBorder="1" applyAlignment="1">
      <alignment horizontal="right" vertical="center" textRotation="90"/>
    </xf>
    <xf numFmtId="0" fontId="10" fillId="10" borderId="13" xfId="7" applyFont="1" applyBorder="1" applyAlignment="1">
      <alignment horizontal="center" vertical="top"/>
    </xf>
    <xf numFmtId="0" fontId="9" fillId="9" borderId="24" xfId="6" applyBorder="1" applyAlignment="1">
      <alignment horizontal="center" vertical="center"/>
    </xf>
    <xf numFmtId="0" fontId="9" fillId="9" borderId="25" xfId="6" applyBorder="1" applyAlignment="1">
      <alignment horizontal="center" vertical="center"/>
    </xf>
    <xf numFmtId="0" fontId="13" fillId="7" borderId="2" xfId="4" applyFont="1" applyFill="1" applyBorder="1" applyAlignment="1">
      <alignment horizontal="right" vertical="center" textRotation="90"/>
    </xf>
    <xf numFmtId="0" fontId="13" fillId="7" borderId="0" xfId="4" applyFont="1" applyFill="1" applyBorder="1" applyAlignment="1">
      <alignment horizontal="right" vertical="center" textRotation="90"/>
    </xf>
    <xf numFmtId="0" fontId="13" fillId="7" borderId="3" xfId="4" applyFont="1" applyFill="1" applyBorder="1" applyAlignment="1">
      <alignment horizontal="right" vertical="center" textRotation="90"/>
    </xf>
    <xf numFmtId="0" fontId="10" fillId="8" borderId="54" xfId="0" applyFont="1" applyFill="1" applyBorder="1" applyAlignment="1">
      <alignment horizontal="center" vertical="center" wrapText="1"/>
    </xf>
    <xf numFmtId="0" fontId="10" fillId="8" borderId="55" xfId="0" applyFont="1" applyFill="1" applyBorder="1" applyAlignment="1">
      <alignment horizontal="center" vertical="center" wrapText="1"/>
    </xf>
    <xf numFmtId="0" fontId="10" fillId="8" borderId="56" xfId="0" applyFont="1" applyFill="1" applyBorder="1" applyAlignment="1">
      <alignment horizontal="center" vertical="center" wrapText="1"/>
    </xf>
    <xf numFmtId="0" fontId="10" fillId="8" borderId="57" xfId="0" applyFont="1" applyFill="1" applyBorder="1" applyAlignment="1">
      <alignment horizontal="center" vertical="center" wrapText="1"/>
    </xf>
    <xf numFmtId="0" fontId="10" fillId="8" borderId="58" xfId="0" applyFont="1" applyFill="1" applyBorder="1" applyAlignment="1">
      <alignment horizontal="center" vertical="center" wrapText="1"/>
    </xf>
    <xf numFmtId="0" fontId="10" fillId="8" borderId="59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7" borderId="4" xfId="4" applyFont="1" applyFill="1" applyBorder="1" applyAlignment="1">
      <alignment horizontal="right" vertical="center" textRotation="90"/>
    </xf>
    <xf numFmtId="0" fontId="13" fillId="7" borderId="70" xfId="4" applyFont="1" applyFill="1" applyBorder="1" applyAlignment="1">
      <alignment horizontal="right" vertical="center" textRotation="90"/>
    </xf>
    <xf numFmtId="0" fontId="13" fillId="7" borderId="6" xfId="4" applyFont="1" applyFill="1" applyBorder="1" applyAlignment="1">
      <alignment horizontal="right" vertical="center" textRotation="90"/>
    </xf>
    <xf numFmtId="0" fontId="10" fillId="8" borderId="60" xfId="0" applyFont="1" applyFill="1" applyBorder="1" applyAlignment="1">
      <alignment horizontal="center" vertical="center" wrapText="1"/>
    </xf>
    <xf numFmtId="0" fontId="16" fillId="12" borderId="5" xfId="4" applyFont="1" applyFill="1" applyBorder="1" applyAlignment="1">
      <alignment horizontal="right" vertical="center" textRotation="90"/>
    </xf>
    <xf numFmtId="0" fontId="16" fillId="12" borderId="7" xfId="4" applyFont="1" applyFill="1" applyBorder="1" applyAlignment="1">
      <alignment horizontal="right" vertical="center" textRotation="90"/>
    </xf>
    <xf numFmtId="0" fontId="16" fillId="12" borderId="21" xfId="4" applyFont="1" applyFill="1" applyBorder="1" applyAlignment="1">
      <alignment horizontal="right" vertical="center" textRotation="90"/>
    </xf>
    <xf numFmtId="0" fontId="10" fillId="8" borderId="62" xfId="0" applyFont="1" applyFill="1" applyBorder="1" applyAlignment="1">
      <alignment horizontal="center" vertical="center" wrapText="1"/>
    </xf>
    <xf numFmtId="0" fontId="13" fillId="7" borderId="5" xfId="4" applyFont="1" applyFill="1" applyBorder="1" applyAlignment="1">
      <alignment horizontal="right" vertical="center" textRotation="90"/>
    </xf>
    <xf numFmtId="0" fontId="13" fillId="7" borderId="7" xfId="4" applyFont="1" applyFill="1" applyBorder="1" applyAlignment="1">
      <alignment horizontal="right" vertical="center" textRotation="90"/>
    </xf>
    <xf numFmtId="0" fontId="13" fillId="7" borderId="21" xfId="4" applyFont="1" applyFill="1" applyBorder="1" applyAlignment="1">
      <alignment horizontal="right" vertical="center" textRotation="90"/>
    </xf>
    <xf numFmtId="0" fontId="9" fillId="9" borderId="92" xfId="6" applyBorder="1" applyAlignment="1">
      <alignment horizontal="center" vertical="center"/>
    </xf>
    <xf numFmtId="0" fontId="10" fillId="8" borderId="61" xfId="0" applyFont="1" applyFill="1" applyBorder="1" applyAlignment="1">
      <alignment horizontal="center" vertical="center" wrapText="1"/>
    </xf>
    <xf numFmtId="0" fontId="7" fillId="22" borderId="8" xfId="2" applyFill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2" fillId="4" borderId="13" xfId="5" applyFont="1" applyBorder="1" applyAlignment="1">
      <alignment horizontal="center" vertical="top"/>
    </xf>
    <xf numFmtId="0" fontId="12" fillId="4" borderId="79" xfId="5" applyFont="1" applyBorder="1" applyAlignment="1">
      <alignment horizontal="right" vertical="center"/>
    </xf>
    <xf numFmtId="0" fontId="12" fillId="4" borderId="80" xfId="5" applyFont="1" applyBorder="1" applyAlignment="1">
      <alignment horizontal="right" vertical="center"/>
    </xf>
    <xf numFmtId="0" fontId="12" fillId="4" borderId="78" xfId="5" applyFont="1" applyBorder="1" applyAlignment="1">
      <alignment horizontal="right" vertical="center"/>
    </xf>
    <xf numFmtId="0" fontId="12" fillId="4" borderId="22" xfId="5" applyFont="1" applyBorder="1" applyAlignment="1">
      <alignment horizontal="right" vertical="center"/>
    </xf>
    <xf numFmtId="0" fontId="12" fillId="4" borderId="78" xfId="5" applyFont="1" applyBorder="1" applyAlignment="1">
      <alignment horizontal="center" vertical="top"/>
    </xf>
    <xf numFmtId="0" fontId="12" fillId="4" borderId="22" xfId="5" applyFont="1" applyBorder="1" applyAlignment="1">
      <alignment horizontal="center" vertical="top"/>
    </xf>
    <xf numFmtId="0" fontId="5" fillId="0" borderId="81" xfId="0" applyFont="1" applyBorder="1" applyAlignment="1">
      <alignment horizontal="center" vertical="center" wrapText="1"/>
    </xf>
    <xf numFmtId="0" fontId="18" fillId="0" borderId="81" xfId="0" applyFont="1" applyBorder="1" applyAlignment="1">
      <alignment horizontal="center" vertical="center" wrapText="1"/>
    </xf>
    <xf numFmtId="0" fontId="12" fillId="4" borderId="8" xfId="5" applyFont="1" applyBorder="1" applyAlignment="1">
      <alignment horizontal="center" vertical="top"/>
    </xf>
    <xf numFmtId="0" fontId="7" fillId="0" borderId="8" xfId="2" applyAlignment="1">
      <alignment horizontal="center"/>
    </xf>
    <xf numFmtId="49" fontId="7" fillId="0" borderId="5" xfId="2" applyNumberFormat="1" applyBorder="1" applyAlignment="1">
      <alignment horizontal="center"/>
    </xf>
    <xf numFmtId="49" fontId="7" fillId="0" borderId="2" xfId="2" applyNumberFormat="1" applyBorder="1" applyAlignment="1">
      <alignment horizontal="center"/>
    </xf>
    <xf numFmtId="49" fontId="7" fillId="0" borderId="4" xfId="2" applyNumberFormat="1" applyBorder="1" applyAlignment="1">
      <alignment horizontal="center"/>
    </xf>
    <xf numFmtId="0" fontId="2" fillId="0" borderId="49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2" fillId="6" borderId="65" xfId="0" applyFont="1" applyFill="1" applyBorder="1" applyAlignment="1">
      <alignment horizontal="center" vertical="top"/>
    </xf>
    <xf numFmtId="0" fontId="11" fillId="20" borderId="103" xfId="0" applyFont="1" applyFill="1" applyBorder="1" applyAlignment="1">
      <alignment horizontal="center" vertical="top"/>
    </xf>
    <xf numFmtId="0" fontId="12" fillId="6" borderId="93" xfId="0" applyFont="1" applyFill="1" applyBorder="1" applyAlignment="1">
      <alignment horizontal="center" vertical="top"/>
    </xf>
    <xf numFmtId="0" fontId="11" fillId="13" borderId="103" xfId="0" applyFont="1" applyFill="1" applyBorder="1" applyAlignment="1">
      <alignment horizontal="center" vertical="top"/>
    </xf>
  </cellXfs>
  <cellStyles count="14">
    <cellStyle name="20% - Accent1" xfId="8" builtinId="30"/>
    <cellStyle name="20% - Accent2" xfId="10" builtinId="34"/>
    <cellStyle name="20% - Accent5" xfId="4" builtinId="46"/>
    <cellStyle name="40% - Accent4" xfId="3" builtinId="43"/>
    <cellStyle name="60% - Accent1" xfId="9" builtinId="32"/>
    <cellStyle name="60% - Accent2" xfId="11" builtinId="36"/>
    <cellStyle name="60% - Accent4" xfId="6" builtinId="44"/>
    <cellStyle name="60% - Accent5" xfId="5" builtinId="48"/>
    <cellStyle name="60% - Accent6" xfId="7" builtinId="52"/>
    <cellStyle name="Accent2" xfId="13" builtinId="33"/>
    <cellStyle name="Accent3" xfId="12" builtinId="37"/>
    <cellStyle name="Heading 1" xfId="2" builtinId="16"/>
    <cellStyle name="Heading 3" xfId="1" builtinId="18"/>
    <cellStyle name="Normal" xfId="0" builtinId="0"/>
  </cellStyles>
  <dxfs count="595"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  <color rgb="FF000000"/>
        <name val="Courier New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sz val="14"/>
        <color rgb="FF000000"/>
        <name val="Courier New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urier New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30" formatCode="@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z val="14"/>
        <color rgb="FF000000"/>
        <name val="Courier New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sz val="14"/>
        <color rgb="FF000000"/>
        <name val="Courier New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urier New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thick">
          <color theme="4"/>
        </top>
      </border>
    </dxf>
    <dxf>
      <border>
        <bottom style="medium">
          <color indexed="64"/>
        </bottom>
      </border>
    </dxf>
    <dxf>
      <numFmt numFmtId="30" formatCode="@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top style="thin">
          <color theme="0"/>
        </top>
        <bottom style="thin">
          <color theme="0"/>
        </bottom>
        <horizontal style="thin">
          <color theme="0"/>
        </horizontal>
      </border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alignment horizontal="center" vertical="top" textRotation="0" wrapText="0" indent="0" justifyLastLine="0" shrinkToFit="0" readingOrder="0"/>
      <border diagonalUp="0" diagonalDown="0"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right style="medium">
          <color rgb="FF000000"/>
        </right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00B050"/>
      <color rgb="FF00B0F0"/>
      <color rgb="FF66FF66"/>
      <color rgb="FFCCCC00"/>
      <color rgb="FFFF9900"/>
      <color rgb="FFD0AC95"/>
      <color rgb="FFA7FBFF"/>
      <color rgb="FFFFF2B9"/>
      <color rgb="FFCCFF99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11C2CE7-F243-4F6E-9D3B-6A7F5BC585D0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CA"/>
        </a:p>
      </dgm:t>
    </dgm:pt>
    <dgm:pt modelId="{4BEC090C-1E15-4161-8659-B6B7DA165CC0}">
      <dgm:prSet phldrT="[Text]" custT="1"/>
      <dgm:spPr/>
      <dgm:t>
        <a:bodyPr/>
        <a:lstStyle/>
        <a:p>
          <a:r>
            <a:rPr lang="en-US" sz="1400" dirty="0"/>
            <a:t>Do the interiors of </a:t>
          </a:r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and </a:t>
          </a:r>
          <a:r>
            <a:rPr lang="en-US" sz="1400" b="1" dirty="0">
              <a:solidFill>
                <a:srgbClr val="00B050"/>
              </a:solidFill>
            </a:rPr>
            <a:t>B </a:t>
          </a:r>
          <a:r>
            <a:rPr lang="en-US" sz="1400" dirty="0"/>
            <a:t>overlap?</a:t>
          </a:r>
        </a:p>
      </dgm:t>
    </dgm:pt>
    <dgm:pt modelId="{9EBE5B1D-83DE-4957-9892-FCDD2C4704CB}" type="parTrans" cxnId="{A4A7B68E-EDF0-4161-892F-3B1BFEB361AB}">
      <dgm:prSet/>
      <dgm:spPr/>
      <dgm:t>
        <a:bodyPr/>
        <a:lstStyle/>
        <a:p>
          <a:endParaRPr lang="en-CA"/>
        </a:p>
      </dgm:t>
    </dgm:pt>
    <dgm:pt modelId="{4CD070C9-978B-49EA-8790-2550A7262776}" type="sibTrans" cxnId="{A4A7B68E-EDF0-4161-892F-3B1BFEB361AB}">
      <dgm:prSet/>
      <dgm:spPr/>
      <dgm:t>
        <a:bodyPr/>
        <a:lstStyle/>
        <a:p>
          <a:endParaRPr lang="en-CA"/>
        </a:p>
      </dgm:t>
    </dgm:pt>
    <dgm:pt modelId="{7A3D1130-4F69-4E59-9ACC-5B640EBD6EFF}">
      <dgm:prSet phldrT="[Text]" custT="1"/>
      <dgm:spPr/>
      <dgm:t>
        <a:bodyPr/>
        <a:lstStyle/>
        <a:p>
          <a:r>
            <a:rPr lang="en-CA" sz="1400" dirty="0"/>
            <a:t>Does the external boundary </a:t>
          </a:r>
          <a:r>
            <a:rPr lang="en-US" sz="1400" dirty="0"/>
            <a:t>of </a:t>
          </a:r>
          <a:r>
            <a:rPr lang="en-US" sz="1400" b="1" dirty="0">
              <a:solidFill>
                <a:srgbClr val="00B0F0"/>
              </a:solidFill>
            </a:rPr>
            <a:t>A </a:t>
          </a:r>
          <a:r>
            <a:rPr lang="en-US" sz="1400" dirty="0"/>
            <a:t>encompass all of </a:t>
          </a:r>
          <a:r>
            <a:rPr lang="en-US" sz="1400" b="1" dirty="0">
              <a:solidFill>
                <a:srgbClr val="00B050"/>
              </a:solidFill>
            </a:rPr>
            <a:t>B</a:t>
          </a:r>
          <a:r>
            <a:rPr lang="en-US" sz="1400" dirty="0"/>
            <a:t>?</a:t>
          </a:r>
          <a:endParaRPr lang="en-CA" sz="1400" b="1" dirty="0">
            <a:solidFill>
              <a:srgbClr val="00B050"/>
            </a:solidFill>
          </a:endParaRPr>
        </a:p>
      </dgm:t>
    </dgm:pt>
    <dgm:pt modelId="{B41AB307-A081-4264-9130-95C84CE88154}" type="parTrans" cxnId="{DAD22DFD-05CA-4330-AD42-A5F28487B037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0070C0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C78EE015-1D63-4783-95F7-35114C4686DE}" type="sibTrans" cxnId="{DAD22DFD-05CA-4330-AD42-A5F28487B037}">
      <dgm:prSet/>
      <dgm:spPr/>
      <dgm:t>
        <a:bodyPr/>
        <a:lstStyle/>
        <a:p>
          <a:endParaRPr lang="en-CA"/>
        </a:p>
      </dgm:t>
    </dgm:pt>
    <dgm:pt modelId="{181C735C-A399-4DA3-8589-B01A149985B6}">
      <dgm:prSet phldrT="[Text]"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</a:t>
          </a:r>
          <a:r>
            <a:rPr lang="en-CA" sz="1400" i="1" dirty="0"/>
            <a:t>Borders</a:t>
          </a:r>
          <a:r>
            <a:rPr lang="en-CA" sz="1400" dirty="0"/>
            <a:t> </a:t>
          </a:r>
          <a:r>
            <a:rPr lang="en-US" sz="1400" b="1" dirty="0">
              <a:solidFill>
                <a:srgbClr val="00B050"/>
              </a:solidFill>
            </a:rPr>
            <a:t>B</a:t>
          </a:r>
          <a:endParaRPr lang="en-CA" sz="1400" dirty="0"/>
        </a:p>
      </dgm:t>
    </dgm:pt>
    <dgm:pt modelId="{4FC62AB9-317C-4A1C-A0AD-C10D573B4C49}" type="parTrans" cxnId="{63AC4D0A-094A-4AF0-B717-D2FACE4B4133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chemeClr val="accent2">
              <a:lumMod val="75000"/>
            </a:schemeClr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740954D0-DF39-40E1-8E68-C687849C8332}" type="sibTrans" cxnId="{63AC4D0A-094A-4AF0-B717-D2FACE4B4133}">
      <dgm:prSet/>
      <dgm:spPr/>
      <dgm:t>
        <a:bodyPr/>
        <a:lstStyle/>
        <a:p>
          <a:endParaRPr lang="en-CA"/>
        </a:p>
      </dgm:t>
    </dgm:pt>
    <dgm:pt modelId="{77B43507-91C0-4172-8210-B7BD86829BA3}">
      <dgm:prSet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pPr algn="ctr"/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</a:t>
          </a:r>
          <a:r>
            <a:rPr lang="en-CA" sz="1400" i="1" dirty="0"/>
            <a:t>Confines</a:t>
          </a:r>
          <a:r>
            <a:rPr lang="en-CA" sz="1400" dirty="0"/>
            <a:t> </a:t>
          </a:r>
          <a:r>
            <a:rPr lang="en-US" sz="1400" b="1" dirty="0">
              <a:solidFill>
                <a:srgbClr val="00B050"/>
              </a:solidFill>
            </a:rPr>
            <a:t>B</a:t>
          </a:r>
          <a:endParaRPr lang="en-CA" sz="1400" dirty="0"/>
        </a:p>
      </dgm:t>
    </dgm:pt>
    <dgm:pt modelId="{9218275F-2715-4861-997B-85A1D6142A13}" type="parTrans" cxnId="{0DB1C2D4-9F8A-4B19-A561-75DC1DB24803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0070C0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6484DD91-D42F-4795-8862-4CB2FCD693DD}" type="sibTrans" cxnId="{0DB1C2D4-9F8A-4B19-A561-75DC1DB24803}">
      <dgm:prSet/>
      <dgm:spPr/>
      <dgm:t>
        <a:bodyPr/>
        <a:lstStyle/>
        <a:p>
          <a:endParaRPr lang="en-CA"/>
        </a:p>
      </dgm:t>
    </dgm:pt>
    <dgm:pt modelId="{A41D72E9-2C78-48B5-BD7D-C1381877FD7E}">
      <dgm:prSet phldrT="[Text]" custT="1"/>
      <dgm:spPr/>
      <dgm:t>
        <a:bodyPr/>
        <a:lstStyle/>
        <a:p>
          <a:r>
            <a:rPr lang="en-US" sz="1400" dirty="0"/>
            <a:t>Does the interior of </a:t>
          </a:r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include the exterior of </a:t>
          </a:r>
          <a:r>
            <a:rPr lang="en-US" sz="1400" b="1" dirty="0">
              <a:solidFill>
                <a:srgbClr val="00B050"/>
              </a:solidFill>
            </a:rPr>
            <a:t>B</a:t>
          </a:r>
          <a:r>
            <a:rPr lang="en-US" sz="1400" dirty="0"/>
            <a:t>? </a:t>
          </a:r>
          <a:endParaRPr lang="en-CA" sz="1400" dirty="0"/>
        </a:p>
      </dgm:t>
    </dgm:pt>
    <dgm:pt modelId="{B63F0C89-71A1-4B60-AC8C-F6015144AA95}" type="parTrans" cxnId="{F20C56DD-E9DC-402D-8202-C206451C87F5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0070C0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8638F548-EBED-4FFB-AA80-92500E2E3FBC}" type="sibTrans" cxnId="{F20C56DD-E9DC-402D-8202-C206451C87F5}">
      <dgm:prSet/>
      <dgm:spPr/>
      <dgm:t>
        <a:bodyPr/>
        <a:lstStyle/>
        <a:p>
          <a:endParaRPr lang="en-CA"/>
        </a:p>
      </dgm:t>
    </dgm:pt>
    <dgm:pt modelId="{A0B9EC76-736B-41EF-A0BF-FF6D2F0BB0BB}">
      <dgm:prSet phldrT="[Text]"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</a:t>
          </a:r>
          <a:r>
            <a:rPr lang="en-CA" sz="1400" i="1" dirty="0"/>
            <a:t>Contains</a:t>
          </a:r>
          <a:r>
            <a:rPr lang="en-CA" sz="1400" dirty="0"/>
            <a:t> </a:t>
          </a:r>
          <a:r>
            <a:rPr lang="en-US" sz="1400" b="1" dirty="0">
              <a:solidFill>
                <a:srgbClr val="00B050"/>
              </a:solidFill>
            </a:rPr>
            <a:t>B</a:t>
          </a:r>
          <a:endParaRPr lang="en-CA" sz="1400" dirty="0"/>
        </a:p>
      </dgm:t>
    </dgm:pt>
    <dgm:pt modelId="{28C379F9-AA32-41ED-A99B-1AC6034AA385}" type="parTrans" cxnId="{DC6F0C33-B0F8-4530-B3C0-A9A4D420E2EC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chemeClr val="accent2">
              <a:lumMod val="75000"/>
            </a:schemeClr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4D5E0712-8273-4EDC-9A28-41B51FF32779}" type="sibTrans" cxnId="{DC6F0C33-B0F8-4530-B3C0-A9A4D420E2EC}">
      <dgm:prSet/>
      <dgm:spPr/>
      <dgm:t>
        <a:bodyPr/>
        <a:lstStyle/>
        <a:p>
          <a:endParaRPr lang="en-CA"/>
        </a:p>
      </dgm:t>
    </dgm:pt>
    <dgm:pt modelId="{0B8F6A2C-499F-4D42-90C6-D5D0C08F7746}">
      <dgm:prSet phldrT="[Text]" custT="1"/>
      <dgm:spPr/>
      <dgm:t>
        <a:bodyPr/>
        <a:lstStyle/>
        <a:p>
          <a:r>
            <a:rPr lang="en-US" sz="1400" dirty="0"/>
            <a:t>Does the exterior of </a:t>
          </a:r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overlap with the interior of </a:t>
          </a:r>
          <a:r>
            <a:rPr lang="en-US" sz="1400" b="1" dirty="0">
              <a:solidFill>
                <a:srgbClr val="00B050"/>
              </a:solidFill>
            </a:rPr>
            <a:t>B</a:t>
          </a:r>
          <a:r>
            <a:rPr lang="en-US" sz="1400" dirty="0"/>
            <a:t>?  </a:t>
          </a:r>
          <a:endParaRPr lang="en-CA" sz="1400" dirty="0"/>
        </a:p>
      </dgm:t>
    </dgm:pt>
    <dgm:pt modelId="{BD5CB513-6A87-438F-94A4-8C766EF0E3BF}" type="parTrans" cxnId="{DB0AA486-48C6-4042-B575-CE74B616BFCB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0070C0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968430DC-312F-4F74-9ADC-3A1E3A089BF2}" type="sibTrans" cxnId="{DB0AA486-48C6-4042-B575-CE74B616BFCB}">
      <dgm:prSet/>
      <dgm:spPr/>
      <dgm:t>
        <a:bodyPr/>
        <a:lstStyle/>
        <a:p>
          <a:endParaRPr lang="en-CA"/>
        </a:p>
      </dgm:t>
    </dgm:pt>
    <dgm:pt modelId="{4102858B-66E2-4F4D-8103-BC8FCF77C011}">
      <dgm:prSet phldrT="[Text]" custT="1"/>
      <dgm:spPr/>
      <dgm:t>
        <a:bodyPr/>
        <a:lstStyle/>
        <a:p>
          <a:r>
            <a:rPr lang="en-CA" sz="1400" dirty="0"/>
            <a:t>Does the external boundary </a:t>
          </a:r>
          <a:r>
            <a:rPr lang="en-US" sz="1400" dirty="0"/>
            <a:t>of </a:t>
          </a:r>
          <a:r>
            <a:rPr lang="en-US" sz="1400" b="1" dirty="0">
              <a:solidFill>
                <a:srgbClr val="00B0F0"/>
              </a:solidFill>
            </a:rPr>
            <a:t>A </a:t>
          </a:r>
          <a:r>
            <a:rPr lang="en-US" sz="1400" dirty="0"/>
            <a:t>encompass all of </a:t>
          </a:r>
          <a:r>
            <a:rPr lang="en-US" sz="1400" b="1" dirty="0">
              <a:solidFill>
                <a:srgbClr val="00B050"/>
              </a:solidFill>
            </a:rPr>
            <a:t>B</a:t>
          </a:r>
          <a:r>
            <a:rPr lang="en-US" sz="1400" dirty="0"/>
            <a:t>?</a:t>
          </a:r>
          <a:endParaRPr lang="en-CA" sz="1400" dirty="0"/>
        </a:p>
      </dgm:t>
    </dgm:pt>
    <dgm:pt modelId="{464485DC-5F1E-45C4-9E48-32AA4E456A2D}" type="parTrans" cxnId="{35881A33-01D6-45BD-9AD8-7832C3911F30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chemeClr val="accent2">
              <a:lumMod val="75000"/>
            </a:schemeClr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04B2353E-694B-46D8-B1DD-A0A2DEFE17AA}" type="sibTrans" cxnId="{35881A33-01D6-45BD-9AD8-7832C3911F30}">
      <dgm:prSet/>
      <dgm:spPr/>
      <dgm:t>
        <a:bodyPr/>
        <a:lstStyle/>
        <a:p>
          <a:endParaRPr lang="en-CA"/>
        </a:p>
      </dgm:t>
    </dgm:pt>
    <dgm:pt modelId="{661FE512-40D7-433D-9F16-55C6C728AAEA}">
      <dgm:prSet phldrT="[Text]"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</a:t>
          </a:r>
          <a:r>
            <a:rPr lang="en-CA" sz="1400" i="1" dirty="0"/>
            <a:t>Overlaps</a:t>
          </a:r>
          <a:r>
            <a:rPr lang="en-CA" sz="1400" dirty="0"/>
            <a:t> </a:t>
          </a:r>
          <a:r>
            <a:rPr lang="en-US" sz="1400" b="1" dirty="0">
              <a:solidFill>
                <a:srgbClr val="00B050"/>
              </a:solidFill>
            </a:rPr>
            <a:t>B</a:t>
          </a:r>
          <a:endParaRPr lang="en-CA" sz="1400" dirty="0"/>
        </a:p>
      </dgm:t>
    </dgm:pt>
    <dgm:pt modelId="{2FEBDD61-F47E-4187-B68C-33F93E8C6DA5}" type="parTrans" cxnId="{EA7CC7C2-79B2-4DBE-A340-8DA93E57D09F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0070C0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83CA8007-68EE-4333-B604-63AE063E2CD7}" type="sibTrans" cxnId="{EA7CC7C2-79B2-4DBE-A340-8DA93E57D09F}">
      <dgm:prSet/>
      <dgm:spPr/>
      <dgm:t>
        <a:bodyPr/>
        <a:lstStyle/>
        <a:p>
          <a:endParaRPr lang="en-CA"/>
        </a:p>
      </dgm:t>
    </dgm:pt>
    <dgm:pt modelId="{76F6ED56-039E-4362-929F-14CA94C44354}">
      <dgm:prSet phldrT="[Text]"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</a:t>
          </a:r>
          <a:r>
            <a:rPr lang="en-US" sz="1400" i="1" dirty="0"/>
            <a:t>Surrounds</a:t>
          </a:r>
          <a:r>
            <a:rPr lang="en-US" sz="1400" dirty="0"/>
            <a:t> </a:t>
          </a:r>
          <a:r>
            <a:rPr lang="en-US" sz="1400" b="1" dirty="0">
              <a:solidFill>
                <a:srgbClr val="00B050"/>
              </a:solidFill>
            </a:rPr>
            <a:t>B</a:t>
          </a:r>
          <a:endParaRPr lang="en-CA" sz="1400" b="1" dirty="0">
            <a:solidFill>
              <a:srgbClr val="00B050"/>
            </a:solidFill>
          </a:endParaRPr>
        </a:p>
      </dgm:t>
    </dgm:pt>
    <dgm:pt modelId="{4EF6EBEC-0A1E-4B9E-B648-62EB9C349AA7}" type="parTrans" cxnId="{070025F1-E88E-41FB-899C-8A04F4FCAF91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0070C0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15E9C307-BB46-42B2-BB17-AEBFEE2AD831}" type="sibTrans" cxnId="{070025F1-E88E-41FB-899C-8A04F4FCAF91}">
      <dgm:prSet/>
      <dgm:spPr/>
      <dgm:t>
        <a:bodyPr/>
        <a:lstStyle/>
        <a:p>
          <a:endParaRPr lang="en-CA"/>
        </a:p>
      </dgm:t>
    </dgm:pt>
    <dgm:pt modelId="{C2BB84B3-6B94-40E5-8A8C-88566F375E4A}">
      <dgm:prSet phldrT="[Text]"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pPr>
            <a:spcAft>
              <a:spcPts val="0"/>
            </a:spcAft>
          </a:pPr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is </a:t>
          </a:r>
          <a:r>
            <a:rPr lang="en-US" sz="1400" i="1" dirty="0"/>
            <a:t>Disjoint</a:t>
          </a:r>
          <a:r>
            <a:rPr lang="en-US" sz="1400" dirty="0"/>
            <a:t> </a:t>
          </a:r>
        </a:p>
        <a:p>
          <a:pPr>
            <a:spcAft>
              <a:spcPct val="35000"/>
            </a:spcAft>
          </a:pPr>
          <a:r>
            <a:rPr lang="en-US" sz="1400" dirty="0"/>
            <a:t>with </a:t>
          </a:r>
          <a:r>
            <a:rPr lang="en-US" sz="1400" b="1" dirty="0">
              <a:solidFill>
                <a:srgbClr val="00B050"/>
              </a:solidFill>
            </a:rPr>
            <a:t>B</a:t>
          </a:r>
          <a:r>
            <a:rPr lang="en-US" sz="1400" dirty="0"/>
            <a:t> </a:t>
          </a:r>
          <a:endParaRPr lang="en-CA" sz="1400" dirty="0"/>
        </a:p>
      </dgm:t>
    </dgm:pt>
    <dgm:pt modelId="{608C57D1-7F6F-4DB7-BA8A-DB71BD82B5BA}" type="parTrans" cxnId="{22EA8D63-13A2-43D8-84FB-61270723BA84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chemeClr val="accent2">
              <a:lumMod val="75000"/>
            </a:schemeClr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AAAC1DF3-A327-4894-A4FE-FE8BD2FD21FA}" type="sibTrans" cxnId="{22EA8D63-13A2-43D8-84FB-61270723BA84}">
      <dgm:prSet/>
      <dgm:spPr/>
      <dgm:t>
        <a:bodyPr/>
        <a:lstStyle/>
        <a:p>
          <a:endParaRPr lang="en-CA"/>
        </a:p>
      </dgm:t>
    </dgm:pt>
    <dgm:pt modelId="{1F9854BB-22E9-4049-9456-C1C1896FCEC5}">
      <dgm:prSet phldrT="[Text]" custT="1"/>
      <dgm:spPr/>
      <dgm:t>
        <a:bodyPr/>
        <a:lstStyle/>
        <a:p>
          <a:r>
            <a:rPr lang="en-US" sz="1400" dirty="0"/>
            <a:t>Does the border of </a:t>
          </a:r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overlap with the border of </a:t>
          </a:r>
          <a:r>
            <a:rPr lang="en-US" sz="1400" b="1" dirty="0">
              <a:solidFill>
                <a:srgbClr val="00B050"/>
              </a:solidFill>
            </a:rPr>
            <a:t>B</a:t>
          </a:r>
          <a:r>
            <a:rPr lang="en-US" sz="1400" dirty="0"/>
            <a:t>? </a:t>
          </a:r>
          <a:endParaRPr lang="en-CA" sz="1400" dirty="0"/>
        </a:p>
      </dgm:t>
    </dgm:pt>
    <dgm:pt modelId="{D6D15481-5E8B-4FD1-84DB-30AF31AE0AF3}" type="parTrans" cxnId="{980FD87F-A04E-4D8A-B0CB-FFC4758BB523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chemeClr val="accent2">
              <a:lumMod val="75000"/>
            </a:schemeClr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9A779EFA-D14F-42D3-8D6F-F5824C214B0E}" type="sibTrans" cxnId="{980FD87F-A04E-4D8A-B0CB-FFC4758BB523}">
      <dgm:prSet/>
      <dgm:spPr/>
      <dgm:t>
        <a:bodyPr/>
        <a:lstStyle/>
        <a:p>
          <a:endParaRPr lang="en-CA"/>
        </a:p>
      </dgm:t>
    </dgm:pt>
    <dgm:pt modelId="{611F5EBD-32D7-4C41-899A-5B09F7276570}">
      <dgm:prSet phldrT="[Text]"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Shelters </a:t>
          </a:r>
          <a:r>
            <a:rPr lang="en-US" sz="1400" b="1" dirty="0">
              <a:solidFill>
                <a:srgbClr val="00B050"/>
              </a:solidFill>
            </a:rPr>
            <a:t>B</a:t>
          </a:r>
          <a:endParaRPr lang="en-CA" sz="1400" dirty="0"/>
        </a:p>
      </dgm:t>
    </dgm:pt>
    <dgm:pt modelId="{4514F283-0637-4D79-A3B9-03CF59D1582C}" type="parTrans" cxnId="{4297C46B-1CF3-4990-AC9D-D8BD1E801252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0070C0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00ADB120-16D7-482C-9D68-49DE47589D5D}" type="sibTrans" cxnId="{4297C46B-1CF3-4990-AC9D-D8BD1E801252}">
      <dgm:prSet/>
      <dgm:spPr/>
      <dgm:t>
        <a:bodyPr/>
        <a:lstStyle/>
        <a:p>
          <a:endParaRPr lang="en-CA"/>
        </a:p>
      </dgm:t>
    </dgm:pt>
    <dgm:pt modelId="{BEE09A10-6C19-46C6-A747-9CF8BA45C75F}">
      <dgm:prSet phldrT="[Text]" custT="1"/>
      <dgm:spPr/>
      <dgm:t>
        <a:bodyPr/>
        <a:lstStyle/>
        <a:p>
          <a:r>
            <a:rPr lang="en-US" sz="1400" dirty="0"/>
            <a:t>Does the convex hull of </a:t>
          </a:r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contain all of </a:t>
          </a:r>
          <a:r>
            <a:rPr lang="en-US" sz="1400" b="1" dirty="0">
              <a:solidFill>
                <a:srgbClr val="00B050"/>
              </a:solidFill>
            </a:rPr>
            <a:t>B</a:t>
          </a:r>
          <a:r>
            <a:rPr lang="en-US" sz="1400" dirty="0"/>
            <a:t>?</a:t>
          </a:r>
          <a:endParaRPr lang="en-CA" sz="1400" dirty="0"/>
        </a:p>
      </dgm:t>
    </dgm:pt>
    <dgm:pt modelId="{8F547023-3538-4EE8-93A4-8FB441205E03}" type="parTrans" cxnId="{12A88863-9D5E-4890-AFFD-B73BAEB6B428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chemeClr val="accent2">
              <a:lumMod val="75000"/>
            </a:schemeClr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B58B11F0-6E00-4B8E-9F77-5DF27BE008BC}" type="sibTrans" cxnId="{12A88863-9D5E-4890-AFFD-B73BAEB6B428}">
      <dgm:prSet/>
      <dgm:spPr/>
      <dgm:t>
        <a:bodyPr/>
        <a:lstStyle/>
        <a:p>
          <a:endParaRPr lang="en-CA"/>
        </a:p>
      </dgm:t>
    </dgm:pt>
    <dgm:pt modelId="{1C5200FE-FFA9-4D32-BBCD-D593EE845AF0}">
      <dgm:prSet phldrT="[Text]" custT="1"/>
      <dgm:spPr/>
      <dgm:t>
        <a:bodyPr/>
        <a:lstStyle/>
        <a:p>
          <a:r>
            <a:rPr lang="en-US" sz="1400" dirty="0"/>
            <a:t>Does the border of </a:t>
          </a:r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overlap with the border of </a:t>
          </a:r>
          <a:r>
            <a:rPr lang="en-US" sz="1400" b="1" dirty="0">
              <a:solidFill>
                <a:srgbClr val="00B050"/>
              </a:solidFill>
            </a:rPr>
            <a:t>B</a:t>
          </a:r>
          <a:r>
            <a:rPr lang="en-US" sz="1400" dirty="0"/>
            <a:t>? </a:t>
          </a:r>
          <a:endParaRPr lang="en-CA" sz="1400" dirty="0"/>
        </a:p>
      </dgm:t>
    </dgm:pt>
    <dgm:pt modelId="{78A0168A-B3D4-43A1-9440-9C1323BD7FEB}" type="parTrans" cxnId="{90EAD3EC-2996-4BDC-8AE5-6A4376640AB5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C04F15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2064185F-0951-4CD0-BDF4-3C6BFCA2711B}" type="sibTrans" cxnId="{90EAD3EC-2996-4BDC-8AE5-6A4376640AB5}">
      <dgm:prSet/>
      <dgm:spPr/>
      <dgm:t>
        <a:bodyPr/>
        <a:lstStyle/>
        <a:p>
          <a:endParaRPr lang="en-CA"/>
        </a:p>
      </dgm:t>
    </dgm:pt>
    <dgm:pt modelId="{241770BA-9795-42B1-9426-B082AFE49C09}">
      <dgm:prSet phldrT="[Text]"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</a:t>
          </a:r>
          <a:r>
            <a:rPr lang="en-CA" sz="1400" i="1" dirty="0"/>
            <a:t>Equals</a:t>
          </a:r>
          <a:r>
            <a:rPr lang="en-CA" sz="1400" dirty="0"/>
            <a:t> </a:t>
          </a:r>
          <a:r>
            <a:rPr lang="en-US" sz="1400" b="1" dirty="0">
              <a:solidFill>
                <a:srgbClr val="00B050"/>
              </a:solidFill>
            </a:rPr>
            <a:t>B</a:t>
          </a:r>
          <a:endParaRPr lang="en-CA" sz="1400" dirty="0"/>
        </a:p>
      </dgm:t>
    </dgm:pt>
    <dgm:pt modelId="{028D1290-A2FC-43BD-BBE0-3D9D5D715153}" type="parTrans" cxnId="{E4EFE84C-CEEC-4A09-98F5-019B230674F4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chemeClr val="accent2">
              <a:lumMod val="75000"/>
            </a:schemeClr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D55A5817-2ABD-4A9F-97C6-7A20B7232503}" type="sibTrans" cxnId="{E4EFE84C-CEEC-4A09-98F5-019B230674F4}">
      <dgm:prSet/>
      <dgm:spPr/>
      <dgm:t>
        <a:bodyPr/>
        <a:lstStyle/>
        <a:p>
          <a:endParaRPr lang="en-CA"/>
        </a:p>
      </dgm:t>
    </dgm:pt>
    <dgm:pt modelId="{6B2F4EBD-0588-433D-BDC9-CB90AB476E93}">
      <dgm:prSet phldrT="[Text]" custT="1"/>
      <dgm:spPr>
        <a:ln w="38100">
          <a:solidFill>
            <a:schemeClr val="accent5">
              <a:lumMod val="60000"/>
              <a:lumOff val="40000"/>
            </a:schemeClr>
          </a:solidFill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gm:spPr>
      <dgm:t>
        <a:bodyPr anchor="ctr"/>
        <a:lstStyle/>
        <a:p>
          <a:r>
            <a:rPr lang="en-US" sz="1400" b="1" dirty="0">
              <a:solidFill>
                <a:srgbClr val="00B0F0"/>
              </a:solidFill>
            </a:rPr>
            <a:t>A</a:t>
          </a:r>
          <a:r>
            <a:rPr lang="en-US" sz="1400" dirty="0"/>
            <a:t> </a:t>
          </a:r>
          <a:r>
            <a:rPr lang="en-CA" sz="1400" i="1" dirty="0"/>
            <a:t>Partitions</a:t>
          </a:r>
          <a:r>
            <a:rPr lang="en-CA" sz="1400" dirty="0"/>
            <a:t> </a:t>
          </a:r>
          <a:r>
            <a:rPr lang="en-US" sz="1400" b="1" dirty="0">
              <a:solidFill>
                <a:srgbClr val="00B050"/>
              </a:solidFill>
            </a:rPr>
            <a:t>B</a:t>
          </a:r>
          <a:endParaRPr lang="en-CA" sz="1400" dirty="0"/>
        </a:p>
      </dgm:t>
    </dgm:pt>
    <dgm:pt modelId="{B59112B4-27B0-48C6-BE5C-AC3A0DFEED65}" type="parTrans" cxnId="{221FB7B9-BD64-4B10-8CE1-D1815E8A9BDB}">
      <dgm:prSet custT="1"/>
      <dgm:spPr>
        <a:solidFill>
          <a:schemeClr val="tx1">
            <a:hueOff val="0"/>
            <a:satOff val="0"/>
            <a:lumOff val="0"/>
          </a:schemeClr>
        </a:solidFill>
        <a:ln w="25400">
          <a:solidFill>
            <a:srgbClr val="0070C0"/>
          </a:solidFill>
          <a:tailEnd type="stealth" w="lg" len="lg"/>
        </a:ln>
      </dgm:spPr>
      <dgm:t>
        <a:bodyPr lIns="18288" rIns="18288"/>
        <a:lstStyle/>
        <a:p>
          <a:r>
            <a:rPr lang="en-US" sz="1400" b="1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dirty="0">
            <a:ln>
              <a:solidFill>
                <a:scrgbClr r="0" g="0" b="0"/>
              </a:solidFill>
            </a:ln>
          </a:endParaRPr>
        </a:p>
      </dgm:t>
    </dgm:pt>
    <dgm:pt modelId="{152AEC12-7501-4572-A083-B41AF931EDF9}" type="sibTrans" cxnId="{221FB7B9-BD64-4B10-8CE1-D1815E8A9BDB}">
      <dgm:prSet/>
      <dgm:spPr/>
      <dgm:t>
        <a:bodyPr/>
        <a:lstStyle/>
        <a:p>
          <a:endParaRPr lang="en-CA"/>
        </a:p>
      </dgm:t>
    </dgm:pt>
    <dgm:pt modelId="{4DEFB0B5-C8D7-4752-AA4C-317010537328}" type="pres">
      <dgm:prSet presAssocID="{E11C2CE7-F243-4F6E-9D3B-6A7F5BC585D0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7196CBE0-3640-4DD7-AC5E-27E6006D6C5A}" type="pres">
      <dgm:prSet presAssocID="{4BEC090C-1E15-4161-8659-B6B7DA165CC0}" presName="root1" presStyleCnt="0"/>
      <dgm:spPr/>
    </dgm:pt>
    <dgm:pt modelId="{60D0B9E6-82C7-4381-AE3D-A682BDCF8863}" type="pres">
      <dgm:prSet presAssocID="{4BEC090C-1E15-4161-8659-B6B7DA165CC0}" presName="LevelOneTextNode" presStyleLbl="node0" presStyleIdx="0" presStyleCnt="1" custScaleX="67319" custScaleY="45427" custLinFactNeighborY="2140">
        <dgm:presLayoutVars>
          <dgm:chPref val="3"/>
        </dgm:presLayoutVars>
      </dgm:prSet>
      <dgm:spPr/>
    </dgm:pt>
    <dgm:pt modelId="{8233B2F5-8510-4097-89C8-3D61320F8C19}" type="pres">
      <dgm:prSet presAssocID="{4BEC090C-1E15-4161-8659-B6B7DA165CC0}" presName="level2hierChild" presStyleCnt="0"/>
      <dgm:spPr/>
    </dgm:pt>
    <dgm:pt modelId="{90D847B5-D5A0-4244-846E-8ADF8BABDEED}" type="pres">
      <dgm:prSet presAssocID="{D6D15481-5E8B-4FD1-84DB-30AF31AE0AF3}" presName="conn2-1" presStyleLbl="parChTrans1D2" presStyleIdx="0" presStyleCnt="2"/>
      <dgm:spPr/>
    </dgm:pt>
    <dgm:pt modelId="{85EB8BBE-3858-4FF3-9A9C-0BED01FA18BC}" type="pres">
      <dgm:prSet presAssocID="{D6D15481-5E8B-4FD1-84DB-30AF31AE0AF3}" presName="connTx" presStyleLbl="parChTrans1D2" presStyleIdx="0" presStyleCnt="2"/>
      <dgm:spPr/>
    </dgm:pt>
    <dgm:pt modelId="{6E9E233E-39EB-4569-AF1D-76A28B0504EE}" type="pres">
      <dgm:prSet presAssocID="{1F9854BB-22E9-4049-9456-C1C1896FCEC5}" presName="root2" presStyleCnt="0"/>
      <dgm:spPr/>
    </dgm:pt>
    <dgm:pt modelId="{6C6B7D74-2E3F-42FA-BE1C-9AE309B40A28}" type="pres">
      <dgm:prSet presAssocID="{1F9854BB-22E9-4049-9456-C1C1896FCEC5}" presName="LevelTwoTextNode" presStyleLbl="node2" presStyleIdx="0" presStyleCnt="2" custScaleX="67714" custScaleY="54415" custLinFactNeighborX="-1470" custLinFactNeighborY="-74634">
        <dgm:presLayoutVars>
          <dgm:chPref val="3"/>
        </dgm:presLayoutVars>
      </dgm:prSet>
      <dgm:spPr/>
    </dgm:pt>
    <dgm:pt modelId="{5C78518D-1A63-4D18-8CCE-670B580276B4}" type="pres">
      <dgm:prSet presAssocID="{1F9854BB-22E9-4049-9456-C1C1896FCEC5}" presName="level3hierChild" presStyleCnt="0"/>
      <dgm:spPr/>
    </dgm:pt>
    <dgm:pt modelId="{FC40F70A-F5C9-433A-A55D-123A5B28E785}" type="pres">
      <dgm:prSet presAssocID="{464485DC-5F1E-45C4-9E48-32AA4E456A2D}" presName="conn2-1" presStyleLbl="parChTrans1D3" presStyleIdx="0" presStyleCnt="4"/>
      <dgm:spPr/>
    </dgm:pt>
    <dgm:pt modelId="{3938B017-FE74-4A39-AFB9-F36E1F3C9CD0}" type="pres">
      <dgm:prSet presAssocID="{464485DC-5F1E-45C4-9E48-32AA4E456A2D}" presName="connTx" presStyleLbl="parChTrans1D3" presStyleIdx="0" presStyleCnt="4"/>
      <dgm:spPr/>
    </dgm:pt>
    <dgm:pt modelId="{53AD0F57-EA3C-4714-8371-E9DB12E8CB68}" type="pres">
      <dgm:prSet presAssocID="{4102858B-66E2-4F4D-8103-BC8FCF77C011}" presName="root2" presStyleCnt="0"/>
      <dgm:spPr/>
    </dgm:pt>
    <dgm:pt modelId="{D65DD3F9-CCB1-44FA-B8E8-39B9016DCB19}" type="pres">
      <dgm:prSet presAssocID="{4102858B-66E2-4F4D-8103-BC8FCF77C011}" presName="LevelTwoTextNode" presStyleLbl="node3" presStyleIdx="0" presStyleCnt="4" custScaleX="67714" custScaleY="50771" custLinFactNeighborX="-3608" custLinFactNeighborY="-98973">
        <dgm:presLayoutVars>
          <dgm:chPref val="3"/>
        </dgm:presLayoutVars>
      </dgm:prSet>
      <dgm:spPr/>
    </dgm:pt>
    <dgm:pt modelId="{275F2363-88CA-4B3F-8244-F349A2BC576D}" type="pres">
      <dgm:prSet presAssocID="{4102858B-66E2-4F4D-8103-BC8FCF77C011}" presName="level3hierChild" presStyleCnt="0"/>
      <dgm:spPr/>
    </dgm:pt>
    <dgm:pt modelId="{E9013B9B-0814-4824-B7A5-76BC1EEA3FFD}" type="pres">
      <dgm:prSet presAssocID="{8F547023-3538-4EE8-93A4-8FB441205E03}" presName="conn2-1" presStyleLbl="parChTrans1D4" presStyleIdx="0" presStyleCnt="10"/>
      <dgm:spPr/>
    </dgm:pt>
    <dgm:pt modelId="{9D010A7E-BD5A-48B4-B2BE-E12A3A55371A}" type="pres">
      <dgm:prSet presAssocID="{8F547023-3538-4EE8-93A4-8FB441205E03}" presName="connTx" presStyleLbl="parChTrans1D4" presStyleIdx="0" presStyleCnt="10"/>
      <dgm:spPr/>
    </dgm:pt>
    <dgm:pt modelId="{89338983-973E-41F4-9138-6B3B7AAD4F38}" type="pres">
      <dgm:prSet presAssocID="{BEE09A10-6C19-46C6-A747-9CF8BA45C75F}" presName="root2" presStyleCnt="0"/>
      <dgm:spPr/>
    </dgm:pt>
    <dgm:pt modelId="{5ADC1B57-59CD-4290-8D3C-1F2B4B01AB44}" type="pres">
      <dgm:prSet presAssocID="{BEE09A10-6C19-46C6-A747-9CF8BA45C75F}" presName="LevelTwoTextNode" presStyleLbl="node4" presStyleIdx="0" presStyleCnt="10" custScaleX="76350" custScaleY="50474" custLinFactY="-15851" custLinFactNeighborX="-3175" custLinFactNeighborY="-100000">
        <dgm:presLayoutVars>
          <dgm:chPref val="3"/>
        </dgm:presLayoutVars>
      </dgm:prSet>
      <dgm:spPr/>
    </dgm:pt>
    <dgm:pt modelId="{7895928F-01FD-4CDB-9573-0E95FE802AAC}" type="pres">
      <dgm:prSet presAssocID="{BEE09A10-6C19-46C6-A747-9CF8BA45C75F}" presName="level3hierChild" presStyleCnt="0"/>
      <dgm:spPr/>
    </dgm:pt>
    <dgm:pt modelId="{2AD3D3E2-C6AC-405A-9A8A-D0423B528F9D}" type="pres">
      <dgm:prSet presAssocID="{608C57D1-7F6F-4DB7-BA8A-DB71BD82B5BA}" presName="conn2-1" presStyleLbl="parChTrans1D4" presStyleIdx="1" presStyleCnt="10"/>
      <dgm:spPr/>
    </dgm:pt>
    <dgm:pt modelId="{CD486216-BBE7-436F-9D63-9AD1931FF610}" type="pres">
      <dgm:prSet presAssocID="{608C57D1-7F6F-4DB7-BA8A-DB71BD82B5BA}" presName="connTx" presStyleLbl="parChTrans1D4" presStyleIdx="1" presStyleCnt="10"/>
      <dgm:spPr/>
    </dgm:pt>
    <dgm:pt modelId="{30383B94-4B06-4018-92E6-4F9D042D19C3}" type="pres">
      <dgm:prSet presAssocID="{C2BB84B3-6B94-40E5-8A8C-88566F375E4A}" presName="root2" presStyleCnt="0"/>
      <dgm:spPr/>
    </dgm:pt>
    <dgm:pt modelId="{267ED168-A2AD-42CE-8538-059248ABFC23}" type="pres">
      <dgm:prSet presAssocID="{C2BB84B3-6B94-40E5-8A8C-88566F375E4A}" presName="LevelTwoTextNode" presStyleLbl="node4" presStyleIdx="1" presStyleCnt="10" custScaleX="67714" custScaleY="39615" custLinFactY="-27370" custLinFactNeighborX="-2954" custLinFactNeighborY="-100000">
        <dgm:presLayoutVars>
          <dgm:chPref val="3"/>
        </dgm:presLayoutVars>
      </dgm:prSet>
      <dgm:spPr/>
    </dgm:pt>
    <dgm:pt modelId="{FE554052-42BD-4A93-92E6-642793B7EAF0}" type="pres">
      <dgm:prSet presAssocID="{C2BB84B3-6B94-40E5-8A8C-88566F375E4A}" presName="level3hierChild" presStyleCnt="0"/>
      <dgm:spPr/>
    </dgm:pt>
    <dgm:pt modelId="{0B134E92-FA95-4B28-BD52-07F1716B3C18}" type="pres">
      <dgm:prSet presAssocID="{4514F283-0637-4D79-A3B9-03CF59D1582C}" presName="conn2-1" presStyleLbl="parChTrans1D4" presStyleIdx="2" presStyleCnt="10"/>
      <dgm:spPr/>
    </dgm:pt>
    <dgm:pt modelId="{84A50755-D473-4C26-B04A-D905E4A37B75}" type="pres">
      <dgm:prSet presAssocID="{4514F283-0637-4D79-A3B9-03CF59D1582C}" presName="connTx" presStyleLbl="parChTrans1D4" presStyleIdx="2" presStyleCnt="10"/>
      <dgm:spPr/>
    </dgm:pt>
    <dgm:pt modelId="{9A4DDD95-4DFB-4F8C-AB5F-4A11FB7D7E46}" type="pres">
      <dgm:prSet presAssocID="{611F5EBD-32D7-4C41-899A-5B09F7276570}" presName="root2" presStyleCnt="0"/>
      <dgm:spPr/>
    </dgm:pt>
    <dgm:pt modelId="{DE55BEF5-93B4-4A69-A6D6-1C09C42D422D}" type="pres">
      <dgm:prSet presAssocID="{611F5EBD-32D7-4C41-899A-5B09F7276570}" presName="LevelTwoTextNode" presStyleLbl="node4" presStyleIdx="2" presStyleCnt="10" custScaleX="67714" custScaleY="22497" custLinFactY="-7532" custLinFactNeighborX="-2555" custLinFactNeighborY="-100000">
        <dgm:presLayoutVars>
          <dgm:chPref val="3"/>
        </dgm:presLayoutVars>
      </dgm:prSet>
      <dgm:spPr/>
    </dgm:pt>
    <dgm:pt modelId="{4B349A4D-A40F-4693-BD49-325E9CD02E3E}" type="pres">
      <dgm:prSet presAssocID="{611F5EBD-32D7-4C41-899A-5B09F7276570}" presName="level3hierChild" presStyleCnt="0"/>
      <dgm:spPr/>
    </dgm:pt>
    <dgm:pt modelId="{53585537-C841-4613-9227-8942CC9F940E}" type="pres">
      <dgm:prSet presAssocID="{4EF6EBEC-0A1E-4B9E-B648-62EB9C349AA7}" presName="conn2-1" presStyleLbl="parChTrans1D4" presStyleIdx="3" presStyleCnt="10"/>
      <dgm:spPr/>
    </dgm:pt>
    <dgm:pt modelId="{0A56F2DB-8DE4-4BD5-B764-228B4F527E1A}" type="pres">
      <dgm:prSet presAssocID="{4EF6EBEC-0A1E-4B9E-B648-62EB9C349AA7}" presName="connTx" presStyleLbl="parChTrans1D4" presStyleIdx="3" presStyleCnt="10"/>
      <dgm:spPr/>
    </dgm:pt>
    <dgm:pt modelId="{E5A0AD87-FD9A-4CDF-8B24-5669311CFB66}" type="pres">
      <dgm:prSet presAssocID="{76F6ED56-039E-4362-929F-14CA94C44354}" presName="root2" presStyleCnt="0"/>
      <dgm:spPr/>
    </dgm:pt>
    <dgm:pt modelId="{EFD08717-F61D-4FA3-AEAA-43BEC3867CFC}" type="pres">
      <dgm:prSet presAssocID="{76F6ED56-039E-4362-929F-14CA94C44354}" presName="LevelTwoTextNode" presStyleLbl="node4" presStyleIdx="3" presStyleCnt="10" custScaleX="76350" custScaleY="22497" custLinFactNeighborX="-3297" custLinFactNeighborY="-83427">
        <dgm:presLayoutVars>
          <dgm:chPref val="3"/>
        </dgm:presLayoutVars>
      </dgm:prSet>
      <dgm:spPr/>
    </dgm:pt>
    <dgm:pt modelId="{56D95B27-489D-49A1-A075-6C5D57ACB253}" type="pres">
      <dgm:prSet presAssocID="{76F6ED56-039E-4362-929F-14CA94C44354}" presName="level3hierChild" presStyleCnt="0"/>
      <dgm:spPr/>
    </dgm:pt>
    <dgm:pt modelId="{7940BBF2-D172-46D0-90EF-BFC9EA425F6D}" type="pres">
      <dgm:prSet presAssocID="{B41AB307-A081-4264-9130-95C84CE88154}" presName="conn2-1" presStyleLbl="parChTrans1D3" presStyleIdx="1" presStyleCnt="4"/>
      <dgm:spPr/>
    </dgm:pt>
    <dgm:pt modelId="{6925EB5E-0D47-4481-B6FA-74A76E9D6FD2}" type="pres">
      <dgm:prSet presAssocID="{B41AB307-A081-4264-9130-95C84CE88154}" presName="connTx" presStyleLbl="parChTrans1D3" presStyleIdx="1" presStyleCnt="4"/>
      <dgm:spPr/>
    </dgm:pt>
    <dgm:pt modelId="{1073CCAF-0555-46C8-BA57-3C388E65B0E0}" type="pres">
      <dgm:prSet presAssocID="{7A3D1130-4F69-4E59-9ACC-5B640EBD6EFF}" presName="root2" presStyleCnt="0"/>
      <dgm:spPr/>
    </dgm:pt>
    <dgm:pt modelId="{C33B4FFC-EE71-4E57-B768-C2BD25E243E8}" type="pres">
      <dgm:prSet presAssocID="{7A3D1130-4F69-4E59-9ACC-5B640EBD6EFF}" presName="LevelTwoTextNode" presStyleLbl="node3" presStyleIdx="1" presStyleCnt="4" custScaleX="67714" custScaleY="50771" custLinFactNeighborX="822" custLinFactNeighborY="-22522">
        <dgm:presLayoutVars>
          <dgm:chPref val="3"/>
        </dgm:presLayoutVars>
      </dgm:prSet>
      <dgm:spPr/>
    </dgm:pt>
    <dgm:pt modelId="{B89D9910-ACE9-4879-AF2B-8383B88C5EAB}" type="pres">
      <dgm:prSet presAssocID="{7A3D1130-4F69-4E59-9ACC-5B640EBD6EFF}" presName="level3hierChild" presStyleCnt="0"/>
      <dgm:spPr/>
    </dgm:pt>
    <dgm:pt modelId="{AF2C4515-2D24-4ADA-87E3-26CC2F6CC2A6}" type="pres">
      <dgm:prSet presAssocID="{4FC62AB9-317C-4A1C-A0AD-C10D573B4C49}" presName="conn2-1" presStyleLbl="parChTrans1D4" presStyleIdx="4" presStyleCnt="10"/>
      <dgm:spPr/>
    </dgm:pt>
    <dgm:pt modelId="{C6187C16-B219-43BA-B961-4E030BF7012C}" type="pres">
      <dgm:prSet presAssocID="{4FC62AB9-317C-4A1C-A0AD-C10D573B4C49}" presName="connTx" presStyleLbl="parChTrans1D4" presStyleIdx="4" presStyleCnt="10"/>
      <dgm:spPr/>
    </dgm:pt>
    <dgm:pt modelId="{6487C83E-50E8-4185-BDAE-15AEBCA01843}" type="pres">
      <dgm:prSet presAssocID="{181C735C-A399-4DA3-8589-B01A149985B6}" presName="root2" presStyleCnt="0"/>
      <dgm:spPr/>
    </dgm:pt>
    <dgm:pt modelId="{8557AC88-9D33-43F5-B999-D618E2615BC6}" type="pres">
      <dgm:prSet presAssocID="{181C735C-A399-4DA3-8589-B01A149985B6}" presName="LevelTwoTextNode" presStyleLbl="node4" presStyleIdx="4" presStyleCnt="10" custScaleX="76350" custScaleY="22497" custLinFactNeighborX="-4032" custLinFactNeighborY="-38812">
        <dgm:presLayoutVars>
          <dgm:chPref val="3"/>
        </dgm:presLayoutVars>
      </dgm:prSet>
      <dgm:spPr/>
    </dgm:pt>
    <dgm:pt modelId="{30CCDE8C-DF19-4396-9361-8852FB039470}" type="pres">
      <dgm:prSet presAssocID="{181C735C-A399-4DA3-8589-B01A149985B6}" presName="level3hierChild" presStyleCnt="0"/>
      <dgm:spPr/>
    </dgm:pt>
    <dgm:pt modelId="{E9983D54-FC96-4942-9E52-FC69F6639DD3}" type="pres">
      <dgm:prSet presAssocID="{9218275F-2715-4861-997B-85A1D6142A13}" presName="conn2-1" presStyleLbl="parChTrans1D4" presStyleIdx="5" presStyleCnt="10"/>
      <dgm:spPr/>
    </dgm:pt>
    <dgm:pt modelId="{73D4ADA3-7D22-4189-94D1-DD80977A6A2A}" type="pres">
      <dgm:prSet presAssocID="{9218275F-2715-4861-997B-85A1D6142A13}" presName="connTx" presStyleLbl="parChTrans1D4" presStyleIdx="5" presStyleCnt="10"/>
      <dgm:spPr/>
    </dgm:pt>
    <dgm:pt modelId="{BCEB44F5-7B51-43BA-92F2-B996C0D77E95}" type="pres">
      <dgm:prSet presAssocID="{77B43507-91C0-4172-8210-B7BD86829BA3}" presName="root2" presStyleCnt="0"/>
      <dgm:spPr/>
    </dgm:pt>
    <dgm:pt modelId="{2F8B85E9-6CF6-4115-A357-ABFC584D494E}" type="pres">
      <dgm:prSet presAssocID="{77B43507-91C0-4172-8210-B7BD86829BA3}" presName="LevelTwoTextNode" presStyleLbl="node4" presStyleIdx="5" presStyleCnt="10" custScaleX="76350" custScaleY="22497" custLinFactNeighborX="-3632" custLinFactNeighborY="6462">
        <dgm:presLayoutVars>
          <dgm:chPref val="3"/>
        </dgm:presLayoutVars>
      </dgm:prSet>
      <dgm:spPr/>
    </dgm:pt>
    <dgm:pt modelId="{4DD9F4D5-BBE5-4F26-AAC2-6ED377E82665}" type="pres">
      <dgm:prSet presAssocID="{77B43507-91C0-4172-8210-B7BD86829BA3}" presName="level3hierChild" presStyleCnt="0"/>
      <dgm:spPr/>
    </dgm:pt>
    <dgm:pt modelId="{1903229A-54A0-45D6-928C-45BC37FEA4DB}" type="pres">
      <dgm:prSet presAssocID="{BD5CB513-6A87-438F-94A4-8C766EF0E3BF}" presName="conn2-1" presStyleLbl="parChTrans1D2" presStyleIdx="1" presStyleCnt="2"/>
      <dgm:spPr/>
    </dgm:pt>
    <dgm:pt modelId="{CA7302ED-9C8F-459D-8E1B-FFC4D6AECEC7}" type="pres">
      <dgm:prSet presAssocID="{BD5CB513-6A87-438F-94A4-8C766EF0E3BF}" presName="connTx" presStyleLbl="parChTrans1D2" presStyleIdx="1" presStyleCnt="2"/>
      <dgm:spPr/>
    </dgm:pt>
    <dgm:pt modelId="{1E9A198D-4982-4F46-9C28-E527F4EF95FC}" type="pres">
      <dgm:prSet presAssocID="{0B8F6A2C-499F-4D42-90C6-D5D0C08F7746}" presName="root2" presStyleCnt="0"/>
      <dgm:spPr/>
    </dgm:pt>
    <dgm:pt modelId="{3FBAFE53-594D-4D03-B138-006A0BB47A9C}" type="pres">
      <dgm:prSet presAssocID="{0B8F6A2C-499F-4D42-90C6-D5D0C08F7746}" presName="LevelTwoTextNode" presStyleLbl="node2" presStyleIdx="1" presStyleCnt="2" custScaleX="67714" custScaleY="53172" custLinFactY="1230" custLinFactNeighborX="-1739" custLinFactNeighborY="100000">
        <dgm:presLayoutVars>
          <dgm:chPref val="3"/>
        </dgm:presLayoutVars>
      </dgm:prSet>
      <dgm:spPr/>
    </dgm:pt>
    <dgm:pt modelId="{5CA2DD91-821B-463E-87A4-736D923BF3F3}" type="pres">
      <dgm:prSet presAssocID="{0B8F6A2C-499F-4D42-90C6-D5D0C08F7746}" presName="level3hierChild" presStyleCnt="0"/>
      <dgm:spPr/>
    </dgm:pt>
    <dgm:pt modelId="{1877F5C3-3D89-4C58-A1F1-078525DE5F22}" type="pres">
      <dgm:prSet presAssocID="{78A0168A-B3D4-43A1-9440-9C1323BD7FEB}" presName="conn2-1" presStyleLbl="parChTrans1D3" presStyleIdx="2" presStyleCnt="4"/>
      <dgm:spPr/>
    </dgm:pt>
    <dgm:pt modelId="{1EF76CB9-B85D-4288-B228-1684949A83BF}" type="pres">
      <dgm:prSet presAssocID="{78A0168A-B3D4-43A1-9440-9C1323BD7FEB}" presName="connTx" presStyleLbl="parChTrans1D3" presStyleIdx="2" presStyleCnt="4"/>
      <dgm:spPr/>
    </dgm:pt>
    <dgm:pt modelId="{0BDED2F4-357F-4D70-8B64-875DE69D1646}" type="pres">
      <dgm:prSet presAssocID="{1C5200FE-FFA9-4D32-BBCD-D593EE845AF0}" presName="root2" presStyleCnt="0"/>
      <dgm:spPr/>
    </dgm:pt>
    <dgm:pt modelId="{752E73D5-6F0C-4299-B028-43DCAE9EBF12}" type="pres">
      <dgm:prSet presAssocID="{1C5200FE-FFA9-4D32-BBCD-D593EE845AF0}" presName="LevelTwoTextNode" presStyleLbl="node3" presStyleIdx="2" presStyleCnt="4" custScaleX="67714" custScaleY="50771" custLinFactNeighborX="-3631" custLinFactNeighborY="73124">
        <dgm:presLayoutVars>
          <dgm:chPref val="3"/>
        </dgm:presLayoutVars>
      </dgm:prSet>
      <dgm:spPr/>
    </dgm:pt>
    <dgm:pt modelId="{79A093DA-760D-426C-A06C-7B0D90B6EF5C}" type="pres">
      <dgm:prSet presAssocID="{1C5200FE-FFA9-4D32-BBCD-D593EE845AF0}" presName="level3hierChild" presStyleCnt="0"/>
      <dgm:spPr/>
    </dgm:pt>
    <dgm:pt modelId="{49F9E345-50CC-4F52-AFB5-C0A28306BF16}" type="pres">
      <dgm:prSet presAssocID="{28C379F9-AA32-41ED-A99B-1AC6034AA385}" presName="conn2-1" presStyleLbl="parChTrans1D4" presStyleIdx="6" presStyleCnt="10"/>
      <dgm:spPr/>
    </dgm:pt>
    <dgm:pt modelId="{7B531297-ACDD-496E-AA2F-404F042F5E9B}" type="pres">
      <dgm:prSet presAssocID="{28C379F9-AA32-41ED-A99B-1AC6034AA385}" presName="connTx" presStyleLbl="parChTrans1D4" presStyleIdx="6" presStyleCnt="10"/>
      <dgm:spPr/>
    </dgm:pt>
    <dgm:pt modelId="{8E5DF56D-31A9-4333-A41E-8016315036D8}" type="pres">
      <dgm:prSet presAssocID="{A0B9EC76-736B-41EF-A0BF-FF6D2F0BB0BB}" presName="root2" presStyleCnt="0"/>
      <dgm:spPr/>
    </dgm:pt>
    <dgm:pt modelId="{F37F940C-FB29-4D0E-B70D-83659D265A1E}" type="pres">
      <dgm:prSet presAssocID="{A0B9EC76-736B-41EF-A0BF-FF6D2F0BB0BB}" presName="LevelTwoTextNode" presStyleLbl="node4" presStyleIdx="6" presStyleCnt="10" custScaleX="76350" custScaleY="22497" custLinFactNeighborX="-3664" custLinFactNeighborY="48075">
        <dgm:presLayoutVars>
          <dgm:chPref val="3"/>
        </dgm:presLayoutVars>
      </dgm:prSet>
      <dgm:spPr/>
    </dgm:pt>
    <dgm:pt modelId="{CC0A6393-5FD2-4949-BF83-87FC5FEE6DFD}" type="pres">
      <dgm:prSet presAssocID="{A0B9EC76-736B-41EF-A0BF-FF6D2F0BB0BB}" presName="level3hierChild" presStyleCnt="0"/>
      <dgm:spPr/>
    </dgm:pt>
    <dgm:pt modelId="{FDDDA80B-6837-42EE-B31C-6D401D247906}" type="pres">
      <dgm:prSet presAssocID="{B63F0C89-71A1-4B60-AC8C-F6015144AA95}" presName="conn2-1" presStyleLbl="parChTrans1D4" presStyleIdx="7" presStyleCnt="10"/>
      <dgm:spPr/>
    </dgm:pt>
    <dgm:pt modelId="{3F9259DF-0F1B-4774-9C39-78543A209636}" type="pres">
      <dgm:prSet presAssocID="{B63F0C89-71A1-4B60-AC8C-F6015144AA95}" presName="connTx" presStyleLbl="parChTrans1D4" presStyleIdx="7" presStyleCnt="10"/>
      <dgm:spPr/>
    </dgm:pt>
    <dgm:pt modelId="{87C1E6F8-6409-4218-9FCC-DB5D88BB9588}" type="pres">
      <dgm:prSet presAssocID="{A41D72E9-2C78-48B5-BD7D-C1381877FD7E}" presName="root2" presStyleCnt="0"/>
      <dgm:spPr/>
    </dgm:pt>
    <dgm:pt modelId="{24F6AB9A-C44D-402F-B1AF-B011B11524E7}" type="pres">
      <dgm:prSet presAssocID="{A41D72E9-2C78-48B5-BD7D-C1381877FD7E}" presName="LevelTwoTextNode" presStyleLbl="node4" presStyleIdx="7" presStyleCnt="10" custScaleX="76350" custScaleY="50771" custLinFactY="12361" custLinFactNeighborX="-1080" custLinFactNeighborY="100000">
        <dgm:presLayoutVars>
          <dgm:chPref val="3"/>
        </dgm:presLayoutVars>
      </dgm:prSet>
      <dgm:spPr/>
    </dgm:pt>
    <dgm:pt modelId="{A18E93E9-CA62-4799-A4A4-4AD8D80E1A86}" type="pres">
      <dgm:prSet presAssocID="{A41D72E9-2C78-48B5-BD7D-C1381877FD7E}" presName="level3hierChild" presStyleCnt="0"/>
      <dgm:spPr/>
    </dgm:pt>
    <dgm:pt modelId="{8E7158E1-294C-4D33-8216-7B1B69CB68C3}" type="pres">
      <dgm:prSet presAssocID="{028D1290-A2FC-43BD-BBE0-3D9D5D715153}" presName="conn2-1" presStyleLbl="parChTrans1D4" presStyleIdx="8" presStyleCnt="10"/>
      <dgm:spPr/>
    </dgm:pt>
    <dgm:pt modelId="{52BC655F-4439-4A83-9224-76B8EA86E89C}" type="pres">
      <dgm:prSet presAssocID="{028D1290-A2FC-43BD-BBE0-3D9D5D715153}" presName="connTx" presStyleLbl="parChTrans1D4" presStyleIdx="8" presStyleCnt="10"/>
      <dgm:spPr/>
    </dgm:pt>
    <dgm:pt modelId="{B5EFA412-D4E9-4CBE-B979-90592A645687}" type="pres">
      <dgm:prSet presAssocID="{241770BA-9795-42B1-9426-B082AFE49C09}" presName="root2" presStyleCnt="0"/>
      <dgm:spPr/>
    </dgm:pt>
    <dgm:pt modelId="{778776B0-6F5E-4A58-93D8-59BB3630F525}" type="pres">
      <dgm:prSet presAssocID="{241770BA-9795-42B1-9426-B082AFE49C09}" presName="LevelTwoTextNode" presStyleLbl="node4" presStyleIdx="8" presStyleCnt="10" custScaleX="67714" custScaleY="22497" custLinFactNeighborX="-2413" custLinFactNeighborY="68722">
        <dgm:presLayoutVars>
          <dgm:chPref val="3"/>
        </dgm:presLayoutVars>
      </dgm:prSet>
      <dgm:spPr/>
    </dgm:pt>
    <dgm:pt modelId="{0BF4897C-6CFA-4F84-9ACC-1BC6F5C8803C}" type="pres">
      <dgm:prSet presAssocID="{241770BA-9795-42B1-9426-B082AFE49C09}" presName="level3hierChild" presStyleCnt="0"/>
      <dgm:spPr/>
    </dgm:pt>
    <dgm:pt modelId="{872C3E18-8C9D-4F32-84A6-2F9FD09D9194}" type="pres">
      <dgm:prSet presAssocID="{B59112B4-27B0-48C6-BE5C-AC3A0DFEED65}" presName="conn2-1" presStyleLbl="parChTrans1D4" presStyleIdx="9" presStyleCnt="10"/>
      <dgm:spPr/>
    </dgm:pt>
    <dgm:pt modelId="{E1AA0858-9124-4767-864C-EA93C50B6113}" type="pres">
      <dgm:prSet presAssocID="{B59112B4-27B0-48C6-BE5C-AC3A0DFEED65}" presName="connTx" presStyleLbl="parChTrans1D4" presStyleIdx="9" presStyleCnt="10"/>
      <dgm:spPr/>
    </dgm:pt>
    <dgm:pt modelId="{EECC6F63-839C-4201-B114-BF0C097D59AC}" type="pres">
      <dgm:prSet presAssocID="{6B2F4EBD-0588-433D-BDC9-CB90AB476E93}" presName="root2" presStyleCnt="0"/>
      <dgm:spPr/>
    </dgm:pt>
    <dgm:pt modelId="{D0953BFD-A9E5-445A-879D-994B68DDBF16}" type="pres">
      <dgm:prSet presAssocID="{6B2F4EBD-0588-433D-BDC9-CB90AB476E93}" presName="LevelTwoTextNode" presStyleLbl="node4" presStyleIdx="9" presStyleCnt="10" custScaleX="67714" custScaleY="22497" custLinFactY="44414" custLinFactNeighborX="-1768" custLinFactNeighborY="100000">
        <dgm:presLayoutVars>
          <dgm:chPref val="3"/>
        </dgm:presLayoutVars>
      </dgm:prSet>
      <dgm:spPr/>
    </dgm:pt>
    <dgm:pt modelId="{AFC6AE23-FD16-4D24-BB46-F9AEFED52B8B}" type="pres">
      <dgm:prSet presAssocID="{6B2F4EBD-0588-433D-BDC9-CB90AB476E93}" presName="level3hierChild" presStyleCnt="0"/>
      <dgm:spPr/>
    </dgm:pt>
    <dgm:pt modelId="{BF03BE95-0191-487A-81D4-7B1464A84271}" type="pres">
      <dgm:prSet presAssocID="{2FEBDD61-F47E-4187-B68C-33F93E8C6DA5}" presName="conn2-1" presStyleLbl="parChTrans1D3" presStyleIdx="3" presStyleCnt="4"/>
      <dgm:spPr/>
    </dgm:pt>
    <dgm:pt modelId="{E2510D0A-ED97-4A1D-BC86-C5879F26A917}" type="pres">
      <dgm:prSet presAssocID="{2FEBDD61-F47E-4187-B68C-33F93E8C6DA5}" presName="connTx" presStyleLbl="parChTrans1D3" presStyleIdx="3" presStyleCnt="4"/>
      <dgm:spPr/>
    </dgm:pt>
    <dgm:pt modelId="{7DBC28C9-8069-4EE0-B0D9-0A87156DA63F}" type="pres">
      <dgm:prSet presAssocID="{661FE512-40D7-433D-9F16-55C6C728AAEA}" presName="root2" presStyleCnt="0"/>
      <dgm:spPr/>
    </dgm:pt>
    <dgm:pt modelId="{C0A2D960-AF5A-445D-AE5F-800B8AC365D3}" type="pres">
      <dgm:prSet presAssocID="{661FE512-40D7-433D-9F16-55C6C728AAEA}" presName="LevelTwoTextNode" presStyleLbl="node3" presStyleIdx="3" presStyleCnt="4" custScaleX="67714" custScaleY="22497" custLinFactY="14173" custLinFactNeighborX="-4449" custLinFactNeighborY="100000">
        <dgm:presLayoutVars>
          <dgm:chPref val="3"/>
        </dgm:presLayoutVars>
      </dgm:prSet>
      <dgm:spPr/>
    </dgm:pt>
    <dgm:pt modelId="{DCB5F6A8-FF9A-4C1A-B134-D2FF44F1389E}" type="pres">
      <dgm:prSet presAssocID="{661FE512-40D7-433D-9F16-55C6C728AAEA}" presName="level3hierChild" presStyleCnt="0"/>
      <dgm:spPr/>
    </dgm:pt>
  </dgm:ptLst>
  <dgm:cxnLst>
    <dgm:cxn modelId="{63AC4D0A-094A-4AF0-B717-D2FACE4B4133}" srcId="{7A3D1130-4F69-4E59-9ACC-5B640EBD6EFF}" destId="{181C735C-A399-4DA3-8589-B01A149985B6}" srcOrd="0" destOrd="0" parTransId="{4FC62AB9-317C-4A1C-A0AD-C10D573B4C49}" sibTransId="{740954D0-DF39-40E1-8E68-C687849C8332}"/>
    <dgm:cxn modelId="{CB165E0B-060B-4093-8B2F-1AC3AB15AAA2}" type="presOf" srcId="{611F5EBD-32D7-4C41-899A-5B09F7276570}" destId="{DE55BEF5-93B4-4A69-A6D6-1C09C42D422D}" srcOrd="0" destOrd="0" presId="urn:microsoft.com/office/officeart/2005/8/layout/hierarchy2"/>
    <dgm:cxn modelId="{F5C7870E-CB12-4937-9585-F2319FF53FDC}" type="presOf" srcId="{2FEBDD61-F47E-4187-B68C-33F93E8C6DA5}" destId="{E2510D0A-ED97-4A1D-BC86-C5879F26A917}" srcOrd="1" destOrd="0" presId="urn:microsoft.com/office/officeart/2005/8/layout/hierarchy2"/>
    <dgm:cxn modelId="{FDC1C40E-20CE-4E7F-980B-E987C7B122F3}" type="presOf" srcId="{9218275F-2715-4861-997B-85A1D6142A13}" destId="{E9983D54-FC96-4942-9E52-FC69F6639DD3}" srcOrd="0" destOrd="0" presId="urn:microsoft.com/office/officeart/2005/8/layout/hierarchy2"/>
    <dgm:cxn modelId="{C9380E12-FEF8-48E4-92D8-4A3FBEA4E1A2}" type="presOf" srcId="{B63F0C89-71A1-4B60-AC8C-F6015144AA95}" destId="{3F9259DF-0F1B-4774-9C39-78543A209636}" srcOrd="1" destOrd="0" presId="urn:microsoft.com/office/officeart/2005/8/layout/hierarchy2"/>
    <dgm:cxn modelId="{3E192414-9E4C-4AFF-A713-695D4B48BA5F}" type="presOf" srcId="{77B43507-91C0-4172-8210-B7BD86829BA3}" destId="{2F8B85E9-6CF6-4115-A357-ABFC584D494E}" srcOrd="0" destOrd="0" presId="urn:microsoft.com/office/officeart/2005/8/layout/hierarchy2"/>
    <dgm:cxn modelId="{295A0916-873C-47F7-BF09-C487BF7FB49E}" type="presOf" srcId="{9218275F-2715-4861-997B-85A1D6142A13}" destId="{73D4ADA3-7D22-4189-94D1-DD80977A6A2A}" srcOrd="1" destOrd="0" presId="urn:microsoft.com/office/officeart/2005/8/layout/hierarchy2"/>
    <dgm:cxn modelId="{634B5418-38A6-48D8-B05F-51C7EF4BA736}" type="presOf" srcId="{4FC62AB9-317C-4A1C-A0AD-C10D573B4C49}" destId="{C6187C16-B219-43BA-B961-4E030BF7012C}" srcOrd="1" destOrd="0" presId="urn:microsoft.com/office/officeart/2005/8/layout/hierarchy2"/>
    <dgm:cxn modelId="{667A051A-9C99-4A3F-B669-32F2A428C21F}" type="presOf" srcId="{B41AB307-A081-4264-9130-95C84CE88154}" destId="{6925EB5E-0D47-4481-B6FA-74A76E9D6FD2}" srcOrd="1" destOrd="0" presId="urn:microsoft.com/office/officeart/2005/8/layout/hierarchy2"/>
    <dgm:cxn modelId="{095BCB1B-3BB7-4654-86D0-E4F015E264EB}" type="presOf" srcId="{A41D72E9-2C78-48B5-BD7D-C1381877FD7E}" destId="{24F6AB9A-C44D-402F-B1AF-B011B11524E7}" srcOrd="0" destOrd="0" presId="urn:microsoft.com/office/officeart/2005/8/layout/hierarchy2"/>
    <dgm:cxn modelId="{378DDA28-5CD2-4409-898D-6F9774F972D4}" type="presOf" srcId="{8F547023-3538-4EE8-93A4-8FB441205E03}" destId="{E9013B9B-0814-4824-B7A5-76BC1EEA3FFD}" srcOrd="0" destOrd="0" presId="urn:microsoft.com/office/officeart/2005/8/layout/hierarchy2"/>
    <dgm:cxn modelId="{3405B029-B748-4330-9489-4C40178A1D6B}" type="presOf" srcId="{B59112B4-27B0-48C6-BE5C-AC3A0DFEED65}" destId="{E1AA0858-9124-4767-864C-EA93C50B6113}" srcOrd="1" destOrd="0" presId="urn:microsoft.com/office/officeart/2005/8/layout/hierarchy2"/>
    <dgm:cxn modelId="{BD56932C-05AE-472E-9F38-5E5F80B9D024}" type="presOf" srcId="{241770BA-9795-42B1-9426-B082AFE49C09}" destId="{778776B0-6F5E-4A58-93D8-59BB3630F525}" srcOrd="0" destOrd="0" presId="urn:microsoft.com/office/officeart/2005/8/layout/hierarchy2"/>
    <dgm:cxn modelId="{D7742531-6406-4108-9A09-7F1CEE09CDCD}" type="presOf" srcId="{C2BB84B3-6B94-40E5-8A8C-88566F375E4A}" destId="{267ED168-A2AD-42CE-8538-059248ABFC23}" srcOrd="0" destOrd="0" presId="urn:microsoft.com/office/officeart/2005/8/layout/hierarchy2"/>
    <dgm:cxn modelId="{DC6F0C33-B0F8-4530-B3C0-A9A4D420E2EC}" srcId="{1C5200FE-FFA9-4D32-BBCD-D593EE845AF0}" destId="{A0B9EC76-736B-41EF-A0BF-FF6D2F0BB0BB}" srcOrd="0" destOrd="0" parTransId="{28C379F9-AA32-41ED-A99B-1AC6034AA385}" sibTransId="{4D5E0712-8273-4EDC-9A28-41B51FF32779}"/>
    <dgm:cxn modelId="{35881A33-01D6-45BD-9AD8-7832C3911F30}" srcId="{1F9854BB-22E9-4049-9456-C1C1896FCEC5}" destId="{4102858B-66E2-4F4D-8103-BC8FCF77C011}" srcOrd="0" destOrd="0" parTransId="{464485DC-5F1E-45C4-9E48-32AA4E456A2D}" sibTransId="{04B2353E-694B-46D8-B1DD-A0A2DEFE17AA}"/>
    <dgm:cxn modelId="{ABC8CC3B-4756-46DF-8F3C-D30BA6E1C63E}" type="presOf" srcId="{B59112B4-27B0-48C6-BE5C-AC3A0DFEED65}" destId="{872C3E18-8C9D-4F32-84A6-2F9FD09D9194}" srcOrd="0" destOrd="0" presId="urn:microsoft.com/office/officeart/2005/8/layout/hierarchy2"/>
    <dgm:cxn modelId="{0F20A15E-2ACA-4672-8D40-15BBDAE8186B}" type="presOf" srcId="{BD5CB513-6A87-438F-94A4-8C766EF0E3BF}" destId="{1903229A-54A0-45D6-928C-45BC37FEA4DB}" srcOrd="0" destOrd="0" presId="urn:microsoft.com/office/officeart/2005/8/layout/hierarchy2"/>
    <dgm:cxn modelId="{95F81A5F-FF8B-46AB-B980-3B16790BBD39}" type="presOf" srcId="{464485DC-5F1E-45C4-9E48-32AA4E456A2D}" destId="{FC40F70A-F5C9-433A-A55D-123A5B28E785}" srcOrd="0" destOrd="0" presId="urn:microsoft.com/office/officeart/2005/8/layout/hierarchy2"/>
    <dgm:cxn modelId="{1B801362-9E7C-4F71-9114-C02C4E7E49C2}" type="presOf" srcId="{4514F283-0637-4D79-A3B9-03CF59D1582C}" destId="{84A50755-D473-4C26-B04A-D905E4A37B75}" srcOrd="1" destOrd="0" presId="urn:microsoft.com/office/officeart/2005/8/layout/hierarchy2"/>
    <dgm:cxn modelId="{12A88863-9D5E-4890-AFFD-B73BAEB6B428}" srcId="{4102858B-66E2-4F4D-8103-BC8FCF77C011}" destId="{BEE09A10-6C19-46C6-A747-9CF8BA45C75F}" srcOrd="0" destOrd="0" parTransId="{8F547023-3538-4EE8-93A4-8FB441205E03}" sibTransId="{B58B11F0-6E00-4B8E-9F77-5DF27BE008BC}"/>
    <dgm:cxn modelId="{22EA8D63-13A2-43D8-84FB-61270723BA84}" srcId="{BEE09A10-6C19-46C6-A747-9CF8BA45C75F}" destId="{C2BB84B3-6B94-40E5-8A8C-88566F375E4A}" srcOrd="0" destOrd="0" parTransId="{608C57D1-7F6F-4DB7-BA8A-DB71BD82B5BA}" sibTransId="{AAAC1DF3-A327-4894-A4FE-FE8BD2FD21FA}"/>
    <dgm:cxn modelId="{0E85C069-F5AC-4E2D-959E-032AC0CA870F}" type="presOf" srcId="{E11C2CE7-F243-4F6E-9D3B-6A7F5BC585D0}" destId="{4DEFB0B5-C8D7-4752-AA4C-317010537328}" srcOrd="0" destOrd="0" presId="urn:microsoft.com/office/officeart/2005/8/layout/hierarchy2"/>
    <dgm:cxn modelId="{ECAB156A-08CA-404C-8E8A-902F003923C0}" type="presOf" srcId="{4BEC090C-1E15-4161-8659-B6B7DA165CC0}" destId="{60D0B9E6-82C7-4381-AE3D-A682BDCF8863}" srcOrd="0" destOrd="0" presId="urn:microsoft.com/office/officeart/2005/8/layout/hierarchy2"/>
    <dgm:cxn modelId="{4297C46B-1CF3-4990-AC9D-D8BD1E801252}" srcId="{BEE09A10-6C19-46C6-A747-9CF8BA45C75F}" destId="{611F5EBD-32D7-4C41-899A-5B09F7276570}" srcOrd="1" destOrd="0" parTransId="{4514F283-0637-4D79-A3B9-03CF59D1582C}" sibTransId="{00ADB120-16D7-482C-9D68-49DE47589D5D}"/>
    <dgm:cxn modelId="{E4EFE84C-CEEC-4A09-98F5-019B230674F4}" srcId="{A41D72E9-2C78-48B5-BD7D-C1381877FD7E}" destId="{241770BA-9795-42B1-9426-B082AFE49C09}" srcOrd="0" destOrd="0" parTransId="{028D1290-A2FC-43BD-BBE0-3D9D5D715153}" sibTransId="{D55A5817-2ABD-4A9F-97C6-7A20B7232503}"/>
    <dgm:cxn modelId="{9767F94C-27DA-46C0-9E34-10C5CE97E6B9}" type="presOf" srcId="{76F6ED56-039E-4362-929F-14CA94C44354}" destId="{EFD08717-F61D-4FA3-AEAA-43BEC3867CFC}" srcOrd="0" destOrd="0" presId="urn:microsoft.com/office/officeart/2005/8/layout/hierarchy2"/>
    <dgm:cxn modelId="{D9B1294D-3EA1-4635-9B5F-014E9B49FBC4}" type="presOf" srcId="{78A0168A-B3D4-43A1-9440-9C1323BD7FEB}" destId="{1EF76CB9-B85D-4288-B228-1684949A83BF}" srcOrd="1" destOrd="0" presId="urn:microsoft.com/office/officeart/2005/8/layout/hierarchy2"/>
    <dgm:cxn modelId="{D5DE5A4D-252B-4B35-8E83-B37FEF7F82E8}" type="presOf" srcId="{4EF6EBEC-0A1E-4B9E-B648-62EB9C349AA7}" destId="{53585537-C841-4613-9227-8942CC9F940E}" srcOrd="0" destOrd="0" presId="urn:microsoft.com/office/officeart/2005/8/layout/hierarchy2"/>
    <dgm:cxn modelId="{A314E04D-1B32-4670-A9A3-EC6687F38A82}" type="presOf" srcId="{D6D15481-5E8B-4FD1-84DB-30AF31AE0AF3}" destId="{90D847B5-D5A0-4244-846E-8ADF8BABDEED}" srcOrd="0" destOrd="0" presId="urn:microsoft.com/office/officeart/2005/8/layout/hierarchy2"/>
    <dgm:cxn modelId="{E7C5BD71-1F73-4F3B-8697-C5651DB52205}" type="presOf" srcId="{4102858B-66E2-4F4D-8103-BC8FCF77C011}" destId="{D65DD3F9-CCB1-44FA-B8E8-39B9016DCB19}" srcOrd="0" destOrd="0" presId="urn:microsoft.com/office/officeart/2005/8/layout/hierarchy2"/>
    <dgm:cxn modelId="{C2989A74-ACC3-4898-B410-3E8DF1564020}" type="presOf" srcId="{BEE09A10-6C19-46C6-A747-9CF8BA45C75F}" destId="{5ADC1B57-59CD-4290-8D3C-1F2B4B01AB44}" srcOrd="0" destOrd="0" presId="urn:microsoft.com/office/officeart/2005/8/layout/hierarchy2"/>
    <dgm:cxn modelId="{7936FC54-FF04-4BCE-A785-B28B2C40FD45}" type="presOf" srcId="{661FE512-40D7-433D-9F16-55C6C728AAEA}" destId="{C0A2D960-AF5A-445D-AE5F-800B8AC365D3}" srcOrd="0" destOrd="0" presId="urn:microsoft.com/office/officeart/2005/8/layout/hierarchy2"/>
    <dgm:cxn modelId="{B6F51356-2EF7-4A24-B57C-CC0CA9F3B858}" type="presOf" srcId="{B41AB307-A081-4264-9130-95C84CE88154}" destId="{7940BBF2-D172-46D0-90EF-BFC9EA425F6D}" srcOrd="0" destOrd="0" presId="urn:microsoft.com/office/officeart/2005/8/layout/hierarchy2"/>
    <dgm:cxn modelId="{EB657B57-CD5E-42C9-9656-F809B4B163BD}" type="presOf" srcId="{D6D15481-5E8B-4FD1-84DB-30AF31AE0AF3}" destId="{85EB8BBE-3858-4FF3-9A9C-0BED01FA18BC}" srcOrd="1" destOrd="0" presId="urn:microsoft.com/office/officeart/2005/8/layout/hierarchy2"/>
    <dgm:cxn modelId="{58B1AF57-C9DB-49B8-9139-79476E400A81}" type="presOf" srcId="{181C735C-A399-4DA3-8589-B01A149985B6}" destId="{8557AC88-9D33-43F5-B999-D618E2615BC6}" srcOrd="0" destOrd="0" presId="urn:microsoft.com/office/officeart/2005/8/layout/hierarchy2"/>
    <dgm:cxn modelId="{980FD87F-A04E-4D8A-B0CB-FFC4758BB523}" srcId="{4BEC090C-1E15-4161-8659-B6B7DA165CC0}" destId="{1F9854BB-22E9-4049-9456-C1C1896FCEC5}" srcOrd="0" destOrd="0" parTransId="{D6D15481-5E8B-4FD1-84DB-30AF31AE0AF3}" sibTransId="{9A779EFA-D14F-42D3-8D6F-F5824C214B0E}"/>
    <dgm:cxn modelId="{E2356781-71E6-4871-953A-9C00DF43BB4D}" type="presOf" srcId="{2FEBDD61-F47E-4187-B68C-33F93E8C6DA5}" destId="{BF03BE95-0191-487A-81D4-7B1464A84271}" srcOrd="0" destOrd="0" presId="urn:microsoft.com/office/officeart/2005/8/layout/hierarchy2"/>
    <dgm:cxn modelId="{FFDF0D82-106B-42F5-881A-70CFC637817B}" type="presOf" srcId="{BD5CB513-6A87-438F-94A4-8C766EF0E3BF}" destId="{CA7302ED-9C8F-459D-8E1B-FFC4D6AECEC7}" srcOrd="1" destOrd="0" presId="urn:microsoft.com/office/officeart/2005/8/layout/hierarchy2"/>
    <dgm:cxn modelId="{2019FC85-98F1-49A4-B1E0-085B4F226A4D}" type="presOf" srcId="{1F9854BB-22E9-4049-9456-C1C1896FCEC5}" destId="{6C6B7D74-2E3F-42FA-BE1C-9AE309B40A28}" srcOrd="0" destOrd="0" presId="urn:microsoft.com/office/officeart/2005/8/layout/hierarchy2"/>
    <dgm:cxn modelId="{DB0AA486-48C6-4042-B575-CE74B616BFCB}" srcId="{4BEC090C-1E15-4161-8659-B6B7DA165CC0}" destId="{0B8F6A2C-499F-4D42-90C6-D5D0C08F7746}" srcOrd="1" destOrd="0" parTransId="{BD5CB513-6A87-438F-94A4-8C766EF0E3BF}" sibTransId="{968430DC-312F-4F74-9ADC-3A1E3A089BF2}"/>
    <dgm:cxn modelId="{A4A7B68E-EDF0-4161-892F-3B1BFEB361AB}" srcId="{E11C2CE7-F243-4F6E-9D3B-6A7F5BC585D0}" destId="{4BEC090C-1E15-4161-8659-B6B7DA165CC0}" srcOrd="0" destOrd="0" parTransId="{9EBE5B1D-83DE-4957-9892-FCDD2C4704CB}" sibTransId="{4CD070C9-978B-49EA-8790-2550A7262776}"/>
    <dgm:cxn modelId="{677A9696-1C94-492A-AE62-EF2F78E7F1B3}" type="presOf" srcId="{608C57D1-7F6F-4DB7-BA8A-DB71BD82B5BA}" destId="{2AD3D3E2-C6AC-405A-9A8A-D0423B528F9D}" srcOrd="0" destOrd="0" presId="urn:microsoft.com/office/officeart/2005/8/layout/hierarchy2"/>
    <dgm:cxn modelId="{56BED5A2-73BB-4CB7-A397-31D72B893FEE}" type="presOf" srcId="{028D1290-A2FC-43BD-BBE0-3D9D5D715153}" destId="{52BC655F-4439-4A83-9224-76B8EA86E89C}" srcOrd="1" destOrd="0" presId="urn:microsoft.com/office/officeart/2005/8/layout/hierarchy2"/>
    <dgm:cxn modelId="{21BFD8A7-0447-440B-B174-0851B5DA9980}" type="presOf" srcId="{28C379F9-AA32-41ED-A99B-1AC6034AA385}" destId="{7B531297-ACDD-496E-AA2F-404F042F5E9B}" srcOrd="1" destOrd="0" presId="urn:microsoft.com/office/officeart/2005/8/layout/hierarchy2"/>
    <dgm:cxn modelId="{89EA4FB5-33D9-4943-BAB4-3C0DA279F013}" type="presOf" srcId="{464485DC-5F1E-45C4-9E48-32AA4E456A2D}" destId="{3938B017-FE74-4A39-AFB9-F36E1F3C9CD0}" srcOrd="1" destOrd="0" presId="urn:microsoft.com/office/officeart/2005/8/layout/hierarchy2"/>
    <dgm:cxn modelId="{221FB7B9-BD64-4B10-8CE1-D1815E8A9BDB}" srcId="{A41D72E9-2C78-48B5-BD7D-C1381877FD7E}" destId="{6B2F4EBD-0588-433D-BDC9-CB90AB476E93}" srcOrd="1" destOrd="0" parTransId="{B59112B4-27B0-48C6-BE5C-AC3A0DFEED65}" sibTransId="{152AEC12-7501-4572-A083-B41AF931EDF9}"/>
    <dgm:cxn modelId="{86AB34BB-4AAC-4BD8-B3E9-406F7407E75E}" type="presOf" srcId="{8F547023-3538-4EE8-93A4-8FB441205E03}" destId="{9D010A7E-BD5A-48B4-B2BE-E12A3A55371A}" srcOrd="1" destOrd="0" presId="urn:microsoft.com/office/officeart/2005/8/layout/hierarchy2"/>
    <dgm:cxn modelId="{EA7CC7C2-79B2-4DBE-A340-8DA93E57D09F}" srcId="{0B8F6A2C-499F-4D42-90C6-D5D0C08F7746}" destId="{661FE512-40D7-433D-9F16-55C6C728AAEA}" srcOrd="1" destOrd="0" parTransId="{2FEBDD61-F47E-4187-B68C-33F93E8C6DA5}" sibTransId="{83CA8007-68EE-4333-B604-63AE063E2CD7}"/>
    <dgm:cxn modelId="{030174CA-85E3-49E6-B7A2-37A6D0F92CB2}" type="presOf" srcId="{4FC62AB9-317C-4A1C-A0AD-C10D573B4C49}" destId="{AF2C4515-2D24-4ADA-87E3-26CC2F6CC2A6}" srcOrd="0" destOrd="0" presId="urn:microsoft.com/office/officeart/2005/8/layout/hierarchy2"/>
    <dgm:cxn modelId="{ECA88BCA-A6D4-4117-A26F-CF8AABCB959D}" type="presOf" srcId="{A0B9EC76-736B-41EF-A0BF-FF6D2F0BB0BB}" destId="{F37F940C-FB29-4D0E-B70D-83659D265A1E}" srcOrd="0" destOrd="0" presId="urn:microsoft.com/office/officeart/2005/8/layout/hierarchy2"/>
    <dgm:cxn modelId="{C44720D2-A7C8-4933-8619-602F46082A7E}" type="presOf" srcId="{028D1290-A2FC-43BD-BBE0-3D9D5D715153}" destId="{8E7158E1-294C-4D33-8216-7B1B69CB68C3}" srcOrd="0" destOrd="0" presId="urn:microsoft.com/office/officeart/2005/8/layout/hierarchy2"/>
    <dgm:cxn modelId="{0DB1C2D4-9F8A-4B19-A561-75DC1DB24803}" srcId="{7A3D1130-4F69-4E59-9ACC-5B640EBD6EFF}" destId="{77B43507-91C0-4172-8210-B7BD86829BA3}" srcOrd="1" destOrd="0" parTransId="{9218275F-2715-4861-997B-85A1D6142A13}" sibTransId="{6484DD91-D42F-4795-8862-4CB2FCD693DD}"/>
    <dgm:cxn modelId="{038A62D6-02F2-478F-BDFF-FD04933DB296}" type="presOf" srcId="{608C57D1-7F6F-4DB7-BA8A-DB71BD82B5BA}" destId="{CD486216-BBE7-436F-9D63-9AD1931FF610}" srcOrd="1" destOrd="0" presId="urn:microsoft.com/office/officeart/2005/8/layout/hierarchy2"/>
    <dgm:cxn modelId="{F20C56DD-E9DC-402D-8202-C206451C87F5}" srcId="{1C5200FE-FFA9-4D32-BBCD-D593EE845AF0}" destId="{A41D72E9-2C78-48B5-BD7D-C1381877FD7E}" srcOrd="1" destOrd="0" parTransId="{B63F0C89-71A1-4B60-AC8C-F6015144AA95}" sibTransId="{8638F548-EBED-4FFB-AA80-92500E2E3FBC}"/>
    <dgm:cxn modelId="{36DB8EDD-48CC-4AFA-8F4D-754F06EC0A45}" type="presOf" srcId="{6B2F4EBD-0588-433D-BDC9-CB90AB476E93}" destId="{D0953BFD-A9E5-445A-879D-994B68DDBF16}" srcOrd="0" destOrd="0" presId="urn:microsoft.com/office/officeart/2005/8/layout/hierarchy2"/>
    <dgm:cxn modelId="{69D400E0-F121-47D3-9D38-3FFFF7CCEC75}" type="presOf" srcId="{78A0168A-B3D4-43A1-9440-9C1323BD7FEB}" destId="{1877F5C3-3D89-4C58-A1F1-078525DE5F22}" srcOrd="0" destOrd="0" presId="urn:microsoft.com/office/officeart/2005/8/layout/hierarchy2"/>
    <dgm:cxn modelId="{25F50FE0-894D-422F-A7F9-EE9BE4377657}" type="presOf" srcId="{7A3D1130-4F69-4E59-9ACC-5B640EBD6EFF}" destId="{C33B4FFC-EE71-4E57-B768-C2BD25E243E8}" srcOrd="0" destOrd="0" presId="urn:microsoft.com/office/officeart/2005/8/layout/hierarchy2"/>
    <dgm:cxn modelId="{33C2DAE6-3B45-4FFA-8669-37EDD253ADB0}" type="presOf" srcId="{4514F283-0637-4D79-A3B9-03CF59D1582C}" destId="{0B134E92-FA95-4B28-BD52-07F1716B3C18}" srcOrd="0" destOrd="0" presId="urn:microsoft.com/office/officeart/2005/8/layout/hierarchy2"/>
    <dgm:cxn modelId="{492B54EA-8E2F-42FA-A103-E7CA2F9B33D1}" type="presOf" srcId="{0B8F6A2C-499F-4D42-90C6-D5D0C08F7746}" destId="{3FBAFE53-594D-4D03-B138-006A0BB47A9C}" srcOrd="0" destOrd="0" presId="urn:microsoft.com/office/officeart/2005/8/layout/hierarchy2"/>
    <dgm:cxn modelId="{90EAD3EC-2996-4BDC-8AE5-6A4376640AB5}" srcId="{0B8F6A2C-499F-4D42-90C6-D5D0C08F7746}" destId="{1C5200FE-FFA9-4D32-BBCD-D593EE845AF0}" srcOrd="0" destOrd="0" parTransId="{78A0168A-B3D4-43A1-9440-9C1323BD7FEB}" sibTransId="{2064185F-0951-4CD0-BDF4-3C6BFCA2711B}"/>
    <dgm:cxn modelId="{C26D30F0-954D-4F71-8C1A-FE8E4EDDA73D}" type="presOf" srcId="{28C379F9-AA32-41ED-A99B-1AC6034AA385}" destId="{49F9E345-50CC-4F52-AFB5-C0A28306BF16}" srcOrd="0" destOrd="0" presId="urn:microsoft.com/office/officeart/2005/8/layout/hierarchy2"/>
    <dgm:cxn modelId="{070025F1-E88E-41FB-899C-8A04F4FCAF91}" srcId="{4102858B-66E2-4F4D-8103-BC8FCF77C011}" destId="{76F6ED56-039E-4362-929F-14CA94C44354}" srcOrd="1" destOrd="0" parTransId="{4EF6EBEC-0A1E-4B9E-B648-62EB9C349AA7}" sibTransId="{15E9C307-BB46-42B2-BB17-AEBFEE2AD831}"/>
    <dgm:cxn modelId="{650BADF8-C3DC-4596-B1E5-DB435FDA5C20}" type="presOf" srcId="{1C5200FE-FFA9-4D32-BBCD-D593EE845AF0}" destId="{752E73D5-6F0C-4299-B028-43DCAE9EBF12}" srcOrd="0" destOrd="0" presId="urn:microsoft.com/office/officeart/2005/8/layout/hierarchy2"/>
    <dgm:cxn modelId="{6B3E6EFA-4CF6-4319-AAC1-8245F69C29D2}" type="presOf" srcId="{B63F0C89-71A1-4B60-AC8C-F6015144AA95}" destId="{FDDDA80B-6837-42EE-B31C-6D401D247906}" srcOrd="0" destOrd="0" presId="urn:microsoft.com/office/officeart/2005/8/layout/hierarchy2"/>
    <dgm:cxn modelId="{DAD22DFD-05CA-4330-AD42-A5F28487B037}" srcId="{1F9854BB-22E9-4049-9456-C1C1896FCEC5}" destId="{7A3D1130-4F69-4E59-9ACC-5B640EBD6EFF}" srcOrd="1" destOrd="0" parTransId="{B41AB307-A081-4264-9130-95C84CE88154}" sibTransId="{C78EE015-1D63-4783-95F7-35114C4686DE}"/>
    <dgm:cxn modelId="{D453DFFE-0796-4BE9-AE4E-9930F158B37F}" type="presOf" srcId="{4EF6EBEC-0A1E-4B9E-B648-62EB9C349AA7}" destId="{0A56F2DB-8DE4-4BD5-B764-228B4F527E1A}" srcOrd="1" destOrd="0" presId="urn:microsoft.com/office/officeart/2005/8/layout/hierarchy2"/>
    <dgm:cxn modelId="{C36E318B-0BA6-4057-AE62-55B34185281D}" type="presParOf" srcId="{4DEFB0B5-C8D7-4752-AA4C-317010537328}" destId="{7196CBE0-3640-4DD7-AC5E-27E6006D6C5A}" srcOrd="0" destOrd="0" presId="urn:microsoft.com/office/officeart/2005/8/layout/hierarchy2"/>
    <dgm:cxn modelId="{6F9DAF35-D9A0-46E4-B36E-295CD7C800FD}" type="presParOf" srcId="{7196CBE0-3640-4DD7-AC5E-27E6006D6C5A}" destId="{60D0B9E6-82C7-4381-AE3D-A682BDCF8863}" srcOrd="0" destOrd="0" presId="urn:microsoft.com/office/officeart/2005/8/layout/hierarchy2"/>
    <dgm:cxn modelId="{D19E34A0-F81B-4CB7-9F8C-555FBE5F9E18}" type="presParOf" srcId="{7196CBE0-3640-4DD7-AC5E-27E6006D6C5A}" destId="{8233B2F5-8510-4097-89C8-3D61320F8C19}" srcOrd="1" destOrd="0" presId="urn:microsoft.com/office/officeart/2005/8/layout/hierarchy2"/>
    <dgm:cxn modelId="{E26C902D-BFF9-436C-A676-64123AE5B8EC}" type="presParOf" srcId="{8233B2F5-8510-4097-89C8-3D61320F8C19}" destId="{90D847B5-D5A0-4244-846E-8ADF8BABDEED}" srcOrd="0" destOrd="0" presId="urn:microsoft.com/office/officeart/2005/8/layout/hierarchy2"/>
    <dgm:cxn modelId="{0E5963D7-70E5-493B-A5A8-B53B8C970501}" type="presParOf" srcId="{90D847B5-D5A0-4244-846E-8ADF8BABDEED}" destId="{85EB8BBE-3858-4FF3-9A9C-0BED01FA18BC}" srcOrd="0" destOrd="0" presId="urn:microsoft.com/office/officeart/2005/8/layout/hierarchy2"/>
    <dgm:cxn modelId="{42BCBF6D-009F-4C6E-834F-4F574D5F9B29}" type="presParOf" srcId="{8233B2F5-8510-4097-89C8-3D61320F8C19}" destId="{6E9E233E-39EB-4569-AF1D-76A28B0504EE}" srcOrd="1" destOrd="0" presId="urn:microsoft.com/office/officeart/2005/8/layout/hierarchy2"/>
    <dgm:cxn modelId="{EBC6A0B9-DD39-4B6B-825E-45D3FAD60912}" type="presParOf" srcId="{6E9E233E-39EB-4569-AF1D-76A28B0504EE}" destId="{6C6B7D74-2E3F-42FA-BE1C-9AE309B40A28}" srcOrd="0" destOrd="0" presId="urn:microsoft.com/office/officeart/2005/8/layout/hierarchy2"/>
    <dgm:cxn modelId="{FE400F2E-3F3D-44B4-9F42-7C6E7B7025D8}" type="presParOf" srcId="{6E9E233E-39EB-4569-AF1D-76A28B0504EE}" destId="{5C78518D-1A63-4D18-8CCE-670B580276B4}" srcOrd="1" destOrd="0" presId="urn:microsoft.com/office/officeart/2005/8/layout/hierarchy2"/>
    <dgm:cxn modelId="{134C6794-2E7A-4EA3-927B-7293539FAE34}" type="presParOf" srcId="{5C78518D-1A63-4D18-8CCE-670B580276B4}" destId="{FC40F70A-F5C9-433A-A55D-123A5B28E785}" srcOrd="0" destOrd="0" presId="urn:microsoft.com/office/officeart/2005/8/layout/hierarchy2"/>
    <dgm:cxn modelId="{5BCC0ADA-44CA-4A66-BA3A-003205C385AE}" type="presParOf" srcId="{FC40F70A-F5C9-433A-A55D-123A5B28E785}" destId="{3938B017-FE74-4A39-AFB9-F36E1F3C9CD0}" srcOrd="0" destOrd="0" presId="urn:microsoft.com/office/officeart/2005/8/layout/hierarchy2"/>
    <dgm:cxn modelId="{9B9CBE3B-8C4A-4FC8-ACFD-F2204BB534AB}" type="presParOf" srcId="{5C78518D-1A63-4D18-8CCE-670B580276B4}" destId="{53AD0F57-EA3C-4714-8371-E9DB12E8CB68}" srcOrd="1" destOrd="0" presId="urn:microsoft.com/office/officeart/2005/8/layout/hierarchy2"/>
    <dgm:cxn modelId="{0A254137-932D-4225-B67B-097AF9973C09}" type="presParOf" srcId="{53AD0F57-EA3C-4714-8371-E9DB12E8CB68}" destId="{D65DD3F9-CCB1-44FA-B8E8-39B9016DCB19}" srcOrd="0" destOrd="0" presId="urn:microsoft.com/office/officeart/2005/8/layout/hierarchy2"/>
    <dgm:cxn modelId="{8405904D-8B9B-4B47-A3FA-23C26B7C7032}" type="presParOf" srcId="{53AD0F57-EA3C-4714-8371-E9DB12E8CB68}" destId="{275F2363-88CA-4B3F-8244-F349A2BC576D}" srcOrd="1" destOrd="0" presId="urn:microsoft.com/office/officeart/2005/8/layout/hierarchy2"/>
    <dgm:cxn modelId="{4C32A613-0EDD-4CB0-9317-BF2A30EBA2D3}" type="presParOf" srcId="{275F2363-88CA-4B3F-8244-F349A2BC576D}" destId="{E9013B9B-0814-4824-B7A5-76BC1EEA3FFD}" srcOrd="0" destOrd="0" presId="urn:microsoft.com/office/officeart/2005/8/layout/hierarchy2"/>
    <dgm:cxn modelId="{91297910-DCDB-4101-BD2D-11F33F635FCB}" type="presParOf" srcId="{E9013B9B-0814-4824-B7A5-76BC1EEA3FFD}" destId="{9D010A7E-BD5A-48B4-B2BE-E12A3A55371A}" srcOrd="0" destOrd="0" presId="urn:microsoft.com/office/officeart/2005/8/layout/hierarchy2"/>
    <dgm:cxn modelId="{F2C8C6C6-ED28-40FA-845B-043F3EE7ADEE}" type="presParOf" srcId="{275F2363-88CA-4B3F-8244-F349A2BC576D}" destId="{89338983-973E-41F4-9138-6B3B7AAD4F38}" srcOrd="1" destOrd="0" presId="urn:microsoft.com/office/officeart/2005/8/layout/hierarchy2"/>
    <dgm:cxn modelId="{F5BE46F3-2C39-41CF-B725-CD7810755B50}" type="presParOf" srcId="{89338983-973E-41F4-9138-6B3B7AAD4F38}" destId="{5ADC1B57-59CD-4290-8D3C-1F2B4B01AB44}" srcOrd="0" destOrd="0" presId="urn:microsoft.com/office/officeart/2005/8/layout/hierarchy2"/>
    <dgm:cxn modelId="{110F144E-2508-443B-A9A7-1EB1F3EBC7BA}" type="presParOf" srcId="{89338983-973E-41F4-9138-6B3B7AAD4F38}" destId="{7895928F-01FD-4CDB-9573-0E95FE802AAC}" srcOrd="1" destOrd="0" presId="urn:microsoft.com/office/officeart/2005/8/layout/hierarchy2"/>
    <dgm:cxn modelId="{C7117336-DB4B-4609-95FD-1E92780DD7FC}" type="presParOf" srcId="{7895928F-01FD-4CDB-9573-0E95FE802AAC}" destId="{2AD3D3E2-C6AC-405A-9A8A-D0423B528F9D}" srcOrd="0" destOrd="0" presId="urn:microsoft.com/office/officeart/2005/8/layout/hierarchy2"/>
    <dgm:cxn modelId="{EFA90BE3-1B7D-4386-813E-2F4D98FF9616}" type="presParOf" srcId="{2AD3D3E2-C6AC-405A-9A8A-D0423B528F9D}" destId="{CD486216-BBE7-436F-9D63-9AD1931FF610}" srcOrd="0" destOrd="0" presId="urn:microsoft.com/office/officeart/2005/8/layout/hierarchy2"/>
    <dgm:cxn modelId="{7696F108-4AB8-4AAA-B02D-B054292478D7}" type="presParOf" srcId="{7895928F-01FD-4CDB-9573-0E95FE802AAC}" destId="{30383B94-4B06-4018-92E6-4F9D042D19C3}" srcOrd="1" destOrd="0" presId="urn:microsoft.com/office/officeart/2005/8/layout/hierarchy2"/>
    <dgm:cxn modelId="{D67BC6C7-3F54-4B74-BA05-54E0FFAD66E5}" type="presParOf" srcId="{30383B94-4B06-4018-92E6-4F9D042D19C3}" destId="{267ED168-A2AD-42CE-8538-059248ABFC23}" srcOrd="0" destOrd="0" presId="urn:microsoft.com/office/officeart/2005/8/layout/hierarchy2"/>
    <dgm:cxn modelId="{9F0598E3-000E-4F51-BD47-B0793026C2A2}" type="presParOf" srcId="{30383B94-4B06-4018-92E6-4F9D042D19C3}" destId="{FE554052-42BD-4A93-92E6-642793B7EAF0}" srcOrd="1" destOrd="0" presId="urn:microsoft.com/office/officeart/2005/8/layout/hierarchy2"/>
    <dgm:cxn modelId="{1C545819-8BE7-4583-9BD5-DB861737B3CB}" type="presParOf" srcId="{7895928F-01FD-4CDB-9573-0E95FE802AAC}" destId="{0B134E92-FA95-4B28-BD52-07F1716B3C18}" srcOrd="2" destOrd="0" presId="urn:microsoft.com/office/officeart/2005/8/layout/hierarchy2"/>
    <dgm:cxn modelId="{0440F0C4-B4A3-4A5C-B7DA-1169F926FFEE}" type="presParOf" srcId="{0B134E92-FA95-4B28-BD52-07F1716B3C18}" destId="{84A50755-D473-4C26-B04A-D905E4A37B75}" srcOrd="0" destOrd="0" presId="urn:microsoft.com/office/officeart/2005/8/layout/hierarchy2"/>
    <dgm:cxn modelId="{170F0276-5053-4E0A-8F06-9F0BD96D19DC}" type="presParOf" srcId="{7895928F-01FD-4CDB-9573-0E95FE802AAC}" destId="{9A4DDD95-4DFB-4F8C-AB5F-4A11FB7D7E46}" srcOrd="3" destOrd="0" presId="urn:microsoft.com/office/officeart/2005/8/layout/hierarchy2"/>
    <dgm:cxn modelId="{BD7E1663-EA30-4C36-82C5-990728C4EB74}" type="presParOf" srcId="{9A4DDD95-4DFB-4F8C-AB5F-4A11FB7D7E46}" destId="{DE55BEF5-93B4-4A69-A6D6-1C09C42D422D}" srcOrd="0" destOrd="0" presId="urn:microsoft.com/office/officeart/2005/8/layout/hierarchy2"/>
    <dgm:cxn modelId="{75BD2E5D-AD23-448E-A2B8-681828DEE86D}" type="presParOf" srcId="{9A4DDD95-4DFB-4F8C-AB5F-4A11FB7D7E46}" destId="{4B349A4D-A40F-4693-BD49-325E9CD02E3E}" srcOrd="1" destOrd="0" presId="urn:microsoft.com/office/officeart/2005/8/layout/hierarchy2"/>
    <dgm:cxn modelId="{CC47860E-F73E-4D0A-9AE7-B4B4AB6F05E8}" type="presParOf" srcId="{275F2363-88CA-4B3F-8244-F349A2BC576D}" destId="{53585537-C841-4613-9227-8942CC9F940E}" srcOrd="2" destOrd="0" presId="urn:microsoft.com/office/officeart/2005/8/layout/hierarchy2"/>
    <dgm:cxn modelId="{B348305A-429F-4DC0-88FC-5B3CE75F9F06}" type="presParOf" srcId="{53585537-C841-4613-9227-8942CC9F940E}" destId="{0A56F2DB-8DE4-4BD5-B764-228B4F527E1A}" srcOrd="0" destOrd="0" presId="urn:microsoft.com/office/officeart/2005/8/layout/hierarchy2"/>
    <dgm:cxn modelId="{6DD41365-EF52-4615-A973-0A0E5DE7592F}" type="presParOf" srcId="{275F2363-88CA-4B3F-8244-F349A2BC576D}" destId="{E5A0AD87-FD9A-4CDF-8B24-5669311CFB66}" srcOrd="3" destOrd="0" presId="urn:microsoft.com/office/officeart/2005/8/layout/hierarchy2"/>
    <dgm:cxn modelId="{45CC0C73-ADFE-437C-859E-823C63E536D6}" type="presParOf" srcId="{E5A0AD87-FD9A-4CDF-8B24-5669311CFB66}" destId="{EFD08717-F61D-4FA3-AEAA-43BEC3867CFC}" srcOrd="0" destOrd="0" presId="urn:microsoft.com/office/officeart/2005/8/layout/hierarchy2"/>
    <dgm:cxn modelId="{0DAFD67D-57A9-426B-ACF6-99E9E60DECD9}" type="presParOf" srcId="{E5A0AD87-FD9A-4CDF-8B24-5669311CFB66}" destId="{56D95B27-489D-49A1-A075-6C5D57ACB253}" srcOrd="1" destOrd="0" presId="urn:microsoft.com/office/officeart/2005/8/layout/hierarchy2"/>
    <dgm:cxn modelId="{62970425-962E-4BA8-A8B9-72A9EE9B30F5}" type="presParOf" srcId="{5C78518D-1A63-4D18-8CCE-670B580276B4}" destId="{7940BBF2-D172-46D0-90EF-BFC9EA425F6D}" srcOrd="2" destOrd="0" presId="urn:microsoft.com/office/officeart/2005/8/layout/hierarchy2"/>
    <dgm:cxn modelId="{31435B21-1CBE-45C9-9333-A21BF3625E69}" type="presParOf" srcId="{7940BBF2-D172-46D0-90EF-BFC9EA425F6D}" destId="{6925EB5E-0D47-4481-B6FA-74A76E9D6FD2}" srcOrd="0" destOrd="0" presId="urn:microsoft.com/office/officeart/2005/8/layout/hierarchy2"/>
    <dgm:cxn modelId="{1490A086-6887-43E3-A60B-77FC6C41609F}" type="presParOf" srcId="{5C78518D-1A63-4D18-8CCE-670B580276B4}" destId="{1073CCAF-0555-46C8-BA57-3C388E65B0E0}" srcOrd="3" destOrd="0" presId="urn:microsoft.com/office/officeart/2005/8/layout/hierarchy2"/>
    <dgm:cxn modelId="{63A594D9-C93E-4203-A703-A6DBA717E927}" type="presParOf" srcId="{1073CCAF-0555-46C8-BA57-3C388E65B0E0}" destId="{C33B4FFC-EE71-4E57-B768-C2BD25E243E8}" srcOrd="0" destOrd="0" presId="urn:microsoft.com/office/officeart/2005/8/layout/hierarchy2"/>
    <dgm:cxn modelId="{BA5F5CE0-727D-404B-B994-8149F12D81B0}" type="presParOf" srcId="{1073CCAF-0555-46C8-BA57-3C388E65B0E0}" destId="{B89D9910-ACE9-4879-AF2B-8383B88C5EAB}" srcOrd="1" destOrd="0" presId="urn:microsoft.com/office/officeart/2005/8/layout/hierarchy2"/>
    <dgm:cxn modelId="{73C6B1B1-7EC0-4814-AAB0-819E45F5EC8F}" type="presParOf" srcId="{B89D9910-ACE9-4879-AF2B-8383B88C5EAB}" destId="{AF2C4515-2D24-4ADA-87E3-26CC2F6CC2A6}" srcOrd="0" destOrd="0" presId="urn:microsoft.com/office/officeart/2005/8/layout/hierarchy2"/>
    <dgm:cxn modelId="{7BD3F716-C816-416B-8455-3B57898C3B49}" type="presParOf" srcId="{AF2C4515-2D24-4ADA-87E3-26CC2F6CC2A6}" destId="{C6187C16-B219-43BA-B961-4E030BF7012C}" srcOrd="0" destOrd="0" presId="urn:microsoft.com/office/officeart/2005/8/layout/hierarchy2"/>
    <dgm:cxn modelId="{E82F7E11-F318-4BA0-9D98-5FC9A6B05495}" type="presParOf" srcId="{B89D9910-ACE9-4879-AF2B-8383B88C5EAB}" destId="{6487C83E-50E8-4185-BDAE-15AEBCA01843}" srcOrd="1" destOrd="0" presId="urn:microsoft.com/office/officeart/2005/8/layout/hierarchy2"/>
    <dgm:cxn modelId="{334FC14C-9176-4628-AA8A-64F387C1EF29}" type="presParOf" srcId="{6487C83E-50E8-4185-BDAE-15AEBCA01843}" destId="{8557AC88-9D33-43F5-B999-D618E2615BC6}" srcOrd="0" destOrd="0" presId="urn:microsoft.com/office/officeart/2005/8/layout/hierarchy2"/>
    <dgm:cxn modelId="{DD1DD986-F242-49E0-9F77-199C9CAEA82E}" type="presParOf" srcId="{6487C83E-50E8-4185-BDAE-15AEBCA01843}" destId="{30CCDE8C-DF19-4396-9361-8852FB039470}" srcOrd="1" destOrd="0" presId="urn:microsoft.com/office/officeart/2005/8/layout/hierarchy2"/>
    <dgm:cxn modelId="{646A463C-26BE-4572-B037-22D1AF1D3121}" type="presParOf" srcId="{B89D9910-ACE9-4879-AF2B-8383B88C5EAB}" destId="{E9983D54-FC96-4942-9E52-FC69F6639DD3}" srcOrd="2" destOrd="0" presId="urn:microsoft.com/office/officeart/2005/8/layout/hierarchy2"/>
    <dgm:cxn modelId="{9A5DDBDB-6D4B-40B5-9505-3778F4EE567E}" type="presParOf" srcId="{E9983D54-FC96-4942-9E52-FC69F6639DD3}" destId="{73D4ADA3-7D22-4189-94D1-DD80977A6A2A}" srcOrd="0" destOrd="0" presId="urn:microsoft.com/office/officeart/2005/8/layout/hierarchy2"/>
    <dgm:cxn modelId="{0F1B5689-868C-49C8-A19F-77F16B28021C}" type="presParOf" srcId="{B89D9910-ACE9-4879-AF2B-8383B88C5EAB}" destId="{BCEB44F5-7B51-43BA-92F2-B996C0D77E95}" srcOrd="3" destOrd="0" presId="urn:microsoft.com/office/officeart/2005/8/layout/hierarchy2"/>
    <dgm:cxn modelId="{234D2068-D110-4F88-9E50-12D0454DB1BB}" type="presParOf" srcId="{BCEB44F5-7B51-43BA-92F2-B996C0D77E95}" destId="{2F8B85E9-6CF6-4115-A357-ABFC584D494E}" srcOrd="0" destOrd="0" presId="urn:microsoft.com/office/officeart/2005/8/layout/hierarchy2"/>
    <dgm:cxn modelId="{D8B87136-6CA6-4F7C-837E-74E0D7780FC1}" type="presParOf" srcId="{BCEB44F5-7B51-43BA-92F2-B996C0D77E95}" destId="{4DD9F4D5-BBE5-4F26-AAC2-6ED377E82665}" srcOrd="1" destOrd="0" presId="urn:microsoft.com/office/officeart/2005/8/layout/hierarchy2"/>
    <dgm:cxn modelId="{4C81E1E9-10FD-415D-9927-33D6BB98F0F0}" type="presParOf" srcId="{8233B2F5-8510-4097-89C8-3D61320F8C19}" destId="{1903229A-54A0-45D6-928C-45BC37FEA4DB}" srcOrd="2" destOrd="0" presId="urn:microsoft.com/office/officeart/2005/8/layout/hierarchy2"/>
    <dgm:cxn modelId="{118FE2E3-1898-40C5-A251-B94A7987855E}" type="presParOf" srcId="{1903229A-54A0-45D6-928C-45BC37FEA4DB}" destId="{CA7302ED-9C8F-459D-8E1B-FFC4D6AECEC7}" srcOrd="0" destOrd="0" presId="urn:microsoft.com/office/officeart/2005/8/layout/hierarchy2"/>
    <dgm:cxn modelId="{9E5F165B-D3DC-4660-AFA8-A1AA2F2BC72F}" type="presParOf" srcId="{8233B2F5-8510-4097-89C8-3D61320F8C19}" destId="{1E9A198D-4982-4F46-9C28-E527F4EF95FC}" srcOrd="3" destOrd="0" presId="urn:microsoft.com/office/officeart/2005/8/layout/hierarchy2"/>
    <dgm:cxn modelId="{818D176D-DF76-45FE-8038-668D162244EA}" type="presParOf" srcId="{1E9A198D-4982-4F46-9C28-E527F4EF95FC}" destId="{3FBAFE53-594D-4D03-B138-006A0BB47A9C}" srcOrd="0" destOrd="0" presId="urn:microsoft.com/office/officeart/2005/8/layout/hierarchy2"/>
    <dgm:cxn modelId="{F6A6195C-F8AB-4300-B7D4-C8B80D2D11D6}" type="presParOf" srcId="{1E9A198D-4982-4F46-9C28-E527F4EF95FC}" destId="{5CA2DD91-821B-463E-87A4-736D923BF3F3}" srcOrd="1" destOrd="0" presId="urn:microsoft.com/office/officeart/2005/8/layout/hierarchy2"/>
    <dgm:cxn modelId="{AF7CBFFC-DCF0-45C3-905C-B927A9B646C7}" type="presParOf" srcId="{5CA2DD91-821B-463E-87A4-736D923BF3F3}" destId="{1877F5C3-3D89-4C58-A1F1-078525DE5F22}" srcOrd="0" destOrd="0" presId="urn:microsoft.com/office/officeart/2005/8/layout/hierarchy2"/>
    <dgm:cxn modelId="{C0685243-7DE1-4E4D-B4B5-85257BF1112E}" type="presParOf" srcId="{1877F5C3-3D89-4C58-A1F1-078525DE5F22}" destId="{1EF76CB9-B85D-4288-B228-1684949A83BF}" srcOrd="0" destOrd="0" presId="urn:microsoft.com/office/officeart/2005/8/layout/hierarchy2"/>
    <dgm:cxn modelId="{723A5530-44BB-49C5-9BF6-4248D63D62AD}" type="presParOf" srcId="{5CA2DD91-821B-463E-87A4-736D923BF3F3}" destId="{0BDED2F4-357F-4D70-8B64-875DE69D1646}" srcOrd="1" destOrd="0" presId="urn:microsoft.com/office/officeart/2005/8/layout/hierarchy2"/>
    <dgm:cxn modelId="{7BA604C1-017A-49AC-91FA-F137347CDA04}" type="presParOf" srcId="{0BDED2F4-357F-4D70-8B64-875DE69D1646}" destId="{752E73D5-6F0C-4299-B028-43DCAE9EBF12}" srcOrd="0" destOrd="0" presId="urn:microsoft.com/office/officeart/2005/8/layout/hierarchy2"/>
    <dgm:cxn modelId="{E728CCFD-D2E7-4D87-A4B3-6F7337BF9DB7}" type="presParOf" srcId="{0BDED2F4-357F-4D70-8B64-875DE69D1646}" destId="{79A093DA-760D-426C-A06C-7B0D90B6EF5C}" srcOrd="1" destOrd="0" presId="urn:microsoft.com/office/officeart/2005/8/layout/hierarchy2"/>
    <dgm:cxn modelId="{30B5E539-7841-477F-A240-929D88D45F69}" type="presParOf" srcId="{79A093DA-760D-426C-A06C-7B0D90B6EF5C}" destId="{49F9E345-50CC-4F52-AFB5-C0A28306BF16}" srcOrd="0" destOrd="0" presId="urn:microsoft.com/office/officeart/2005/8/layout/hierarchy2"/>
    <dgm:cxn modelId="{FB0CB026-20F1-4F46-AB63-4586818543C1}" type="presParOf" srcId="{49F9E345-50CC-4F52-AFB5-C0A28306BF16}" destId="{7B531297-ACDD-496E-AA2F-404F042F5E9B}" srcOrd="0" destOrd="0" presId="urn:microsoft.com/office/officeart/2005/8/layout/hierarchy2"/>
    <dgm:cxn modelId="{B2F1ACAD-B9D7-4F65-BC63-ECC47EB10BEC}" type="presParOf" srcId="{79A093DA-760D-426C-A06C-7B0D90B6EF5C}" destId="{8E5DF56D-31A9-4333-A41E-8016315036D8}" srcOrd="1" destOrd="0" presId="urn:microsoft.com/office/officeart/2005/8/layout/hierarchy2"/>
    <dgm:cxn modelId="{EE5E060D-32E6-4C69-91D0-E4E9AADD3EC7}" type="presParOf" srcId="{8E5DF56D-31A9-4333-A41E-8016315036D8}" destId="{F37F940C-FB29-4D0E-B70D-83659D265A1E}" srcOrd="0" destOrd="0" presId="urn:microsoft.com/office/officeart/2005/8/layout/hierarchy2"/>
    <dgm:cxn modelId="{614D73FC-D215-4322-9DB4-EC10842DD291}" type="presParOf" srcId="{8E5DF56D-31A9-4333-A41E-8016315036D8}" destId="{CC0A6393-5FD2-4949-BF83-87FC5FEE6DFD}" srcOrd="1" destOrd="0" presId="urn:microsoft.com/office/officeart/2005/8/layout/hierarchy2"/>
    <dgm:cxn modelId="{8DAB9A7B-5E60-4D4F-93A7-30BC72C65894}" type="presParOf" srcId="{79A093DA-760D-426C-A06C-7B0D90B6EF5C}" destId="{FDDDA80B-6837-42EE-B31C-6D401D247906}" srcOrd="2" destOrd="0" presId="urn:microsoft.com/office/officeart/2005/8/layout/hierarchy2"/>
    <dgm:cxn modelId="{80A9DBF1-8BB2-4EB1-8409-67FAD3F9C3B0}" type="presParOf" srcId="{FDDDA80B-6837-42EE-B31C-6D401D247906}" destId="{3F9259DF-0F1B-4774-9C39-78543A209636}" srcOrd="0" destOrd="0" presId="urn:microsoft.com/office/officeart/2005/8/layout/hierarchy2"/>
    <dgm:cxn modelId="{FF65BDCF-7026-4D00-97DE-75A0BA72E5C2}" type="presParOf" srcId="{79A093DA-760D-426C-A06C-7B0D90B6EF5C}" destId="{87C1E6F8-6409-4218-9FCC-DB5D88BB9588}" srcOrd="3" destOrd="0" presId="urn:microsoft.com/office/officeart/2005/8/layout/hierarchy2"/>
    <dgm:cxn modelId="{3E8F6CA1-C05D-4A87-B1D7-030783CF7D11}" type="presParOf" srcId="{87C1E6F8-6409-4218-9FCC-DB5D88BB9588}" destId="{24F6AB9A-C44D-402F-B1AF-B011B11524E7}" srcOrd="0" destOrd="0" presId="urn:microsoft.com/office/officeart/2005/8/layout/hierarchy2"/>
    <dgm:cxn modelId="{C3EC73F9-2937-400C-978C-5488E294DF7E}" type="presParOf" srcId="{87C1E6F8-6409-4218-9FCC-DB5D88BB9588}" destId="{A18E93E9-CA62-4799-A4A4-4AD8D80E1A86}" srcOrd="1" destOrd="0" presId="urn:microsoft.com/office/officeart/2005/8/layout/hierarchy2"/>
    <dgm:cxn modelId="{61FFB0F0-B022-43D0-8ADA-253F7F03614F}" type="presParOf" srcId="{A18E93E9-CA62-4799-A4A4-4AD8D80E1A86}" destId="{8E7158E1-294C-4D33-8216-7B1B69CB68C3}" srcOrd="0" destOrd="0" presId="urn:microsoft.com/office/officeart/2005/8/layout/hierarchy2"/>
    <dgm:cxn modelId="{8FCC7342-E515-449F-8DF3-12DF9B5AF9E4}" type="presParOf" srcId="{8E7158E1-294C-4D33-8216-7B1B69CB68C3}" destId="{52BC655F-4439-4A83-9224-76B8EA86E89C}" srcOrd="0" destOrd="0" presId="urn:microsoft.com/office/officeart/2005/8/layout/hierarchy2"/>
    <dgm:cxn modelId="{27C8D812-8272-4A48-BD27-FD2777FAC89D}" type="presParOf" srcId="{A18E93E9-CA62-4799-A4A4-4AD8D80E1A86}" destId="{B5EFA412-D4E9-4CBE-B979-90592A645687}" srcOrd="1" destOrd="0" presId="urn:microsoft.com/office/officeart/2005/8/layout/hierarchy2"/>
    <dgm:cxn modelId="{0ABC159E-6126-496B-AD0D-2B189D934151}" type="presParOf" srcId="{B5EFA412-D4E9-4CBE-B979-90592A645687}" destId="{778776B0-6F5E-4A58-93D8-59BB3630F525}" srcOrd="0" destOrd="0" presId="urn:microsoft.com/office/officeart/2005/8/layout/hierarchy2"/>
    <dgm:cxn modelId="{2FF8157E-5036-4CD6-8B60-AAF13BA8A217}" type="presParOf" srcId="{B5EFA412-D4E9-4CBE-B979-90592A645687}" destId="{0BF4897C-6CFA-4F84-9ACC-1BC6F5C8803C}" srcOrd="1" destOrd="0" presId="urn:microsoft.com/office/officeart/2005/8/layout/hierarchy2"/>
    <dgm:cxn modelId="{D922ECD3-AA7C-444E-93E3-3D5095EE6548}" type="presParOf" srcId="{A18E93E9-CA62-4799-A4A4-4AD8D80E1A86}" destId="{872C3E18-8C9D-4F32-84A6-2F9FD09D9194}" srcOrd="2" destOrd="0" presId="urn:microsoft.com/office/officeart/2005/8/layout/hierarchy2"/>
    <dgm:cxn modelId="{4E10784F-3505-4896-AE25-07D1018CA6D8}" type="presParOf" srcId="{872C3E18-8C9D-4F32-84A6-2F9FD09D9194}" destId="{E1AA0858-9124-4767-864C-EA93C50B6113}" srcOrd="0" destOrd="0" presId="urn:microsoft.com/office/officeart/2005/8/layout/hierarchy2"/>
    <dgm:cxn modelId="{DB05F64D-CE39-45ED-993A-1EDCE498CC56}" type="presParOf" srcId="{A18E93E9-CA62-4799-A4A4-4AD8D80E1A86}" destId="{EECC6F63-839C-4201-B114-BF0C097D59AC}" srcOrd="3" destOrd="0" presId="urn:microsoft.com/office/officeart/2005/8/layout/hierarchy2"/>
    <dgm:cxn modelId="{B0512AF9-80A7-464D-A2DF-536CF884ED89}" type="presParOf" srcId="{EECC6F63-839C-4201-B114-BF0C097D59AC}" destId="{D0953BFD-A9E5-445A-879D-994B68DDBF16}" srcOrd="0" destOrd="0" presId="urn:microsoft.com/office/officeart/2005/8/layout/hierarchy2"/>
    <dgm:cxn modelId="{69B3C669-0C19-4D4C-8926-5056BF2D7AAF}" type="presParOf" srcId="{EECC6F63-839C-4201-B114-BF0C097D59AC}" destId="{AFC6AE23-FD16-4D24-BB46-F9AEFED52B8B}" srcOrd="1" destOrd="0" presId="urn:microsoft.com/office/officeart/2005/8/layout/hierarchy2"/>
    <dgm:cxn modelId="{F0301ADA-47C3-4615-B280-04FB7F92ED8C}" type="presParOf" srcId="{5CA2DD91-821B-463E-87A4-736D923BF3F3}" destId="{BF03BE95-0191-487A-81D4-7B1464A84271}" srcOrd="2" destOrd="0" presId="urn:microsoft.com/office/officeart/2005/8/layout/hierarchy2"/>
    <dgm:cxn modelId="{A2B98FA7-6176-45F9-9395-45FEA69936FE}" type="presParOf" srcId="{BF03BE95-0191-487A-81D4-7B1464A84271}" destId="{E2510D0A-ED97-4A1D-BC86-C5879F26A917}" srcOrd="0" destOrd="0" presId="urn:microsoft.com/office/officeart/2005/8/layout/hierarchy2"/>
    <dgm:cxn modelId="{F6D4AA54-DF10-465A-A238-CA504599650E}" type="presParOf" srcId="{5CA2DD91-821B-463E-87A4-736D923BF3F3}" destId="{7DBC28C9-8069-4EE0-B0D9-0A87156DA63F}" srcOrd="3" destOrd="0" presId="urn:microsoft.com/office/officeart/2005/8/layout/hierarchy2"/>
    <dgm:cxn modelId="{46965E90-7020-4A28-8ED3-9C7199668E9B}" type="presParOf" srcId="{7DBC28C9-8069-4EE0-B0D9-0A87156DA63F}" destId="{C0A2D960-AF5A-445D-AE5F-800B8AC365D3}" srcOrd="0" destOrd="0" presId="urn:microsoft.com/office/officeart/2005/8/layout/hierarchy2"/>
    <dgm:cxn modelId="{4462E69C-7B7A-40CC-AFEB-1787A99E5FDD}" type="presParOf" srcId="{7DBC28C9-8069-4EE0-B0D9-0A87156DA63F}" destId="{DCB5F6A8-FF9A-4C1A-B134-D2FF44F1389E}" srcOrd="1" destOrd="0" presId="urn:microsoft.com/office/officeart/2005/8/layout/hierarchy2"/>
  </dgm:cxnLst>
  <dgm:bg>
    <a:effectLst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0D0B9E6-82C7-4381-AE3D-A682BDCF8863}">
      <dsp:nvSpPr>
        <dsp:cNvPr id="0" name=""/>
        <dsp:cNvSpPr/>
      </dsp:nvSpPr>
      <dsp:spPr>
        <a:xfrm>
          <a:off x="11048" y="3528933"/>
          <a:ext cx="1612462" cy="54404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 dirty="0"/>
            <a:t>Do the interiors of </a:t>
          </a: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and </a:t>
          </a:r>
          <a:r>
            <a:rPr lang="en-US" sz="1400" b="1" kern="1200" dirty="0">
              <a:solidFill>
                <a:srgbClr val="00B050"/>
              </a:solidFill>
            </a:rPr>
            <a:t>B </a:t>
          </a:r>
          <a:r>
            <a:rPr lang="en-US" sz="1400" kern="1200" dirty="0"/>
            <a:t>overlap?</a:t>
          </a:r>
        </a:p>
      </dsp:txBody>
      <dsp:txXfrm>
        <a:off x="26983" y="3544868"/>
        <a:ext cx="1580592" cy="512176"/>
      </dsp:txXfrm>
    </dsp:sp>
    <dsp:sp modelId="{90D847B5-D5A0-4244-846E-8ADF8BABDEED}">
      <dsp:nvSpPr>
        <dsp:cNvPr id="0" name=""/>
        <dsp:cNvSpPr/>
      </dsp:nvSpPr>
      <dsp:spPr>
        <a:xfrm rot="17807132">
          <a:off x="1061005" y="2871180"/>
          <a:ext cx="2047903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900757" y="15695"/>
              </a:lnTo>
            </a:path>
            <a:path>
              <a:moveTo>
                <a:pt x="1147146" y="15695"/>
              </a:moveTo>
              <a:lnTo>
                <a:pt x="2047903" y="15695"/>
              </a:lnTo>
            </a:path>
          </a:pathLst>
        </a:custGeom>
        <a:noFill/>
        <a:ln w="25400" cap="flat" cmpd="sng" algn="ctr">
          <a:solidFill>
            <a:schemeClr val="accent2">
              <a:lumMod val="75000"/>
            </a:schemeClr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1961763" y="2688484"/>
        <a:ext cx="246388" cy="396781"/>
      </dsp:txXfrm>
    </dsp:sp>
    <dsp:sp modelId="{6C6B7D74-2E3F-42FA-BE1C-9AE309B40A28}">
      <dsp:nvSpPr>
        <dsp:cNvPr id="0" name=""/>
        <dsp:cNvSpPr/>
      </dsp:nvSpPr>
      <dsp:spPr>
        <a:xfrm>
          <a:off x="2546403" y="1646949"/>
          <a:ext cx="1621923" cy="65168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 dirty="0"/>
            <a:t>Does the border of </a:t>
          </a: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overlap with the border of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r>
            <a:rPr lang="en-US" sz="1400" kern="1200" dirty="0"/>
            <a:t>? </a:t>
          </a:r>
          <a:endParaRPr lang="en-CA" sz="1400" kern="1200" dirty="0"/>
        </a:p>
      </dsp:txBody>
      <dsp:txXfrm>
        <a:off x="2565490" y="1666036"/>
        <a:ext cx="1583749" cy="613515"/>
      </dsp:txXfrm>
    </dsp:sp>
    <dsp:sp modelId="{FC40F70A-F5C9-433A-A55D-123A5B28E785}">
      <dsp:nvSpPr>
        <dsp:cNvPr id="0" name=""/>
        <dsp:cNvSpPr/>
      </dsp:nvSpPr>
      <dsp:spPr>
        <a:xfrm rot="19063821">
          <a:off x="4008998" y="1544933"/>
          <a:ext cx="1225550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481603" y="15695"/>
              </a:lnTo>
            </a:path>
            <a:path>
              <a:moveTo>
                <a:pt x="743947" y="15695"/>
              </a:moveTo>
              <a:lnTo>
                <a:pt x="1225550" y="15695"/>
              </a:lnTo>
            </a:path>
          </a:pathLst>
        </a:custGeom>
        <a:noFill/>
        <a:ln w="25400" cap="flat" cmpd="sng" algn="ctr">
          <a:solidFill>
            <a:schemeClr val="accent2">
              <a:lumMod val="75000"/>
            </a:schemeClr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4490601" y="1407434"/>
        <a:ext cx="262344" cy="306387"/>
      </dsp:txXfrm>
    </dsp:sp>
    <dsp:sp modelId="{D65DD3F9-CCB1-44FA-B8E8-39B9016DCB19}">
      <dsp:nvSpPr>
        <dsp:cNvPr id="0" name=""/>
        <dsp:cNvSpPr/>
      </dsp:nvSpPr>
      <dsp:spPr>
        <a:xfrm>
          <a:off x="5075219" y="844439"/>
          <a:ext cx="1621923" cy="60804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400" kern="1200" dirty="0"/>
            <a:t>Does the external boundary </a:t>
          </a:r>
          <a:r>
            <a:rPr lang="en-US" sz="1400" kern="1200" dirty="0"/>
            <a:t>of </a:t>
          </a:r>
          <a:r>
            <a:rPr lang="en-US" sz="1400" b="1" kern="1200" dirty="0">
              <a:solidFill>
                <a:srgbClr val="00B0F0"/>
              </a:solidFill>
            </a:rPr>
            <a:t>A </a:t>
          </a:r>
          <a:r>
            <a:rPr lang="en-US" sz="1400" kern="1200" dirty="0"/>
            <a:t>encompass all of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r>
            <a:rPr lang="en-US" sz="1400" kern="1200" dirty="0"/>
            <a:t>?</a:t>
          </a:r>
          <a:endParaRPr lang="en-CA" sz="1400" kern="1200" dirty="0"/>
        </a:p>
      </dsp:txBody>
      <dsp:txXfrm>
        <a:off x="5093028" y="862248"/>
        <a:ext cx="1586305" cy="572429"/>
      </dsp:txXfrm>
    </dsp:sp>
    <dsp:sp modelId="{E9013B9B-0814-4824-B7A5-76BC1EEA3FFD}">
      <dsp:nvSpPr>
        <dsp:cNvPr id="0" name=""/>
        <dsp:cNvSpPr/>
      </dsp:nvSpPr>
      <dsp:spPr>
        <a:xfrm rot="20173412">
          <a:off x="6652232" y="919431"/>
          <a:ext cx="1058296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403475" y="15695"/>
              </a:lnTo>
            </a:path>
            <a:path>
              <a:moveTo>
                <a:pt x="654821" y="15695"/>
              </a:moveTo>
              <a:lnTo>
                <a:pt x="1058296" y="15695"/>
              </a:lnTo>
            </a:path>
          </a:pathLst>
        </a:custGeom>
        <a:noFill/>
        <a:ln w="25400" cap="flat" cmpd="sng" algn="ctr">
          <a:solidFill>
            <a:schemeClr val="accent2">
              <a:lumMod val="75000"/>
            </a:schemeClr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7055707" y="802839"/>
        <a:ext cx="251345" cy="264574"/>
      </dsp:txXfrm>
    </dsp:sp>
    <dsp:sp modelId="{5ADC1B57-59CD-4290-8D3C-1F2B4B01AB44}">
      <dsp:nvSpPr>
        <dsp:cNvPr id="0" name=""/>
        <dsp:cNvSpPr/>
      </dsp:nvSpPr>
      <dsp:spPr>
        <a:xfrm>
          <a:off x="7665617" y="419544"/>
          <a:ext cx="1828778" cy="60449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 dirty="0"/>
            <a:t>Does the convex hull of </a:t>
          </a: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contain all of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r>
            <a:rPr lang="en-US" sz="1400" kern="1200" dirty="0"/>
            <a:t>?</a:t>
          </a:r>
          <a:endParaRPr lang="en-CA" sz="1400" kern="1200" dirty="0"/>
        </a:p>
      </dsp:txBody>
      <dsp:txXfrm>
        <a:off x="7683322" y="437249"/>
        <a:ext cx="1793368" cy="569080"/>
      </dsp:txXfrm>
    </dsp:sp>
    <dsp:sp modelId="{2AD3D3E2-C6AC-405A-9A8A-D0423B528F9D}">
      <dsp:nvSpPr>
        <dsp:cNvPr id="0" name=""/>
        <dsp:cNvSpPr/>
      </dsp:nvSpPr>
      <dsp:spPr>
        <a:xfrm rot="20362827">
          <a:off x="9461425" y="524849"/>
          <a:ext cx="1029335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392434" y="15695"/>
              </a:lnTo>
            </a:path>
            <a:path>
              <a:moveTo>
                <a:pt x="636901" y="15695"/>
              </a:moveTo>
              <a:lnTo>
                <a:pt x="1029335" y="15695"/>
              </a:lnTo>
            </a:path>
          </a:pathLst>
        </a:custGeom>
        <a:noFill/>
        <a:ln w="25400" cap="flat" cmpd="sng" algn="ctr">
          <a:solidFill>
            <a:schemeClr val="accent2">
              <a:lumMod val="75000"/>
            </a:schemeClr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9853860" y="411877"/>
        <a:ext cx="244467" cy="257333"/>
      </dsp:txXfrm>
    </dsp:sp>
    <dsp:sp modelId="{267ED168-A2AD-42CE-8538-059248ABFC23}">
      <dsp:nvSpPr>
        <dsp:cNvPr id="0" name=""/>
        <dsp:cNvSpPr/>
      </dsp:nvSpPr>
      <dsp:spPr>
        <a:xfrm>
          <a:off x="10457791" y="122077"/>
          <a:ext cx="1621923" cy="4744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ts val="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is </a:t>
          </a:r>
          <a:r>
            <a:rPr lang="en-US" sz="1400" i="1" kern="1200" dirty="0"/>
            <a:t>Disjoint</a:t>
          </a:r>
          <a:r>
            <a:rPr lang="en-US" sz="1400" kern="1200" dirty="0"/>
            <a:t> 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 dirty="0"/>
            <a:t>with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r>
            <a:rPr lang="en-US" sz="1400" kern="1200" dirty="0"/>
            <a:t> </a:t>
          </a:r>
          <a:endParaRPr lang="en-CA" sz="1400" kern="1200" dirty="0"/>
        </a:p>
      </dsp:txBody>
      <dsp:txXfrm>
        <a:off x="10471687" y="135973"/>
        <a:ext cx="1594131" cy="446648"/>
      </dsp:txXfrm>
    </dsp:sp>
    <dsp:sp modelId="{0B134E92-FA95-4B28-BD52-07F1716B3C18}">
      <dsp:nvSpPr>
        <dsp:cNvPr id="0" name=""/>
        <dsp:cNvSpPr/>
      </dsp:nvSpPr>
      <dsp:spPr>
        <a:xfrm rot="1420745">
          <a:off x="9449673" y="919431"/>
          <a:ext cx="1062397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380138" y="15695"/>
              </a:lnTo>
            </a:path>
            <a:path>
              <a:moveTo>
                <a:pt x="682258" y="15695"/>
              </a:moveTo>
              <a:lnTo>
                <a:pt x="1062397" y="15695"/>
              </a:lnTo>
            </a:path>
          </a:pathLst>
        </a:custGeom>
        <a:noFill/>
        <a:ln w="25400" cap="flat" cmpd="sng" algn="ctr">
          <a:solidFill>
            <a:srgbClr val="0070C0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9829812" y="802327"/>
        <a:ext cx="302119" cy="265599"/>
      </dsp:txXfrm>
    </dsp:sp>
    <dsp:sp modelId="{DE55BEF5-93B4-4A69-A6D6-1C09C42D422D}">
      <dsp:nvSpPr>
        <dsp:cNvPr id="0" name=""/>
        <dsp:cNvSpPr/>
      </dsp:nvSpPr>
      <dsp:spPr>
        <a:xfrm>
          <a:off x="10467348" y="1013748"/>
          <a:ext cx="1621923" cy="26943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Shelters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endParaRPr lang="en-CA" sz="1400" kern="1200" dirty="0"/>
        </a:p>
      </dsp:txBody>
      <dsp:txXfrm>
        <a:off x="10475239" y="1021639"/>
        <a:ext cx="1606141" cy="253648"/>
      </dsp:txXfrm>
    </dsp:sp>
    <dsp:sp modelId="{53585537-C841-4613-9227-8942CC9F940E}">
      <dsp:nvSpPr>
        <dsp:cNvPr id="0" name=""/>
        <dsp:cNvSpPr/>
      </dsp:nvSpPr>
      <dsp:spPr>
        <a:xfrm rot="1854996">
          <a:off x="6617188" y="1421893"/>
          <a:ext cx="1125461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415893" y="15695"/>
              </a:lnTo>
            </a:path>
            <a:path>
              <a:moveTo>
                <a:pt x="709568" y="15695"/>
              </a:moveTo>
              <a:lnTo>
                <a:pt x="1125461" y="15695"/>
              </a:lnTo>
            </a:path>
          </a:pathLst>
        </a:custGeom>
        <a:noFill/>
        <a:ln w="25400" cap="flat" cmpd="sng" algn="ctr">
          <a:solidFill>
            <a:srgbClr val="0070C0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7033081" y="1296905"/>
        <a:ext cx="293675" cy="281365"/>
      </dsp:txXfrm>
    </dsp:sp>
    <dsp:sp modelId="{EFD08717-F61D-4FA3-AEAA-43BEC3867CFC}">
      <dsp:nvSpPr>
        <dsp:cNvPr id="0" name=""/>
        <dsp:cNvSpPr/>
      </dsp:nvSpPr>
      <dsp:spPr>
        <a:xfrm>
          <a:off x="7662695" y="1591998"/>
          <a:ext cx="1828778" cy="26943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</a:t>
          </a:r>
          <a:r>
            <a:rPr lang="en-US" sz="1400" i="1" kern="1200" dirty="0"/>
            <a:t>Surrounds</a:t>
          </a:r>
          <a:r>
            <a:rPr lang="en-US" sz="1400" kern="1200" dirty="0"/>
            <a:t>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endParaRPr lang="en-CA" sz="1400" b="1" kern="1200" dirty="0">
            <a:solidFill>
              <a:srgbClr val="00B050"/>
            </a:solidFill>
          </a:endParaRPr>
        </a:p>
      </dsp:txBody>
      <dsp:txXfrm>
        <a:off x="7670586" y="1599889"/>
        <a:ext cx="1812996" cy="253648"/>
      </dsp:txXfrm>
    </dsp:sp>
    <dsp:sp modelId="{7940BBF2-D172-46D0-90EF-BFC9EA425F6D}">
      <dsp:nvSpPr>
        <dsp:cNvPr id="0" name=""/>
        <dsp:cNvSpPr/>
      </dsp:nvSpPr>
      <dsp:spPr>
        <a:xfrm rot="2927713">
          <a:off x="3905949" y="2535572"/>
          <a:ext cx="1537758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622311" y="15695"/>
              </a:lnTo>
            </a:path>
            <a:path>
              <a:moveTo>
                <a:pt x="915446" y="15695"/>
              </a:moveTo>
              <a:lnTo>
                <a:pt x="1537758" y="15695"/>
              </a:lnTo>
            </a:path>
          </a:pathLst>
        </a:custGeom>
        <a:noFill/>
        <a:ln w="25400" cap="flat" cmpd="sng" algn="ctr">
          <a:solidFill>
            <a:srgbClr val="0070C0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4528260" y="2359047"/>
        <a:ext cx="293135" cy="384439"/>
      </dsp:txXfrm>
    </dsp:sp>
    <dsp:sp modelId="{C33B4FFC-EE71-4E57-B768-C2BD25E243E8}">
      <dsp:nvSpPr>
        <dsp:cNvPr id="0" name=""/>
        <dsp:cNvSpPr/>
      </dsp:nvSpPr>
      <dsp:spPr>
        <a:xfrm>
          <a:off x="5181329" y="2825717"/>
          <a:ext cx="1621923" cy="60804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400" kern="1200" dirty="0"/>
            <a:t>Does the external boundary </a:t>
          </a:r>
          <a:r>
            <a:rPr lang="en-US" sz="1400" kern="1200" dirty="0"/>
            <a:t>of </a:t>
          </a:r>
          <a:r>
            <a:rPr lang="en-US" sz="1400" b="1" kern="1200" dirty="0">
              <a:solidFill>
                <a:srgbClr val="00B0F0"/>
              </a:solidFill>
            </a:rPr>
            <a:t>A </a:t>
          </a:r>
          <a:r>
            <a:rPr lang="en-US" sz="1400" kern="1200" dirty="0"/>
            <a:t>encompass all of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r>
            <a:rPr lang="en-US" sz="1400" kern="1200" dirty="0"/>
            <a:t>?</a:t>
          </a:r>
          <a:endParaRPr lang="en-CA" sz="1400" b="1" kern="1200" dirty="0">
            <a:solidFill>
              <a:srgbClr val="00B050"/>
            </a:solidFill>
          </a:endParaRPr>
        </a:p>
      </dsp:txBody>
      <dsp:txXfrm>
        <a:off x="5199138" y="2843526"/>
        <a:ext cx="1586305" cy="572429"/>
      </dsp:txXfrm>
    </dsp:sp>
    <dsp:sp modelId="{AF2C4515-2D24-4ADA-87E3-26CC2F6CC2A6}">
      <dsp:nvSpPr>
        <dsp:cNvPr id="0" name=""/>
        <dsp:cNvSpPr/>
      </dsp:nvSpPr>
      <dsp:spPr>
        <a:xfrm rot="20010305">
          <a:off x="6753858" y="2904230"/>
          <a:ext cx="940627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347591" y="15695"/>
              </a:lnTo>
            </a:path>
            <a:path>
              <a:moveTo>
                <a:pt x="593036" y="15695"/>
              </a:moveTo>
              <a:lnTo>
                <a:pt x="940627" y="15695"/>
              </a:lnTo>
            </a:path>
          </a:pathLst>
        </a:custGeom>
        <a:noFill/>
        <a:ln w="25400" cap="flat" cmpd="sng" algn="ctr">
          <a:solidFill>
            <a:schemeClr val="accent2">
              <a:lumMod val="75000"/>
            </a:schemeClr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7101449" y="2802347"/>
        <a:ext cx="245444" cy="235156"/>
      </dsp:txXfrm>
    </dsp:sp>
    <dsp:sp modelId="{8557AC88-9D33-43F5-B999-D618E2615BC6}">
      <dsp:nvSpPr>
        <dsp:cNvPr id="0" name=""/>
        <dsp:cNvSpPr/>
      </dsp:nvSpPr>
      <dsp:spPr>
        <a:xfrm>
          <a:off x="7645090" y="2575395"/>
          <a:ext cx="1828778" cy="26943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</a:t>
          </a:r>
          <a:r>
            <a:rPr lang="en-CA" sz="1400" i="1" kern="1200" dirty="0"/>
            <a:t>Borders</a:t>
          </a:r>
          <a:r>
            <a:rPr lang="en-CA" sz="1400" kern="1200" dirty="0"/>
            <a:t>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endParaRPr lang="en-CA" sz="1400" kern="1200" dirty="0"/>
        </a:p>
      </dsp:txBody>
      <dsp:txXfrm>
        <a:off x="7652981" y="2583286"/>
        <a:ext cx="1812996" cy="253648"/>
      </dsp:txXfrm>
    </dsp:sp>
    <dsp:sp modelId="{E9983D54-FC96-4942-9E52-FC69F6639DD3}">
      <dsp:nvSpPr>
        <dsp:cNvPr id="0" name=""/>
        <dsp:cNvSpPr/>
      </dsp:nvSpPr>
      <dsp:spPr>
        <a:xfrm rot="2032689">
          <a:off x="6716198" y="3399875"/>
          <a:ext cx="1025526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354928" y="15695"/>
              </a:lnTo>
            </a:path>
            <a:path>
              <a:moveTo>
                <a:pt x="670598" y="15695"/>
              </a:moveTo>
              <a:lnTo>
                <a:pt x="1025526" y="15695"/>
              </a:lnTo>
            </a:path>
          </a:pathLst>
        </a:custGeom>
        <a:noFill/>
        <a:ln w="25400" cap="flat" cmpd="sng" algn="ctr">
          <a:solidFill>
            <a:srgbClr val="0070C0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7071127" y="3287379"/>
        <a:ext cx="315669" cy="256381"/>
      </dsp:txXfrm>
    </dsp:sp>
    <dsp:sp modelId="{2F8B85E9-6CF6-4115-A357-ABFC584D494E}">
      <dsp:nvSpPr>
        <dsp:cNvPr id="0" name=""/>
        <dsp:cNvSpPr/>
      </dsp:nvSpPr>
      <dsp:spPr>
        <a:xfrm>
          <a:off x="7654671" y="3566684"/>
          <a:ext cx="1828778" cy="26943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</a:t>
          </a:r>
          <a:r>
            <a:rPr lang="en-CA" sz="1400" i="1" kern="1200" dirty="0"/>
            <a:t>Confines</a:t>
          </a:r>
          <a:r>
            <a:rPr lang="en-CA" sz="1400" kern="1200" dirty="0"/>
            <a:t>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endParaRPr lang="en-CA" sz="1400" kern="1200" dirty="0"/>
        </a:p>
      </dsp:txBody>
      <dsp:txXfrm>
        <a:off x="7662562" y="3574575"/>
        <a:ext cx="1812996" cy="253648"/>
      </dsp:txXfrm>
    </dsp:sp>
    <dsp:sp modelId="{1903229A-54A0-45D6-928C-45BC37FEA4DB}">
      <dsp:nvSpPr>
        <dsp:cNvPr id="0" name=""/>
        <dsp:cNvSpPr/>
      </dsp:nvSpPr>
      <dsp:spPr>
        <a:xfrm rot="3987120">
          <a:off x="934790" y="4836696"/>
          <a:ext cx="2293891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982072" y="15695"/>
              </a:lnTo>
            </a:path>
            <a:path>
              <a:moveTo>
                <a:pt x="1311819" y="15695"/>
              </a:moveTo>
              <a:lnTo>
                <a:pt x="2293891" y="15695"/>
              </a:lnTo>
            </a:path>
          </a:pathLst>
        </a:custGeom>
        <a:noFill/>
        <a:ln w="25400" cap="flat" cmpd="sng" algn="ctr">
          <a:solidFill>
            <a:srgbClr val="0070C0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1916862" y="4565654"/>
        <a:ext cx="329746" cy="573472"/>
      </dsp:txXfrm>
    </dsp:sp>
    <dsp:sp modelId="{3FBAFE53-594D-4D03-B138-006A0BB47A9C}">
      <dsp:nvSpPr>
        <dsp:cNvPr id="0" name=""/>
        <dsp:cNvSpPr/>
      </dsp:nvSpPr>
      <dsp:spPr>
        <a:xfrm>
          <a:off x="2539960" y="5585424"/>
          <a:ext cx="1621923" cy="636802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 dirty="0"/>
            <a:t>Does the exterior of </a:t>
          </a: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overlap with the interior of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r>
            <a:rPr lang="en-US" sz="1400" kern="1200" dirty="0"/>
            <a:t>?  </a:t>
          </a:r>
          <a:endParaRPr lang="en-CA" sz="1400" kern="1200" dirty="0"/>
        </a:p>
      </dsp:txBody>
      <dsp:txXfrm>
        <a:off x="2558611" y="5604075"/>
        <a:ext cx="1584621" cy="599500"/>
      </dsp:txXfrm>
    </dsp:sp>
    <dsp:sp modelId="{1877F5C3-3D89-4C58-A1F1-078525DE5F22}">
      <dsp:nvSpPr>
        <dsp:cNvPr id="0" name=""/>
        <dsp:cNvSpPr/>
      </dsp:nvSpPr>
      <dsp:spPr>
        <a:xfrm rot="19705109">
          <a:off x="4082539" y="5607559"/>
          <a:ext cx="1071473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408499" y="15695"/>
              </a:lnTo>
            </a:path>
            <a:path>
              <a:moveTo>
                <a:pt x="662974" y="15695"/>
              </a:moveTo>
              <a:lnTo>
                <a:pt x="1071473" y="15695"/>
              </a:lnTo>
            </a:path>
          </a:pathLst>
        </a:custGeom>
        <a:noFill/>
        <a:ln w="25400" cap="flat" cmpd="sng" algn="ctr">
          <a:solidFill>
            <a:srgbClr val="C04F15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4491038" y="5489320"/>
        <a:ext cx="254475" cy="267868"/>
      </dsp:txXfrm>
    </dsp:sp>
    <dsp:sp modelId="{752E73D5-6F0C-4299-B028-43DCAE9EBF12}">
      <dsp:nvSpPr>
        <dsp:cNvPr id="0" name=""/>
        <dsp:cNvSpPr/>
      </dsp:nvSpPr>
      <dsp:spPr>
        <a:xfrm>
          <a:off x="5074668" y="5038659"/>
          <a:ext cx="1621923" cy="60804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 dirty="0"/>
            <a:t>Does the border of </a:t>
          </a: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overlap with the border of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r>
            <a:rPr lang="en-US" sz="1400" kern="1200" dirty="0"/>
            <a:t>? </a:t>
          </a:r>
          <a:endParaRPr lang="en-CA" sz="1400" kern="1200" dirty="0"/>
        </a:p>
      </dsp:txBody>
      <dsp:txXfrm>
        <a:off x="5092477" y="5056468"/>
        <a:ext cx="1586305" cy="572429"/>
      </dsp:txXfrm>
    </dsp:sp>
    <dsp:sp modelId="{49F9E345-50CC-4F52-AFB5-C0A28306BF16}">
      <dsp:nvSpPr>
        <dsp:cNvPr id="0" name=""/>
        <dsp:cNvSpPr/>
      </dsp:nvSpPr>
      <dsp:spPr>
        <a:xfrm rot="19443971">
          <a:off x="6584092" y="4980068"/>
          <a:ext cx="1182311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464611" y="15695"/>
              </a:lnTo>
            </a:path>
            <a:path>
              <a:moveTo>
                <a:pt x="717699" y="15695"/>
              </a:moveTo>
              <a:lnTo>
                <a:pt x="1182311" y="15695"/>
              </a:lnTo>
            </a:path>
          </a:pathLst>
        </a:custGeom>
        <a:noFill/>
        <a:ln w="25400" cap="flat" cmpd="sng" algn="ctr">
          <a:solidFill>
            <a:schemeClr val="accent2">
              <a:lumMod val="75000"/>
            </a:schemeClr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7048704" y="4847974"/>
        <a:ext cx="253088" cy="295577"/>
      </dsp:txXfrm>
    </dsp:sp>
    <dsp:sp modelId="{F37F940C-FB29-4D0E-B70D-83659D265A1E}">
      <dsp:nvSpPr>
        <dsp:cNvPr id="0" name=""/>
        <dsp:cNvSpPr/>
      </dsp:nvSpPr>
      <dsp:spPr>
        <a:xfrm>
          <a:off x="7653904" y="4514127"/>
          <a:ext cx="1828778" cy="26943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</a:t>
          </a:r>
          <a:r>
            <a:rPr lang="en-CA" sz="1400" i="1" kern="1200" dirty="0"/>
            <a:t>Contains</a:t>
          </a:r>
          <a:r>
            <a:rPr lang="en-CA" sz="1400" kern="1200" dirty="0"/>
            <a:t>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endParaRPr lang="en-CA" sz="1400" kern="1200" dirty="0"/>
        </a:p>
      </dsp:txBody>
      <dsp:txXfrm>
        <a:off x="7661795" y="4522018"/>
        <a:ext cx="1812996" cy="253648"/>
      </dsp:txXfrm>
    </dsp:sp>
    <dsp:sp modelId="{FDDDA80B-6837-42EE-B31C-6D401D247906}">
      <dsp:nvSpPr>
        <dsp:cNvPr id="0" name=""/>
        <dsp:cNvSpPr/>
      </dsp:nvSpPr>
      <dsp:spPr>
        <a:xfrm rot="2056148">
          <a:off x="6589542" y="5674213"/>
          <a:ext cx="1233305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470197" y="15695"/>
              </a:lnTo>
            </a:path>
            <a:path>
              <a:moveTo>
                <a:pt x="763107" y="15695"/>
              </a:moveTo>
              <a:lnTo>
                <a:pt x="1233305" y="15695"/>
              </a:lnTo>
            </a:path>
          </a:pathLst>
        </a:custGeom>
        <a:noFill/>
        <a:ln w="25400" cap="flat" cmpd="sng" algn="ctr">
          <a:solidFill>
            <a:srgbClr val="0070C0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7059740" y="5535745"/>
        <a:ext cx="292909" cy="308326"/>
      </dsp:txXfrm>
    </dsp:sp>
    <dsp:sp modelId="{24F6AB9A-C44D-402F-B1AF-B011B11524E7}">
      <dsp:nvSpPr>
        <dsp:cNvPr id="0" name=""/>
        <dsp:cNvSpPr/>
      </dsp:nvSpPr>
      <dsp:spPr>
        <a:xfrm>
          <a:off x="7715797" y="5733109"/>
          <a:ext cx="1828778" cy="60804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 dirty="0"/>
            <a:t>Does the interior of </a:t>
          </a: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include the exterior of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r>
            <a:rPr lang="en-US" sz="1400" kern="1200" dirty="0"/>
            <a:t>? </a:t>
          </a:r>
          <a:endParaRPr lang="en-CA" sz="1400" kern="1200" dirty="0"/>
        </a:p>
      </dsp:txBody>
      <dsp:txXfrm>
        <a:off x="7733606" y="5750918"/>
        <a:ext cx="1793160" cy="572429"/>
      </dsp:txXfrm>
    </dsp:sp>
    <dsp:sp modelId="{8E7158E1-294C-4D33-8216-7B1B69CB68C3}">
      <dsp:nvSpPr>
        <dsp:cNvPr id="0" name=""/>
        <dsp:cNvSpPr/>
      </dsp:nvSpPr>
      <dsp:spPr>
        <a:xfrm rot="19266355">
          <a:off x="9412671" y="5647853"/>
          <a:ext cx="1189983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467626" y="15695"/>
              </a:lnTo>
            </a:path>
            <a:path>
              <a:moveTo>
                <a:pt x="722357" y="15695"/>
              </a:moveTo>
              <a:lnTo>
                <a:pt x="1189983" y="15695"/>
              </a:lnTo>
            </a:path>
          </a:pathLst>
        </a:custGeom>
        <a:noFill/>
        <a:ln w="25400" cap="flat" cmpd="sng" algn="ctr">
          <a:solidFill>
            <a:schemeClr val="accent2">
              <a:lumMod val="75000"/>
            </a:schemeClr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No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9880297" y="5514800"/>
        <a:ext cx="254730" cy="297495"/>
      </dsp:txXfrm>
    </dsp:sp>
    <dsp:sp modelId="{778776B0-6F5E-4A58-93D8-59BB3630F525}">
      <dsp:nvSpPr>
        <dsp:cNvPr id="0" name=""/>
        <dsp:cNvSpPr/>
      </dsp:nvSpPr>
      <dsp:spPr>
        <a:xfrm>
          <a:off x="10470750" y="5155248"/>
          <a:ext cx="1621923" cy="26943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</a:t>
          </a:r>
          <a:r>
            <a:rPr lang="en-CA" sz="1400" i="1" kern="1200" dirty="0"/>
            <a:t>Equals</a:t>
          </a:r>
          <a:r>
            <a:rPr lang="en-CA" sz="1400" kern="1200" dirty="0"/>
            <a:t>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endParaRPr lang="en-CA" sz="1400" kern="1200" dirty="0"/>
        </a:p>
      </dsp:txBody>
      <dsp:txXfrm>
        <a:off x="10478641" y="5163139"/>
        <a:ext cx="1606141" cy="253648"/>
      </dsp:txXfrm>
    </dsp:sp>
    <dsp:sp modelId="{872C3E18-8C9D-4F32-84A6-2F9FD09D9194}">
      <dsp:nvSpPr>
        <dsp:cNvPr id="0" name=""/>
        <dsp:cNvSpPr/>
      </dsp:nvSpPr>
      <dsp:spPr>
        <a:xfrm rot="1972068">
          <a:off x="9454847" y="6325645"/>
          <a:ext cx="1121080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414274" y="15695"/>
              </a:lnTo>
            </a:path>
            <a:path>
              <a:moveTo>
                <a:pt x="706806" y="15695"/>
              </a:moveTo>
              <a:lnTo>
                <a:pt x="1121080" y="15695"/>
              </a:lnTo>
            </a:path>
          </a:pathLst>
        </a:custGeom>
        <a:noFill/>
        <a:ln w="25400" cap="flat" cmpd="sng" algn="ctr">
          <a:solidFill>
            <a:srgbClr val="0070C0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9869121" y="6201205"/>
        <a:ext cx="292531" cy="280270"/>
      </dsp:txXfrm>
    </dsp:sp>
    <dsp:sp modelId="{D0953BFD-A9E5-445A-879D-994B68DDBF16}">
      <dsp:nvSpPr>
        <dsp:cNvPr id="0" name=""/>
        <dsp:cNvSpPr/>
      </dsp:nvSpPr>
      <dsp:spPr>
        <a:xfrm>
          <a:off x="10486199" y="6510831"/>
          <a:ext cx="1621923" cy="26943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</a:t>
          </a:r>
          <a:r>
            <a:rPr lang="en-CA" sz="1400" i="1" kern="1200" dirty="0"/>
            <a:t>Partitions</a:t>
          </a:r>
          <a:r>
            <a:rPr lang="en-CA" sz="1400" kern="1200" dirty="0"/>
            <a:t>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endParaRPr lang="en-CA" sz="1400" kern="1200" dirty="0"/>
        </a:p>
      </dsp:txBody>
      <dsp:txXfrm>
        <a:off x="10494090" y="6518722"/>
        <a:ext cx="1606141" cy="253648"/>
      </dsp:txXfrm>
    </dsp:sp>
    <dsp:sp modelId="{BF03BE95-0191-487A-81D4-7B1464A84271}">
      <dsp:nvSpPr>
        <dsp:cNvPr id="0" name=""/>
        <dsp:cNvSpPr/>
      </dsp:nvSpPr>
      <dsp:spPr>
        <a:xfrm rot="1894213">
          <a:off x="4084306" y="6162558"/>
          <a:ext cx="1048347" cy="31390"/>
        </a:xfrm>
        <a:custGeom>
          <a:avLst/>
          <a:gdLst/>
          <a:ahLst/>
          <a:cxnLst/>
          <a:rect l="0" t="0" r="0" b="0"/>
          <a:pathLst>
            <a:path>
              <a:moveTo>
                <a:pt x="0" y="15695"/>
              </a:moveTo>
              <a:lnTo>
                <a:pt x="375111" y="15695"/>
              </a:lnTo>
            </a:path>
            <a:path>
              <a:moveTo>
                <a:pt x="673235" y="15695"/>
              </a:moveTo>
              <a:lnTo>
                <a:pt x="1048347" y="15695"/>
              </a:lnTo>
            </a:path>
          </a:pathLst>
        </a:custGeom>
        <a:noFill/>
        <a:ln w="25400" cap="flat" cmpd="sng" algn="ctr">
          <a:solidFill>
            <a:srgbClr val="0070C0"/>
          </a:solidFill>
          <a:prstDash val="solid"/>
          <a:miter lim="800000"/>
          <a:tailEnd type="stealth" w="lg" len="lg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8288" tIns="0" rIns="18288" bIns="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ln>
                <a:solidFill>
                  <a:scrgbClr r="0" g="0" b="0"/>
                </a:solidFill>
              </a:ln>
            </a:rPr>
            <a:t>Yes</a:t>
          </a:r>
          <a:endParaRPr lang="en-CA" sz="1400" b="1" kern="1200" dirty="0">
            <a:ln>
              <a:solidFill>
                <a:scrgbClr r="0" g="0" b="0"/>
              </a:solidFill>
            </a:ln>
          </a:endParaRPr>
        </a:p>
      </dsp:txBody>
      <dsp:txXfrm>
        <a:off x="4459417" y="6047209"/>
        <a:ext cx="298123" cy="262086"/>
      </dsp:txXfrm>
    </dsp:sp>
    <dsp:sp modelId="{C0A2D960-AF5A-445D-AE5F-800B8AC365D3}">
      <dsp:nvSpPr>
        <dsp:cNvPr id="0" name=""/>
        <dsp:cNvSpPr/>
      </dsp:nvSpPr>
      <dsp:spPr>
        <a:xfrm>
          <a:off x="5055075" y="6317965"/>
          <a:ext cx="1621923" cy="26943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accent5">
              <a:lumMod val="60000"/>
              <a:lumOff val="40000"/>
            </a:schemeClr>
          </a:solidFill>
          <a:prstDash val="solid"/>
          <a:miter lim="800000"/>
        </a:ln>
        <a:effectLst>
          <a:outerShdw blurRad="149987" dist="250190" dir="8460000" algn="ctr" rotWithShape="0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 dirty="0">
              <a:solidFill>
                <a:srgbClr val="00B0F0"/>
              </a:solidFill>
            </a:rPr>
            <a:t>A</a:t>
          </a:r>
          <a:r>
            <a:rPr lang="en-US" sz="1400" kern="1200" dirty="0"/>
            <a:t> </a:t>
          </a:r>
          <a:r>
            <a:rPr lang="en-CA" sz="1400" i="1" kern="1200" dirty="0"/>
            <a:t>Overlaps</a:t>
          </a:r>
          <a:r>
            <a:rPr lang="en-CA" sz="1400" kern="1200" dirty="0"/>
            <a:t> </a:t>
          </a:r>
          <a:r>
            <a:rPr lang="en-US" sz="1400" b="1" kern="1200" dirty="0">
              <a:solidFill>
                <a:srgbClr val="00B050"/>
              </a:solidFill>
            </a:rPr>
            <a:t>B</a:t>
          </a:r>
          <a:endParaRPr lang="en-CA" sz="1400" kern="1200" dirty="0"/>
        </a:p>
      </dsp:txBody>
      <dsp:txXfrm>
        <a:off x="5062966" y="6325856"/>
        <a:ext cx="1606141" cy="25364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0</xdr:row>
      <xdr:rowOff>66675</xdr:rowOff>
    </xdr:from>
    <xdr:to>
      <xdr:col>4</xdr:col>
      <xdr:colOff>608330</xdr:colOff>
      <xdr:row>0</xdr:row>
      <xdr:rowOff>615315</xdr:rowOff>
    </xdr:to>
    <xdr:pic>
      <xdr:nvPicPr>
        <xdr:cNvPr id="24" name="Picture 23" descr="A blue and white circle with a green center&#10;&#10;Description automatically generated">
          <a:extLst>
            <a:ext uri="{FF2B5EF4-FFF2-40B4-BE49-F238E27FC236}">
              <a16:creationId xmlns:a16="http://schemas.microsoft.com/office/drawing/2014/main" id="{AB6AC657-7E66-782A-F474-FBD89EE5B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3150" y="66675"/>
          <a:ext cx="570230" cy="54864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0</xdr:row>
      <xdr:rowOff>19050</xdr:rowOff>
    </xdr:from>
    <xdr:to>
      <xdr:col>4</xdr:col>
      <xdr:colOff>1164590</xdr:colOff>
      <xdr:row>0</xdr:row>
      <xdr:rowOff>567690</xdr:rowOff>
    </xdr:to>
    <xdr:pic>
      <xdr:nvPicPr>
        <xdr:cNvPr id="25" name="Picture 24" descr="A blue and green circle&#10;&#10;Description automatically generated">
          <a:extLst>
            <a:ext uri="{FF2B5EF4-FFF2-40B4-BE49-F238E27FC236}">
              <a16:creationId xmlns:a16="http://schemas.microsoft.com/office/drawing/2014/main" id="{695AD82E-D143-B04A-ECCF-29B413F70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19050"/>
          <a:ext cx="574040" cy="54864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</xdr:row>
      <xdr:rowOff>108794</xdr:rowOff>
    </xdr:from>
    <xdr:to>
      <xdr:col>4</xdr:col>
      <xdr:colOff>541020</xdr:colOff>
      <xdr:row>1</xdr:row>
      <xdr:rowOff>565994</xdr:rowOff>
    </xdr:to>
    <xdr:pic>
      <xdr:nvPicPr>
        <xdr:cNvPr id="26" name="Picture 25" descr="A blue and green object&#10;&#10;Description automatically generated">
          <a:extLst>
            <a:ext uri="{FF2B5EF4-FFF2-40B4-BE49-F238E27FC236}">
              <a16:creationId xmlns:a16="http://schemas.microsoft.com/office/drawing/2014/main" id="{8A1A280D-DC9E-E821-5A1C-F8D09BB6C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3150" y="737444"/>
          <a:ext cx="502920" cy="4572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2</xdr:row>
      <xdr:rowOff>97573</xdr:rowOff>
    </xdr:from>
    <xdr:to>
      <xdr:col>4</xdr:col>
      <xdr:colOff>906835</xdr:colOff>
      <xdr:row>2</xdr:row>
      <xdr:rowOff>554773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1F0D44E5-7770-38DE-1BE4-C7DB96D3CB48}"/>
            </a:ext>
          </a:extLst>
        </xdr:cNvPr>
        <xdr:cNvGrpSpPr>
          <a:grpSpLocks noChangeAspect="1"/>
        </xdr:cNvGrpSpPr>
      </xdr:nvGrpSpPr>
      <xdr:grpSpPr bwMode="auto">
        <a:xfrm>
          <a:off x="6981825" y="1354873"/>
          <a:ext cx="868735" cy="457200"/>
          <a:chOff x="1073099" y="1110079"/>
          <a:chExt cx="15705" cy="8263"/>
        </a:xfrm>
      </xdr:grpSpPr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655D8179-35DA-5BE5-0575-36B5219E64ED}"/>
              </a:ext>
            </a:extLst>
          </xdr:cNvPr>
          <xdr:cNvSpPr>
            <a:spLocks noChangeArrowheads="1"/>
          </xdr:cNvSpPr>
        </xdr:nvSpPr>
        <xdr:spPr bwMode="auto">
          <a:xfrm rot="-1957153">
            <a:off x="1073099" y="1111149"/>
            <a:ext cx="8264" cy="6122"/>
          </a:xfrm>
          <a:prstGeom prst="ellipse">
            <a:avLst/>
          </a:prstGeom>
          <a:solidFill>
            <a:srgbClr val="00B050"/>
          </a:solidFill>
          <a:ln w="25400">
            <a:solidFill>
              <a:schemeClr val="dk1">
                <a:lumMod val="0"/>
                <a:lumOff val="0"/>
              </a:schemeClr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dk1">
                      <a:lumMod val="0"/>
                      <a:lumOff val="0"/>
                    </a:schemeClr>
                  </a:outerShdw>
                </a:effectLst>
              </a14:hiddenEffects>
            </a:ext>
          </a:extLst>
        </xdr:spPr>
        <xdr:txBody>
          <a:bodyPr rot="0" vert="horz" wrap="square" lIns="36576" tIns="36576" rIns="36576" bIns="36576" anchor="t" anchorCtr="0" upright="1">
            <a:noAutofit/>
          </a:bodyPr>
          <a:lstStyle/>
          <a:p>
            <a:endParaRPr lang="en-CA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939CA846-0352-EB9C-CE4F-F6A0930273C7}"/>
              </a:ext>
            </a:extLst>
          </xdr:cNvPr>
          <xdr:cNvSpPr>
            <a:spLocks noChangeArrowheads="1"/>
          </xdr:cNvSpPr>
        </xdr:nvSpPr>
        <xdr:spPr bwMode="auto">
          <a:xfrm rot="4800000">
            <a:off x="1081611" y="1111150"/>
            <a:ext cx="8263" cy="6122"/>
          </a:xfrm>
          <a:prstGeom prst="ellipse">
            <a:avLst/>
          </a:prstGeom>
          <a:solidFill>
            <a:srgbClr val="5B9BD5"/>
          </a:solidFill>
          <a:ln w="25400">
            <a:solidFill>
              <a:schemeClr val="dk1">
                <a:lumMod val="0"/>
                <a:lumOff val="0"/>
              </a:schemeClr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dk1">
                      <a:lumMod val="0"/>
                      <a:lumOff val="0"/>
                    </a:schemeClr>
                  </a:outerShdw>
                </a:effectLst>
              </a14:hiddenEffects>
            </a:ext>
          </a:extLst>
        </xdr:spPr>
        <xdr:txBody>
          <a:bodyPr rot="0" vert="horz" wrap="square" lIns="36576" tIns="36576" rIns="36576" bIns="36576" anchor="t" anchorCtr="0" upright="1">
            <a:noAutofit/>
          </a:bodyPr>
          <a:lstStyle/>
          <a:p>
            <a:endParaRPr lang="en-CA"/>
          </a:p>
        </xdr:txBody>
      </xdr:sp>
    </xdr:grpSp>
    <xdr:clientData/>
  </xdr:twoCellAnchor>
  <xdr:twoCellAnchor editAs="oneCell">
    <xdr:from>
      <xdr:col>4</xdr:col>
      <xdr:colOff>38100</xdr:colOff>
      <xdr:row>3</xdr:row>
      <xdr:rowOff>114927</xdr:rowOff>
    </xdr:from>
    <xdr:to>
      <xdr:col>4</xdr:col>
      <xdr:colOff>426720</xdr:colOff>
      <xdr:row>3</xdr:row>
      <xdr:rowOff>572127</xdr:rowOff>
    </xdr:to>
    <xdr:pic>
      <xdr:nvPicPr>
        <xdr:cNvPr id="30" name="Picture 29" descr="A blue and green object&#10;&#10;Description automatically generated">
          <a:extLst>
            <a:ext uri="{FF2B5EF4-FFF2-40B4-BE49-F238E27FC236}">
              <a16:creationId xmlns:a16="http://schemas.microsoft.com/office/drawing/2014/main" id="{2BC8FD85-74B9-B37A-02F3-41D59F59C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53150" y="2000877"/>
          <a:ext cx="388620" cy="4572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4</xdr:row>
      <xdr:rowOff>103706</xdr:rowOff>
    </xdr:from>
    <xdr:to>
      <xdr:col>4</xdr:col>
      <xdr:colOff>535940</xdr:colOff>
      <xdr:row>4</xdr:row>
      <xdr:rowOff>560930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475056EB-AF67-7E1F-2810-990925AAD86E}"/>
            </a:ext>
          </a:extLst>
        </xdr:cNvPr>
        <xdr:cNvGrpSpPr>
          <a:grpSpLocks noChangeAspect="1"/>
        </xdr:cNvGrpSpPr>
      </xdr:nvGrpSpPr>
      <xdr:grpSpPr>
        <a:xfrm>
          <a:off x="6981825" y="2618306"/>
          <a:ext cx="497840" cy="457224"/>
          <a:chOff x="0" y="1"/>
          <a:chExt cx="2069465" cy="1893035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75828B37-8FD5-8BB9-7281-E7AEE2F6E25A}"/>
              </a:ext>
            </a:extLst>
          </xdr:cNvPr>
          <xdr:cNvGrpSpPr>
            <a:grpSpLocks/>
          </xdr:cNvGrpSpPr>
        </xdr:nvGrpSpPr>
        <xdr:grpSpPr bwMode="auto">
          <a:xfrm>
            <a:off x="0" y="1"/>
            <a:ext cx="2069465" cy="1893035"/>
            <a:chOff x="1111124" y="1087127"/>
            <a:chExt cx="20692" cy="18932"/>
          </a:xfrm>
        </xdr:grpSpPr>
        <xdr:sp macro="" textlink="">
          <xdr:nvSpPr>
            <xdr:cNvPr id="34" name="Freeform 3">
              <a:extLst>
                <a:ext uri="{FF2B5EF4-FFF2-40B4-BE49-F238E27FC236}">
                  <a16:creationId xmlns:a16="http://schemas.microsoft.com/office/drawing/2014/main" id="{46890E8E-25C4-E08B-1615-20F1B07E1AB6}"/>
                </a:ext>
              </a:extLst>
            </xdr:cNvPr>
            <xdr:cNvSpPr>
              <a:spLocks/>
            </xdr:cNvSpPr>
          </xdr:nvSpPr>
          <xdr:spPr bwMode="auto">
            <a:xfrm>
              <a:off x="1111124" y="1087127"/>
              <a:ext cx="20692" cy="18932"/>
            </a:xfrm>
            <a:custGeom>
              <a:avLst/>
              <a:gdLst>
                <a:gd name="T0" fmla="*/ 109471 w 2069206"/>
                <a:gd name="T1" fmla="*/ 1363014 h 1893194"/>
                <a:gd name="T2" fmla="*/ 212501 w 2069206"/>
                <a:gd name="T3" fmla="*/ 448614 h 1893194"/>
                <a:gd name="T4" fmla="*/ 1023871 w 2069206"/>
                <a:gd name="T5" fmla="*/ 100884 h 1893194"/>
                <a:gd name="T6" fmla="*/ 1925392 w 2069206"/>
                <a:gd name="T7" fmla="*/ 603160 h 1893194"/>
                <a:gd name="T8" fmla="*/ 1435994 w 2069206"/>
                <a:gd name="T9" fmla="*/ 1453166 h 1893194"/>
                <a:gd name="T10" fmla="*/ 560231 w 2069206"/>
                <a:gd name="T11" fmla="*/ 1878169 h 1893194"/>
                <a:gd name="T12" fmla="*/ 109471 w 2069206"/>
                <a:gd name="T13" fmla="*/ 1363014 h 18931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2069206" h="1893194">
                  <a:moveTo>
                    <a:pt x="109471" y="1363014"/>
                  </a:moveTo>
                  <a:cubicBezTo>
                    <a:pt x="105178" y="1350135"/>
                    <a:pt x="0" y="729803"/>
                    <a:pt x="212501" y="448614"/>
                  </a:cubicBezTo>
                  <a:cubicBezTo>
                    <a:pt x="425002" y="167425"/>
                    <a:pt x="502277" y="201768"/>
                    <a:pt x="1023871" y="100884"/>
                  </a:cubicBezTo>
                  <a:cubicBezTo>
                    <a:pt x="1545465" y="0"/>
                    <a:pt x="1781578" y="289774"/>
                    <a:pt x="1925392" y="603160"/>
                  </a:cubicBezTo>
                  <a:cubicBezTo>
                    <a:pt x="2069206" y="916546"/>
                    <a:pt x="1781577" y="1337256"/>
                    <a:pt x="1435994" y="1453166"/>
                  </a:cubicBezTo>
                  <a:cubicBezTo>
                    <a:pt x="1090411" y="1569076"/>
                    <a:pt x="781318" y="1893194"/>
                    <a:pt x="560231" y="1878169"/>
                  </a:cubicBezTo>
                  <a:cubicBezTo>
                    <a:pt x="339144" y="1863144"/>
                    <a:pt x="264017" y="1478924"/>
                    <a:pt x="109471" y="1363014"/>
                  </a:cubicBezTo>
                  <a:close/>
                </a:path>
              </a:pathLst>
            </a:custGeom>
            <a:solidFill>
              <a:srgbClr val="5B9BD5"/>
            </a:solidFill>
            <a:ln w="25400">
              <a:solidFill>
                <a:schemeClr val="dk1">
                  <a:lumMod val="0"/>
                  <a:lumOff val="0"/>
                </a:schemeClr>
              </a:solidFill>
              <a:round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dk1">
                        <a:lumMod val="0"/>
                        <a:lumOff val="0"/>
                      </a:schemeClr>
                    </a:outerShdw>
                  </a:effectLst>
                </a14:hiddenEffects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CA"/>
            </a:p>
          </xdr:txBody>
        </xdr:sp>
        <xdr:sp macro="" textlink="">
          <xdr:nvSpPr>
            <xdr:cNvPr id="35" name="Freeform 4">
              <a:extLst>
                <a:ext uri="{FF2B5EF4-FFF2-40B4-BE49-F238E27FC236}">
                  <a16:creationId xmlns:a16="http://schemas.microsoft.com/office/drawing/2014/main" id="{5727F5FA-831F-0CE7-D14E-844913BF9716}"/>
                </a:ext>
              </a:extLst>
            </xdr:cNvPr>
            <xdr:cNvSpPr>
              <a:spLocks/>
            </xdr:cNvSpPr>
          </xdr:nvSpPr>
          <xdr:spPr bwMode="auto">
            <a:xfrm>
              <a:off x="1113958" y="1089896"/>
              <a:ext cx="14724" cy="12943"/>
            </a:xfrm>
            <a:custGeom>
              <a:avLst/>
              <a:gdLst>
                <a:gd name="T0" fmla="*/ 392806 w 1472485"/>
                <a:gd name="T1" fmla="*/ 133082 h 1294327"/>
                <a:gd name="T2" fmla="*/ 1075386 w 1472485"/>
                <a:gd name="T3" fmla="*/ 55809 h 1294327"/>
                <a:gd name="T4" fmla="*/ 1371601 w 1472485"/>
                <a:gd name="T5" fmla="*/ 635358 h 1294327"/>
                <a:gd name="T6" fmla="*/ 869324 w 1472485"/>
                <a:gd name="T7" fmla="*/ 1073240 h 1294327"/>
                <a:gd name="T8" fmla="*/ 186744 w 1472485"/>
                <a:gd name="T9" fmla="*/ 1176271 h 1294327"/>
                <a:gd name="T10" fmla="*/ 109471 w 1472485"/>
                <a:gd name="T11" fmla="*/ 480812 h 1294327"/>
                <a:gd name="T12" fmla="*/ 392806 w 1472485"/>
                <a:gd name="T13" fmla="*/ 133082 h 129432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1472485" h="1294327">
                  <a:moveTo>
                    <a:pt x="392806" y="133082"/>
                  </a:moveTo>
                  <a:cubicBezTo>
                    <a:pt x="680434" y="0"/>
                    <a:pt x="845713" y="21465"/>
                    <a:pt x="1075386" y="55809"/>
                  </a:cubicBezTo>
                  <a:cubicBezTo>
                    <a:pt x="1305059" y="90153"/>
                    <a:pt x="1472485" y="384220"/>
                    <a:pt x="1371601" y="635358"/>
                  </a:cubicBezTo>
                  <a:cubicBezTo>
                    <a:pt x="1270717" y="886496"/>
                    <a:pt x="1114023" y="946598"/>
                    <a:pt x="869324" y="1073240"/>
                  </a:cubicBezTo>
                  <a:cubicBezTo>
                    <a:pt x="624625" y="1199882"/>
                    <a:pt x="373488" y="1294327"/>
                    <a:pt x="186744" y="1176271"/>
                  </a:cubicBezTo>
                  <a:cubicBezTo>
                    <a:pt x="0" y="1058215"/>
                    <a:pt x="75127" y="654677"/>
                    <a:pt x="109471" y="480812"/>
                  </a:cubicBezTo>
                  <a:cubicBezTo>
                    <a:pt x="143815" y="306947"/>
                    <a:pt x="333778" y="205526"/>
                    <a:pt x="392806" y="133082"/>
                  </a:cubicBezTo>
                  <a:close/>
                </a:path>
              </a:pathLst>
            </a:custGeom>
            <a:solidFill>
              <a:srgbClr val="FFFFFF"/>
            </a:solidFill>
            <a:ln w="25400">
              <a:solidFill>
                <a:schemeClr val="dk1">
                  <a:lumMod val="0"/>
                  <a:lumOff val="0"/>
                </a:schemeClr>
              </a:solidFill>
              <a:round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dk1">
                        <a:lumMod val="0"/>
                        <a:lumOff val="0"/>
                      </a:schemeClr>
                    </a:outerShdw>
                  </a:effectLst>
                </a14:hiddenEffects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CA"/>
            </a:p>
          </xdr:txBody>
        </xdr:sp>
      </xdr:grpSp>
      <xdr:sp macro="" textlink="">
        <xdr:nvSpPr>
          <xdr:cNvPr id="33" name="Freeform: Shape 32">
            <a:extLst>
              <a:ext uri="{FF2B5EF4-FFF2-40B4-BE49-F238E27FC236}">
                <a16:creationId xmlns:a16="http://schemas.microsoft.com/office/drawing/2014/main" id="{B9D498B7-798B-64A6-E187-19FEAD1601F0}"/>
              </a:ext>
            </a:extLst>
          </xdr:cNvPr>
          <xdr:cNvSpPr>
            <a:spLocks/>
          </xdr:cNvSpPr>
        </xdr:nvSpPr>
        <xdr:spPr bwMode="auto">
          <a:xfrm>
            <a:off x="356235" y="396240"/>
            <a:ext cx="796290" cy="1097280"/>
          </a:xfrm>
          <a:custGeom>
            <a:avLst/>
            <a:gdLst>
              <a:gd name="T0" fmla="*/ 392806 w 869324"/>
              <a:gd name="T1" fmla="*/ 0 h 1161245"/>
              <a:gd name="T2" fmla="*/ 869324 w 869324"/>
              <a:gd name="T3" fmla="*/ 940158 h 1161245"/>
              <a:gd name="T4" fmla="*/ 186744 w 869324"/>
              <a:gd name="T5" fmla="*/ 1043189 h 1161245"/>
              <a:gd name="T6" fmla="*/ 109471 w 869324"/>
              <a:gd name="T7" fmla="*/ 347730 h 1161245"/>
              <a:gd name="T8" fmla="*/ 392806 w 869324"/>
              <a:gd name="T9" fmla="*/ 0 h 1161245"/>
              <a:gd name="connsiteX0" fmla="*/ 320267 w 796785"/>
              <a:gd name="connsiteY0" fmla="*/ 0 h 1097151"/>
              <a:gd name="connsiteX1" fmla="*/ 796785 w 796785"/>
              <a:gd name="connsiteY1" fmla="*/ 940158 h 1097151"/>
              <a:gd name="connsiteX2" fmla="*/ 114205 w 796785"/>
              <a:gd name="connsiteY2" fmla="*/ 1043189 h 1097151"/>
              <a:gd name="connsiteX3" fmla="*/ 36932 w 796785"/>
              <a:gd name="connsiteY3" fmla="*/ 347730 h 1097151"/>
              <a:gd name="connsiteX4" fmla="*/ 114788 w 796785"/>
              <a:gd name="connsiteY4" fmla="*/ 172060 h 1097151"/>
              <a:gd name="connsiteX5" fmla="*/ 320267 w 796785"/>
              <a:gd name="connsiteY5" fmla="*/ 0 h 10971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796785" h="1097151">
                <a:moveTo>
                  <a:pt x="320267" y="0"/>
                </a:moveTo>
                <a:lnTo>
                  <a:pt x="796785" y="940158"/>
                </a:lnTo>
                <a:cubicBezTo>
                  <a:pt x="552086" y="1066800"/>
                  <a:pt x="300949" y="1161245"/>
                  <a:pt x="114205" y="1043189"/>
                </a:cubicBezTo>
                <a:cubicBezTo>
                  <a:pt x="-72539" y="925133"/>
                  <a:pt x="22547" y="497680"/>
                  <a:pt x="36932" y="347730"/>
                </a:cubicBezTo>
                <a:cubicBezTo>
                  <a:pt x="91459" y="279650"/>
                  <a:pt x="60261" y="240140"/>
                  <a:pt x="114788" y="172060"/>
                </a:cubicBezTo>
                <a:lnTo>
                  <a:pt x="320267" y="0"/>
                </a:lnTo>
                <a:close/>
              </a:path>
            </a:pathLst>
          </a:custGeom>
          <a:solidFill>
            <a:srgbClr val="00B050">
              <a:alpha val="70000"/>
            </a:srgbClr>
          </a:solidFill>
          <a:ln w="25400">
            <a:solidFill>
              <a:schemeClr val="dk1">
                <a:lumMod val="0"/>
                <a:lumOff val="0"/>
              </a:schemeClr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dk1">
                      <a:lumMod val="0"/>
                      <a:lumOff val="0"/>
                    </a:schemeClr>
                  </a:outerShdw>
                </a:effectLst>
              </a14:hiddenEffects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CA"/>
          </a:p>
        </xdr:txBody>
      </xdr:sp>
    </xdr:grpSp>
    <xdr:clientData/>
  </xdr:twoCellAnchor>
  <xdr:twoCellAnchor>
    <xdr:from>
      <xdr:col>4</xdr:col>
      <xdr:colOff>590550</xdr:colOff>
      <xdr:row>4</xdr:row>
      <xdr:rowOff>85725</xdr:rowOff>
    </xdr:from>
    <xdr:to>
      <xdr:col>4</xdr:col>
      <xdr:colOff>1089025</xdr:colOff>
      <xdr:row>4</xdr:row>
      <xdr:rowOff>542925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A11F21F6-6E6F-4500-35F6-B932523C3748}"/>
            </a:ext>
          </a:extLst>
        </xdr:cNvPr>
        <xdr:cNvGrpSpPr>
          <a:grpSpLocks noChangeAspect="1"/>
        </xdr:cNvGrpSpPr>
      </xdr:nvGrpSpPr>
      <xdr:grpSpPr bwMode="auto">
        <a:xfrm>
          <a:off x="7534275" y="2600325"/>
          <a:ext cx="498475" cy="457200"/>
          <a:chOff x="1090551" y="1104655"/>
          <a:chExt cx="20692" cy="18931"/>
        </a:xfrm>
      </xdr:grpSpPr>
      <xdr:sp macro="" textlink="">
        <xdr:nvSpPr>
          <xdr:cNvPr id="37" name="Freeform 3">
            <a:extLst>
              <a:ext uri="{FF2B5EF4-FFF2-40B4-BE49-F238E27FC236}">
                <a16:creationId xmlns:a16="http://schemas.microsoft.com/office/drawing/2014/main" id="{02A17DB0-508F-7D95-D62B-AACBE0D13A76}"/>
              </a:ext>
            </a:extLst>
          </xdr:cNvPr>
          <xdr:cNvSpPr>
            <a:spLocks/>
          </xdr:cNvSpPr>
        </xdr:nvSpPr>
        <xdr:spPr bwMode="auto">
          <a:xfrm>
            <a:off x="1090551" y="1104655"/>
            <a:ext cx="20692" cy="18931"/>
          </a:xfrm>
          <a:custGeom>
            <a:avLst/>
            <a:gdLst>
              <a:gd name="T0" fmla="*/ 109471 w 2069206"/>
              <a:gd name="T1" fmla="*/ 1363014 h 1893194"/>
              <a:gd name="T2" fmla="*/ 212501 w 2069206"/>
              <a:gd name="T3" fmla="*/ 448614 h 1893194"/>
              <a:gd name="T4" fmla="*/ 1023871 w 2069206"/>
              <a:gd name="T5" fmla="*/ 100884 h 1893194"/>
              <a:gd name="T6" fmla="*/ 1925392 w 2069206"/>
              <a:gd name="T7" fmla="*/ 603160 h 1893194"/>
              <a:gd name="T8" fmla="*/ 1435994 w 2069206"/>
              <a:gd name="T9" fmla="*/ 1453166 h 1893194"/>
              <a:gd name="T10" fmla="*/ 560231 w 2069206"/>
              <a:gd name="T11" fmla="*/ 1878169 h 1893194"/>
              <a:gd name="T12" fmla="*/ 109471 w 2069206"/>
              <a:gd name="T13" fmla="*/ 1363014 h 18931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069206" h="1893194">
                <a:moveTo>
                  <a:pt x="109471" y="1363014"/>
                </a:moveTo>
                <a:cubicBezTo>
                  <a:pt x="105178" y="1350135"/>
                  <a:pt x="0" y="729803"/>
                  <a:pt x="212501" y="448614"/>
                </a:cubicBezTo>
                <a:cubicBezTo>
                  <a:pt x="425002" y="167425"/>
                  <a:pt x="502277" y="201768"/>
                  <a:pt x="1023871" y="100884"/>
                </a:cubicBezTo>
                <a:cubicBezTo>
                  <a:pt x="1545465" y="0"/>
                  <a:pt x="1781578" y="289774"/>
                  <a:pt x="1925392" y="603160"/>
                </a:cubicBezTo>
                <a:cubicBezTo>
                  <a:pt x="2069206" y="916546"/>
                  <a:pt x="1781577" y="1337256"/>
                  <a:pt x="1435994" y="1453166"/>
                </a:cubicBezTo>
                <a:cubicBezTo>
                  <a:pt x="1090411" y="1569076"/>
                  <a:pt x="781318" y="1893194"/>
                  <a:pt x="560231" y="1878169"/>
                </a:cubicBezTo>
                <a:cubicBezTo>
                  <a:pt x="339144" y="1863144"/>
                  <a:pt x="264017" y="1478924"/>
                  <a:pt x="109471" y="1363014"/>
                </a:cubicBezTo>
                <a:close/>
              </a:path>
            </a:pathLst>
          </a:custGeom>
          <a:solidFill>
            <a:srgbClr val="5B9BD5"/>
          </a:solidFill>
          <a:ln w="25400">
            <a:solidFill>
              <a:schemeClr val="dk1">
                <a:lumMod val="0"/>
                <a:lumOff val="0"/>
              </a:schemeClr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dk1">
                      <a:lumMod val="0"/>
                      <a:lumOff val="0"/>
                    </a:schemeClr>
                  </a:outerShdw>
                </a:effectLst>
              </a14:hiddenEffects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CA"/>
          </a:p>
        </xdr:txBody>
      </xdr:sp>
      <xdr:sp macro="" textlink="">
        <xdr:nvSpPr>
          <xdr:cNvPr id="38" name="Freeform 4">
            <a:extLst>
              <a:ext uri="{FF2B5EF4-FFF2-40B4-BE49-F238E27FC236}">
                <a16:creationId xmlns:a16="http://schemas.microsoft.com/office/drawing/2014/main" id="{7C3B5D7B-74A3-31E4-1E67-A0B3F0ADF26C}"/>
              </a:ext>
            </a:extLst>
          </xdr:cNvPr>
          <xdr:cNvSpPr>
            <a:spLocks/>
          </xdr:cNvSpPr>
        </xdr:nvSpPr>
        <xdr:spPr bwMode="auto">
          <a:xfrm>
            <a:off x="1093384" y="1107423"/>
            <a:ext cx="14725" cy="12944"/>
          </a:xfrm>
          <a:custGeom>
            <a:avLst/>
            <a:gdLst>
              <a:gd name="T0" fmla="*/ 392806 w 1472485"/>
              <a:gd name="T1" fmla="*/ 133082 h 1294327"/>
              <a:gd name="T2" fmla="*/ 1075386 w 1472485"/>
              <a:gd name="T3" fmla="*/ 55809 h 1294327"/>
              <a:gd name="T4" fmla="*/ 1371601 w 1472485"/>
              <a:gd name="T5" fmla="*/ 635358 h 1294327"/>
              <a:gd name="T6" fmla="*/ 869324 w 1472485"/>
              <a:gd name="T7" fmla="*/ 1073240 h 1294327"/>
              <a:gd name="T8" fmla="*/ 186744 w 1472485"/>
              <a:gd name="T9" fmla="*/ 1176271 h 1294327"/>
              <a:gd name="T10" fmla="*/ 109471 w 1472485"/>
              <a:gd name="T11" fmla="*/ 480812 h 1294327"/>
              <a:gd name="T12" fmla="*/ 392806 w 1472485"/>
              <a:gd name="T13" fmla="*/ 133082 h 1294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472485" h="1294327">
                <a:moveTo>
                  <a:pt x="392806" y="133082"/>
                </a:moveTo>
                <a:cubicBezTo>
                  <a:pt x="680434" y="0"/>
                  <a:pt x="845713" y="21465"/>
                  <a:pt x="1075386" y="55809"/>
                </a:cubicBezTo>
                <a:cubicBezTo>
                  <a:pt x="1305059" y="90153"/>
                  <a:pt x="1472485" y="384220"/>
                  <a:pt x="1371601" y="635358"/>
                </a:cubicBezTo>
                <a:cubicBezTo>
                  <a:pt x="1270717" y="886496"/>
                  <a:pt x="1114023" y="946598"/>
                  <a:pt x="869324" y="1073240"/>
                </a:cubicBezTo>
                <a:cubicBezTo>
                  <a:pt x="624625" y="1199882"/>
                  <a:pt x="373488" y="1294327"/>
                  <a:pt x="186744" y="1176271"/>
                </a:cubicBezTo>
                <a:cubicBezTo>
                  <a:pt x="0" y="1058215"/>
                  <a:pt x="75127" y="654677"/>
                  <a:pt x="109471" y="480812"/>
                </a:cubicBezTo>
                <a:cubicBezTo>
                  <a:pt x="143815" y="306947"/>
                  <a:pt x="333778" y="205526"/>
                  <a:pt x="392806" y="133082"/>
                </a:cubicBezTo>
                <a:close/>
              </a:path>
            </a:pathLst>
          </a:custGeom>
          <a:solidFill>
            <a:srgbClr val="00B050"/>
          </a:solidFill>
          <a:ln w="25400">
            <a:solidFill>
              <a:schemeClr val="dk1">
                <a:lumMod val="0"/>
                <a:lumOff val="0"/>
              </a:schemeClr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dk1">
                      <a:lumMod val="0"/>
                      <a:lumOff val="0"/>
                    </a:schemeClr>
                  </a:outerShdw>
                </a:effectLst>
              </a14:hiddenEffects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CA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5D8A5712-726C-24AA-FFC7-83D556D3B91F}"/>
              </a:ext>
            </a:extLst>
          </xdr:cNvPr>
          <xdr:cNvSpPr>
            <a:spLocks noChangeArrowheads="1"/>
          </xdr:cNvSpPr>
        </xdr:nvSpPr>
        <xdr:spPr bwMode="auto">
          <a:xfrm rot="-1957153">
            <a:off x="1096079" y="1110427"/>
            <a:ext cx="8263" cy="6121"/>
          </a:xfrm>
          <a:prstGeom prst="ellipse">
            <a:avLst/>
          </a:prstGeom>
          <a:solidFill>
            <a:srgbClr val="5B9BD5"/>
          </a:solidFill>
          <a:ln w="25400">
            <a:solidFill>
              <a:schemeClr val="dk1">
                <a:lumMod val="0"/>
                <a:lumOff val="0"/>
              </a:schemeClr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dk1">
                      <a:lumMod val="0"/>
                      <a:lumOff val="0"/>
                    </a:schemeClr>
                  </a:outerShdw>
                </a:effectLst>
              </a14:hiddenEffects>
            </a:ext>
          </a:extLst>
        </xdr:spPr>
        <xdr:txBody>
          <a:bodyPr rot="0" vert="horz" wrap="square" lIns="36576" tIns="36576" rIns="36576" bIns="36576" anchor="t" anchorCtr="0" upright="1">
            <a:noAutofit/>
          </a:bodyPr>
          <a:lstStyle/>
          <a:p>
            <a:endParaRPr lang="en-CA"/>
          </a:p>
        </xdr:txBody>
      </xdr:sp>
    </xdr:grpSp>
    <xdr:clientData/>
  </xdr:twoCellAnchor>
  <xdr:twoCellAnchor editAs="oneCell">
    <xdr:from>
      <xdr:col>4</xdr:col>
      <xdr:colOff>38100</xdr:colOff>
      <xdr:row>5</xdr:row>
      <xdr:rowOff>54409</xdr:rowOff>
    </xdr:from>
    <xdr:to>
      <xdr:col>4</xdr:col>
      <xdr:colOff>450215</xdr:colOff>
      <xdr:row>5</xdr:row>
      <xdr:rowOff>511609</xdr:rowOff>
    </xdr:to>
    <xdr:pic>
      <xdr:nvPicPr>
        <xdr:cNvPr id="40" name="Picture 39" descr="A colorful drawing of a yellow blue and green object&#10;&#10;Description automatically generated with medium confidence">
          <a:extLst>
            <a:ext uri="{FF2B5EF4-FFF2-40B4-BE49-F238E27FC236}">
              <a16:creationId xmlns:a16="http://schemas.microsoft.com/office/drawing/2014/main" id="{B42AFFBA-336B-599F-0567-7A637F6D0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3150" y="3264334"/>
          <a:ext cx="41211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5</xdr:row>
      <xdr:rowOff>76200</xdr:rowOff>
    </xdr:from>
    <xdr:to>
      <xdr:col>4</xdr:col>
      <xdr:colOff>1269365</xdr:colOff>
      <xdr:row>5</xdr:row>
      <xdr:rowOff>533400</xdr:rowOff>
    </xdr:to>
    <xdr:pic>
      <xdr:nvPicPr>
        <xdr:cNvPr id="41" name="Picture 40" descr="A cartoon of a hat&#10;&#10;Description automatically generated">
          <a:extLst>
            <a:ext uri="{FF2B5EF4-FFF2-40B4-BE49-F238E27FC236}">
              <a16:creationId xmlns:a16="http://schemas.microsoft.com/office/drawing/2014/main" id="{F65B1BBC-C1E7-3FCD-F3A4-72D88EC6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3286125"/>
          <a:ext cx="67881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6</xdr:row>
      <xdr:rowOff>252738</xdr:rowOff>
    </xdr:from>
    <xdr:to>
      <xdr:col>4</xdr:col>
      <xdr:colOff>513080</xdr:colOff>
      <xdr:row>6</xdr:row>
      <xdr:rowOff>709938</xdr:rowOff>
    </xdr:to>
    <xdr:pic>
      <xdr:nvPicPr>
        <xdr:cNvPr id="42" name="Picture 41" descr="A blue and yellow object&#10;&#10;Description automatically generated">
          <a:extLst>
            <a:ext uri="{FF2B5EF4-FFF2-40B4-BE49-F238E27FC236}">
              <a16:creationId xmlns:a16="http://schemas.microsoft.com/office/drawing/2014/main" id="{648D7085-C295-EA7A-ECA0-FB3903626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53150" y="4091313"/>
          <a:ext cx="474980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6</xdr:row>
      <xdr:rowOff>133350</xdr:rowOff>
    </xdr:from>
    <xdr:to>
      <xdr:col>4</xdr:col>
      <xdr:colOff>1065530</xdr:colOff>
      <xdr:row>6</xdr:row>
      <xdr:rowOff>590550</xdr:rowOff>
    </xdr:to>
    <xdr:pic>
      <xdr:nvPicPr>
        <xdr:cNvPr id="43" name="Picture 42" descr="A blue and white circle with yellow center&#10;&#10;Description automatically generated">
          <a:extLst>
            <a:ext uri="{FF2B5EF4-FFF2-40B4-BE49-F238E27FC236}">
              <a16:creationId xmlns:a16="http://schemas.microsoft.com/office/drawing/2014/main" id="{BAE42805-2CDD-72AF-B056-AB4DB391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05600" y="3971925"/>
          <a:ext cx="474980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1247775</xdr:colOff>
      <xdr:row>6</xdr:row>
      <xdr:rowOff>114300</xdr:rowOff>
    </xdr:from>
    <xdr:to>
      <xdr:col>4</xdr:col>
      <xdr:colOff>1723390</xdr:colOff>
      <xdr:row>6</xdr:row>
      <xdr:rowOff>571500</xdr:rowOff>
    </xdr:to>
    <xdr:pic>
      <xdr:nvPicPr>
        <xdr:cNvPr id="44" name="Picture 43" descr="A blue and yellow circle&#10;&#10;Description automatically generated">
          <a:extLst>
            <a:ext uri="{FF2B5EF4-FFF2-40B4-BE49-F238E27FC236}">
              <a16:creationId xmlns:a16="http://schemas.microsoft.com/office/drawing/2014/main" id="{F40328BD-C035-CA25-E9E2-147F385B3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62825" y="3952875"/>
          <a:ext cx="47561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7</xdr:row>
      <xdr:rowOff>117692</xdr:rowOff>
    </xdr:from>
    <xdr:to>
      <xdr:col>4</xdr:col>
      <xdr:colOff>450215</xdr:colOff>
      <xdr:row>7</xdr:row>
      <xdr:rowOff>574892</xdr:rowOff>
    </xdr:to>
    <xdr:pic>
      <xdr:nvPicPr>
        <xdr:cNvPr id="45" name="Picture 44" descr="A colorful drawing of a yellow blue and green object&#10;&#10;Description automatically generated with medium confidence">
          <a:extLst>
            <a:ext uri="{FF2B5EF4-FFF2-40B4-BE49-F238E27FC236}">
              <a16:creationId xmlns:a16="http://schemas.microsoft.com/office/drawing/2014/main" id="{B0C68EAF-3356-8A57-4E3D-E9AD75CB7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3150" y="4699217"/>
          <a:ext cx="41211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7</xdr:row>
      <xdr:rowOff>66675</xdr:rowOff>
    </xdr:from>
    <xdr:to>
      <xdr:col>4</xdr:col>
      <xdr:colOff>1269365</xdr:colOff>
      <xdr:row>7</xdr:row>
      <xdr:rowOff>523875</xdr:rowOff>
    </xdr:to>
    <xdr:pic>
      <xdr:nvPicPr>
        <xdr:cNvPr id="46" name="Picture 45" descr="A cartoon of a hat&#10;&#10;Description automatically generated">
          <a:extLst>
            <a:ext uri="{FF2B5EF4-FFF2-40B4-BE49-F238E27FC236}">
              <a16:creationId xmlns:a16="http://schemas.microsoft.com/office/drawing/2014/main" id="{DAFC175A-49FA-DC02-27C7-132D760F9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4648200"/>
          <a:ext cx="67881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1247775</xdr:colOff>
      <xdr:row>7</xdr:row>
      <xdr:rowOff>104775</xdr:rowOff>
    </xdr:from>
    <xdr:to>
      <xdr:col>4</xdr:col>
      <xdr:colOff>1724660</xdr:colOff>
      <xdr:row>7</xdr:row>
      <xdr:rowOff>561975</xdr:rowOff>
    </xdr:to>
    <xdr:pic>
      <xdr:nvPicPr>
        <xdr:cNvPr id="47" name="Picture 46" descr="A blue yellow and green circle&#10;&#10;Description automatically generated">
          <a:extLst>
            <a:ext uri="{FF2B5EF4-FFF2-40B4-BE49-F238E27FC236}">
              <a16:creationId xmlns:a16="http://schemas.microsoft.com/office/drawing/2014/main" id="{4484635E-423C-DCEC-4F8A-727A133CB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62825" y="4686300"/>
          <a:ext cx="47688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1781175</xdr:colOff>
      <xdr:row>7</xdr:row>
      <xdr:rowOff>104775</xdr:rowOff>
    </xdr:from>
    <xdr:to>
      <xdr:col>4</xdr:col>
      <xdr:colOff>2269490</xdr:colOff>
      <xdr:row>7</xdr:row>
      <xdr:rowOff>561975</xdr:rowOff>
    </xdr:to>
    <xdr:pic>
      <xdr:nvPicPr>
        <xdr:cNvPr id="48" name="Picture 47" descr="A colorful circle with a yellow and blue circle&#10;&#10;Description automatically generated">
          <a:extLst>
            <a:ext uri="{FF2B5EF4-FFF2-40B4-BE49-F238E27FC236}">
              <a16:creationId xmlns:a16="http://schemas.microsoft.com/office/drawing/2014/main" id="{5296DBFF-F0F5-1957-E75B-7E0FCAAD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96225" y="4638675"/>
          <a:ext cx="48831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2352675</xdr:colOff>
      <xdr:row>7</xdr:row>
      <xdr:rowOff>104775</xdr:rowOff>
    </xdr:from>
    <xdr:to>
      <xdr:col>4</xdr:col>
      <xdr:colOff>2827655</xdr:colOff>
      <xdr:row>7</xdr:row>
      <xdr:rowOff>561975</xdr:rowOff>
    </xdr:to>
    <xdr:pic>
      <xdr:nvPicPr>
        <xdr:cNvPr id="49" name="Picture 48" descr="A blue green yellow and orange circle&#10;&#10;Description automatically generated">
          <a:extLst>
            <a:ext uri="{FF2B5EF4-FFF2-40B4-BE49-F238E27FC236}">
              <a16:creationId xmlns:a16="http://schemas.microsoft.com/office/drawing/2014/main" id="{D0D64044-CBDD-A9E5-7158-434C1098C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67725" y="4638675"/>
          <a:ext cx="474980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8</xdr:row>
      <xdr:rowOff>192196</xdr:rowOff>
    </xdr:from>
    <xdr:to>
      <xdr:col>4</xdr:col>
      <xdr:colOff>516255</xdr:colOff>
      <xdr:row>8</xdr:row>
      <xdr:rowOff>649396</xdr:rowOff>
    </xdr:to>
    <xdr:pic>
      <xdr:nvPicPr>
        <xdr:cNvPr id="50" name="Picture 49" descr="A cartoon of a fried egg&#10;&#10;Description automatically generated">
          <a:extLst>
            <a:ext uri="{FF2B5EF4-FFF2-40B4-BE49-F238E27FC236}">
              <a16:creationId xmlns:a16="http://schemas.microsoft.com/office/drawing/2014/main" id="{C221220E-10F4-B465-F83B-613652A4B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53150" y="5402371"/>
          <a:ext cx="47815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8</xdr:row>
      <xdr:rowOff>57150</xdr:rowOff>
    </xdr:from>
    <xdr:to>
      <xdr:col>4</xdr:col>
      <xdr:colOff>1065530</xdr:colOff>
      <xdr:row>8</xdr:row>
      <xdr:rowOff>514350</xdr:rowOff>
    </xdr:to>
    <xdr:pic>
      <xdr:nvPicPr>
        <xdr:cNvPr id="51" name="Picture 50" descr="A blue and yellow egg&#10;&#10;Description automatically generated">
          <a:extLst>
            <a:ext uri="{FF2B5EF4-FFF2-40B4-BE49-F238E27FC236}">
              <a16:creationId xmlns:a16="http://schemas.microsoft.com/office/drawing/2014/main" id="{C5013CBC-462C-44C4-00CF-5D0E2E743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5267325"/>
          <a:ext cx="474980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</xdr:row>
      <xdr:rowOff>104775</xdr:rowOff>
    </xdr:from>
    <xdr:to>
      <xdr:col>4</xdr:col>
      <xdr:colOff>495300</xdr:colOff>
      <xdr:row>9</xdr:row>
      <xdr:rowOff>543560</xdr:rowOff>
    </xdr:to>
    <xdr:pic>
      <xdr:nvPicPr>
        <xdr:cNvPr id="52" name="Picture 51" descr="A yellow circle with black outline&#10;&#10;Description automatically generated">
          <a:extLst>
            <a:ext uri="{FF2B5EF4-FFF2-40B4-BE49-F238E27FC236}">
              <a16:creationId xmlns:a16="http://schemas.microsoft.com/office/drawing/2014/main" id="{EAD00126-5F37-A16E-DCB9-3D10A0158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53150" y="6057900"/>
          <a:ext cx="457200" cy="4387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579120</xdr:colOff>
      <xdr:row>36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6E86FB3-7767-E7B3-5B58-4BDD78D5C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9A044421-2BF4-4D6D-BC15-ED07DA3916CD}" name="Table467884" displayName="Table467884" ref="D45:G48" totalsRowShown="0" headerRowDxfId="594" dataDxfId="593" tableBorderDxfId="592">
  <tableColumns count="4">
    <tableColumn id="1" xr3:uid="{09AA7534-A425-48A8-AC80-7E8C84B7A469}" name=" " dataDxfId="591"/>
    <tableColumn id="2" xr3:uid="{5E089CA6-41CB-4155-AEFF-3F7C6C4522AF}" name="I" dataDxfId="590"/>
    <tableColumn id="3" xr3:uid="{01B3CBFB-7065-4EC3-B072-4CF8EFB7DCB7}" name="B" dataDxfId="589"/>
    <tableColumn id="4" xr3:uid="{FA2455E1-F3CA-42E4-959E-31E5B2D0211A}" name="E" dataDxfId="588"/>
  </tableColumns>
  <tableStyleInfo name="TableStyleMedium13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1CBED3F0-9618-4822-87F3-499404E6B55E}" name="Table46213286" displayName="Table46213286" ref="J45:M48" totalsRowShown="0" headerRowDxfId="587" dataDxfId="586" tableBorderDxfId="585">
  <tableColumns count="4">
    <tableColumn id="1" xr3:uid="{DF51C244-489C-4CC1-A4B1-4846E4C73416}" name=" " dataDxfId="584"/>
    <tableColumn id="2" xr3:uid="{5D89C261-0EF9-4882-A0C0-81E16F3632EB}" name="I" dataDxfId="583"/>
    <tableColumn id="3" xr3:uid="{EA321696-BE87-4ADA-A2FD-B6BC1FBD6E4C}" name="B" dataDxfId="582"/>
    <tableColumn id="4" xr3:uid="{2838E07A-D368-4D5E-BF30-14E2BB5690F5}" name="E" dataDxfId="581"/>
  </tableColumns>
  <tableStyleInfo name="TableStyleMedium13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52DB904-D1CD-4D4F-934E-0284A85C07AB}" name="Table46263788" displayName="Table46263788" ref="P45:S48" totalsRowShown="0" headerRowDxfId="580" dataDxfId="579" tableBorderDxfId="578">
  <tableColumns count="4">
    <tableColumn id="1" xr3:uid="{06D336FF-255C-4BE6-9E93-43E0E2B0AC7A}" name=" " dataDxfId="577"/>
    <tableColumn id="2" xr3:uid="{EF120746-F711-4CA9-A70E-1DCB5AE442EB}" name="I" dataDxfId="576"/>
    <tableColumn id="3" xr3:uid="{615329A3-62DE-4FE2-A7B4-6F8A9727D34A}" name="B" dataDxfId="575"/>
    <tableColumn id="4" xr3:uid="{CA76B39C-141C-4419-BA4E-BB3719DB4B44}" name="E" dataDxfId="574"/>
  </tableColumns>
  <tableStyleInfo name="TableStyleMedium13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BCF337-C088-45A5-8177-2330CD847243}" name="Table465421111236" displayName="Table465421111236" ref="C29:F32" totalsRowShown="0" headerRowDxfId="573" dataDxfId="572" tableBorderDxfId="571">
  <tableColumns count="4">
    <tableColumn id="1" xr3:uid="{27B7D6E6-9141-4D09-96CB-212F3ECBF99B}" name=" " dataDxfId="570"/>
    <tableColumn id="2" xr3:uid="{B909B3C8-4516-4081-8FB1-4EF1C6285F27}" name="I" dataDxfId="569">
      <calculatedColumnFormula>'DE-9IM Matrixes'!D29</calculatedColumnFormula>
    </tableColumn>
    <tableColumn id="3" xr3:uid="{C4722D79-3C8F-44DA-A5EC-1069E91EA114}" name="B" dataDxfId="568" dataCellStyle="Accent3">
      <calculatedColumnFormula>'DE-9IM Matrixes'!E29</calculatedColumnFormula>
    </tableColumn>
    <tableColumn id="4" xr3:uid="{CD6770A2-50B7-4FCE-AFB9-5095EF91F986}" name="E" dataDxfId="567" dataCellStyle="20% - Accent5">
      <calculatedColumnFormula>'DE-9IM Matrixes'!F29</calculatedColumnFormula>
    </tableColumn>
  </tableColumns>
  <tableStyleInfo name="TableStyleMedium13" showFirstColumn="1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A32725-67AC-4463-B480-6088637FB139}" name="Table462031511131247" displayName="Table462031511131247" ref="I29:L32" totalsRowShown="0" headerRowDxfId="566" dataDxfId="565" tableBorderDxfId="564">
  <tableColumns count="4">
    <tableColumn id="1" xr3:uid="{3B7797B4-A0E6-4C8B-8B53-AAECA14D8833}" name=" " dataDxfId="563"/>
    <tableColumn id="2" xr3:uid="{66AB3C13-78A6-42D7-A679-A7DD1BEB1906}" name="I" dataDxfId="562">
      <calculatedColumnFormula>'DE-9IM Matrixes'!J29</calculatedColumnFormula>
    </tableColumn>
    <tableColumn id="3" xr3:uid="{34F967D8-DE7A-456C-95DF-47F423B1BE82}" name="B" dataDxfId="561" dataCellStyle="Accent3">
      <calculatedColumnFormula>'DE-9IM Matrixes'!K29</calculatedColumnFormula>
    </tableColumn>
    <tableColumn id="4" xr3:uid="{4F38409A-3AD8-4A73-AC79-829A9D9BF8D9}" name="E" dataDxfId="560" dataCellStyle="20% - Accent5">
      <calculatedColumnFormula>'DE-9IM Matrixes'!L29</calculatedColumnFormula>
    </tableColumn>
  </tableColumns>
  <tableStyleInfo name="TableStyleMedium13" showFirstColumn="1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B4F1B9-5BA1-4F5D-B286-428E40BD7F40}" name="Table462536561151259" displayName="Table462536561151259" ref="O29:R32" totalsRowShown="0" headerRowDxfId="559" dataDxfId="558" tableBorderDxfId="557">
  <tableColumns count="4">
    <tableColumn id="1" xr3:uid="{C8F07AE9-BC66-409F-B54A-C538835490DD}" name=" " dataDxfId="556"/>
    <tableColumn id="2" xr3:uid="{30C2A107-B583-4933-BDD1-2E5B4E5F5C17}" name="I" dataDxfId="555">
      <calculatedColumnFormula>'DE-9IM Matrixes'!P29</calculatedColumnFormula>
    </tableColumn>
    <tableColumn id="3" xr3:uid="{AFEA32AC-E2D4-4C0F-ACAB-EAE4D7940419}" name="B" dataDxfId="554" dataCellStyle="Accent3">
      <calculatedColumnFormula>'DE-9IM Matrixes'!Q29</calculatedColumnFormula>
    </tableColumn>
    <tableColumn id="4" xr3:uid="{9DD4B7A9-06CF-42CD-B646-0D6C0EF71BBE}" name="E" dataDxfId="553" dataCellStyle="20% - Accent5">
      <calculatedColumnFormula>'DE-9IM Matrixes'!R29</calculatedColumnFormula>
    </tableColumn>
  </tableColumns>
  <tableStyleInfo name="TableStyleMedium13" showFirstColumn="1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B00938-79DA-4539-AD33-745BE2B630C7}" name="Table4678436612610" displayName="Table4678436612610" ref="C14:F17" totalsRowShown="0" headerRowDxfId="552" dataDxfId="551" tableBorderDxfId="550">
  <tableColumns count="4">
    <tableColumn id="1" xr3:uid="{44401A24-C642-4F82-A0DF-D57DD4AC4AD6}" name=" " dataDxfId="549"/>
    <tableColumn id="2" xr3:uid="{6495FD16-BBF9-4690-B37C-EAFFC35B9225}" name="I" dataDxfId="548">
      <calculatedColumnFormula>'DE-9IM Matrixes'!D14</calculatedColumnFormula>
    </tableColumn>
    <tableColumn id="3" xr3:uid="{E4D6D7E6-3CD1-4DDB-83F9-944FF61AD198}" name="B" dataDxfId="547" dataCellStyle="Accent3">
      <calculatedColumnFormula>'DE-9IM Matrixes'!E14</calculatedColumnFormula>
    </tableColumn>
    <tableColumn id="4" xr3:uid="{7372FAC7-483B-436D-A5E0-F0163599B8DE}" name="E" dataDxfId="546" dataCellStyle="20% - Accent5">
      <calculatedColumnFormula>'DE-9IM Matrixes'!F14</calculatedColumnFormula>
    </tableColumn>
  </tableColumns>
  <tableStyleInfo name="TableStyleMedium13" showFirstColumn="1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1CE50C-23AC-4D5F-9413-DE94DB3DDEF6}" name="Table462132527512711" displayName="Table462132527512711" ref="I14:L17" totalsRowShown="0" headerRowDxfId="545" dataDxfId="544" tableBorderDxfId="543">
  <tableColumns count="4">
    <tableColumn id="1" xr3:uid="{9EED8CBA-43EB-4723-81CA-D457152E0E98}" name=" " dataDxfId="542"/>
    <tableColumn id="2" xr3:uid="{A1256618-8C9D-49E5-AC73-A312F9608AEF}" name="I" dataDxfId="541">
      <calculatedColumnFormula>'DE-9IM Matrixes'!J14</calculatedColumnFormula>
    </tableColumn>
    <tableColumn id="3" xr3:uid="{45D45D1C-22E4-4A09-9FD9-EC4AC4C4DB43}" name="B" dataDxfId="540" dataCellStyle="Accent3">
      <calculatedColumnFormula>'DE-9IM Matrixes'!K14</calculatedColumnFormula>
    </tableColumn>
    <tableColumn id="4" xr3:uid="{7AA09486-EBD4-4B38-A392-FC05605AC46F}" name="E" dataDxfId="539" dataCellStyle="20% - Accent5">
      <calculatedColumnFormula>'DE-9IM Matrixes'!L14</calculatedColumnFormula>
    </tableColumn>
  </tableColumns>
  <tableStyleInfo name="TableStyleMedium13" showFirstColumn="1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2CBA65-A302-42D8-AAFC-275D68B73B4A}" name="Table462637578012812" displayName="Table462637578012812" ref="O14:R17" totalsRowShown="0" headerRowDxfId="538" dataDxfId="537" tableBorderDxfId="536">
  <tableColumns count="4">
    <tableColumn id="1" xr3:uid="{B3386A60-F720-48A1-8D9C-D5E5340599F6}" name=" " dataDxfId="535"/>
    <tableColumn id="2" xr3:uid="{AB1DFD94-EF48-47B7-B23B-F23F2716FA78}" name="I" dataDxfId="534">
      <calculatedColumnFormula>'DE-9IM Matrixes'!P14</calculatedColumnFormula>
    </tableColumn>
    <tableColumn id="3" xr3:uid="{22ED7724-B068-4619-94AA-A486A7C03E79}" name="B" dataDxfId="533" dataCellStyle="Accent3">
      <calculatedColumnFormula>'DE-9IM Matrixes'!Q14</calculatedColumnFormula>
    </tableColumn>
    <tableColumn id="4" xr3:uid="{7F9C5CF9-E552-46DE-9777-AD174EEA92C7}" name="E" dataDxfId="532" dataCellStyle="20% - Accent5">
      <calculatedColumnFormula>'DE-9IM Matrixes'!R14</calculatedColumnFormula>
    </tableColumn>
  </tableColumns>
  <tableStyleInfo name="TableStyleMedium13" showFirstColumn="1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15697F-9E21-45AC-9C4B-42581D698FC0}" name="Table46542659912913" displayName="Table46542659912913" ref="C19:F22" totalsRowShown="0" headerRowDxfId="531" dataDxfId="530" tableBorderDxfId="529">
  <tableColumns count="4">
    <tableColumn id="1" xr3:uid="{E7DE6E4E-1095-44B0-B31F-6B6144606A90}" name=" " dataDxfId="528"/>
    <tableColumn id="2" xr3:uid="{88B7FB85-AA88-469C-8696-2A2517CA6F0C}" name="I" dataDxfId="527">
      <calculatedColumnFormula>'DE-9IM Matrixes'!D19</calculatedColumnFormula>
    </tableColumn>
    <tableColumn id="3" xr3:uid="{1BD7AC78-06AD-4D70-A311-F2BCF1F70A65}" name="B" dataDxfId="526" dataCellStyle="Accent3">
      <calculatedColumnFormula>'DE-9IM Matrixes'!E19</calculatedColumnFormula>
    </tableColumn>
    <tableColumn id="4" xr3:uid="{D0A6E4B7-2A41-433B-9325-4AB6600DB659}" name="E" dataDxfId="525" dataCellStyle="20% - Accent5">
      <calculatedColumnFormula>'DE-9IM Matrixes'!F19</calculatedColumnFormula>
    </tableColumn>
  </tableColumns>
  <tableStyleInfo name="TableStyleMedium13" showFirstColumn="1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B46E7A-F4EC-4E9A-B442-2391A4D67702}" name="Table4678436610013014" displayName="Table4678436610013014" ref="C24:F27" totalsRowShown="0" headerRowDxfId="524" dataDxfId="523" tableBorderDxfId="522">
  <tableColumns count="4">
    <tableColumn id="1" xr3:uid="{4CF28BD4-CEAC-4130-A61B-FF7ACCF41991}" name=" " dataDxfId="521"/>
    <tableColumn id="2" xr3:uid="{495907A4-EDBB-4F24-AF90-0C0DFF62F63F}" name="I" dataDxfId="520">
      <calculatedColumnFormula>'DE-9IM Matrixes'!D24</calculatedColumnFormula>
    </tableColumn>
    <tableColumn id="3" xr3:uid="{EDC0270E-5473-4AB8-AB41-16DEB744AD2F}" name="B" dataDxfId="519" dataCellStyle="Accent3">
      <calculatedColumnFormula>'DE-9IM Matrixes'!E24</calculatedColumnFormula>
    </tableColumn>
    <tableColumn id="4" xr3:uid="{B995BCF9-E8A4-4F62-9580-B755E72B461F}" name="E" dataDxfId="518" dataCellStyle="20% - Accent5">
      <calculatedColumnFormula>'DE-9IM Matrixes'!F24</calculatedColumnFormula>
    </tableColumn>
  </tableColumns>
  <tableStyleInfo name="TableStyleMedium13" showFirstColumn="1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844F2C7-87CB-4429-B5A6-8E9B6167AF2F}" name="Table462031517410113115" displayName="Table462031517410113115" ref="I19:L22" totalsRowShown="0" headerRowDxfId="517" dataDxfId="516" tableBorderDxfId="515">
  <tableColumns count="4">
    <tableColumn id="1" xr3:uid="{109069E1-3047-49DA-967F-AC702CE3F5A7}" name=" " dataDxfId="514"/>
    <tableColumn id="2" xr3:uid="{ECE9622B-A2F4-4062-9EFA-5F59089FA0F9}" name="I" dataDxfId="513">
      <calculatedColumnFormula>'DE-9IM Matrixes'!J19</calculatedColumnFormula>
    </tableColumn>
    <tableColumn id="3" xr3:uid="{7E0237F3-63C6-4725-A638-2B98D791B258}" name="B" dataDxfId="512" dataCellStyle="Accent3">
      <calculatedColumnFormula>'DE-9IM Matrixes'!K19</calculatedColumnFormula>
    </tableColumn>
    <tableColumn id="4" xr3:uid="{19237132-8E6C-4E81-8F82-49DEADBA19F9}" name="E" dataDxfId="511" dataCellStyle="20% - Accent5">
      <calculatedColumnFormula>'DE-9IM Matrixes'!L19</calculatedColumnFormula>
    </tableColumn>
  </tableColumns>
  <tableStyleInfo name="TableStyleMedium13" showFirstColumn="1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1F87311-4DE6-4F61-931B-8EDC850900F8}" name="Table462132527510213216" displayName="Table462132527510213216" ref="I24:L27" totalsRowShown="0" headerRowDxfId="510" dataDxfId="509" tableBorderDxfId="508">
  <tableColumns count="4">
    <tableColumn id="1" xr3:uid="{E1D087FF-A378-47DA-8908-78373EC008D7}" name=" " dataDxfId="507"/>
    <tableColumn id="2" xr3:uid="{204805DF-1B7B-4AD1-A79F-9401E0E97F9C}" name="I" dataDxfId="506">
      <calculatedColumnFormula>'DE-9IM Matrixes'!J24</calculatedColumnFormula>
    </tableColumn>
    <tableColumn id="3" xr3:uid="{5C3B449B-FDCB-4F08-AE8B-C3B1E5CD052D}" name="B" dataDxfId="505" dataCellStyle="Accent3">
      <calculatedColumnFormula>'DE-9IM Matrixes'!K24</calculatedColumnFormula>
    </tableColumn>
    <tableColumn id="4" xr3:uid="{03F0365B-CBF4-4C09-8D7E-E2ABC2A26576}" name="E" dataDxfId="504" dataCellStyle="20% - Accent5">
      <calculatedColumnFormula>'DE-9IM Matrixes'!L24</calculatedColumnFormula>
    </tableColumn>
  </tableColumns>
  <tableStyleInfo name="TableStyleMedium13" showFirstColumn="1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22EAB4B-76B0-4EE7-A5C9-C18E05517B12}" name="Table462536567910313317" displayName="Table462536567910313317" ref="O19:R22" totalsRowShown="0" headerRowDxfId="503" dataDxfId="502" tableBorderDxfId="501">
  <tableColumns count="4">
    <tableColumn id="1" xr3:uid="{818DBEDC-68F1-4077-942C-23D930ACC56A}" name=" " dataDxfId="500"/>
    <tableColumn id="2" xr3:uid="{2C2D4059-33E1-483B-AB00-99ACF3A9AF7A}" name="I" dataDxfId="499">
      <calculatedColumnFormula>'DE-9IM Matrixes'!P19</calculatedColumnFormula>
    </tableColumn>
    <tableColumn id="3" xr3:uid="{32B5005B-94C2-46B1-86F0-CB47237FD9F2}" name="B" dataDxfId="498" dataCellStyle="Accent3">
      <calculatedColumnFormula>'DE-9IM Matrixes'!Q19</calculatedColumnFormula>
    </tableColumn>
    <tableColumn id="4" xr3:uid="{A285E6B5-96DB-4A27-984D-6184536BF5F7}" name="E" dataDxfId="497" dataCellStyle="20% - Accent5">
      <calculatedColumnFormula>'DE-9IM Matrixes'!R19</calculatedColumnFormula>
    </tableColumn>
  </tableColumns>
  <tableStyleInfo name="TableStyleMedium13" showFirstColumn="1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47099E8-F447-49F4-A93C-76D7A3B2D724}" name="Table462637578010413418" displayName="Table462637578010413418" ref="O24:R27" totalsRowShown="0" headerRowDxfId="496" dataDxfId="495" tableBorderDxfId="494">
  <tableColumns count="4">
    <tableColumn id="1" xr3:uid="{9015D339-EA14-4F8A-8F6C-0CA99456B3F8}" name=" " dataDxfId="493"/>
    <tableColumn id="2" xr3:uid="{0646C4A9-E90D-46E6-93FF-612EB8664717}" name="I" dataDxfId="492">
      <calculatedColumnFormula>'DE-9IM Matrixes'!P24</calculatedColumnFormula>
    </tableColumn>
    <tableColumn id="3" xr3:uid="{AF7371E2-954C-419B-ABC4-E70C16AAE623}" name="B" dataDxfId="491" dataCellStyle="Accent3">
      <calculatedColumnFormula>'DE-9IM Matrixes'!Q24</calculatedColumnFormula>
    </tableColumn>
    <tableColumn id="4" xr3:uid="{5665999D-EC49-4E01-BCB3-996E683EBE6E}" name="E" dataDxfId="490" dataCellStyle="20% - Accent5">
      <calculatedColumnFormula>'DE-9IM Matrixes'!R24</calculatedColumnFormula>
    </tableColumn>
  </tableColumns>
  <tableStyleInfo name="TableStyleMedium13" showFirstColumn="1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EEC2FD1-8566-4EAC-83F1-24464809EB1D}" name="Table465426510513519" displayName="Table465426510513519" ref="C34:F37" totalsRowShown="0" headerRowDxfId="489" dataDxfId="488" tableBorderDxfId="487">
  <tableColumns count="4">
    <tableColumn id="1" xr3:uid="{534FFDD1-4D18-406B-AAB0-8B7283996F8E}" name=" " dataDxfId="486"/>
    <tableColumn id="2" xr3:uid="{14B5BE2B-81BD-4CBA-8061-7F73B0F326E2}" name="I" dataDxfId="485">
      <calculatedColumnFormula>'DE-9IM Matrixes'!D34</calculatedColumnFormula>
    </tableColumn>
    <tableColumn id="3" xr3:uid="{1889731F-7082-42C1-9799-F5D2ACE655D0}" name="B" dataDxfId="484" dataCellStyle="Accent3">
      <calculatedColumnFormula>'DE-9IM Matrixes'!E34</calculatedColumnFormula>
    </tableColumn>
    <tableColumn id="4" xr3:uid="{94D23ABC-A6AA-4F41-836C-E6E702F76942}" name="E" dataDxfId="483" dataCellStyle="20% - Accent5">
      <calculatedColumnFormula>'DE-9IM Matrixes'!F34</calculatedColumnFormula>
    </tableColumn>
  </tableColumns>
  <tableStyleInfo name="TableStyleMedium13" showFirstColumn="1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1FACD29-2C75-45B1-9BAD-5B5FEFF2F73E}" name="Table462031517410713620" displayName="Table462031517410713620" ref="I34:L37" totalsRowShown="0" headerRowDxfId="482" dataDxfId="481" tableBorderDxfId="480">
  <tableColumns count="4">
    <tableColumn id="1" xr3:uid="{10FE5F10-D0E8-4FE2-81E9-4151C2C967A7}" name=" " dataDxfId="479"/>
    <tableColumn id="2" xr3:uid="{079057B3-F431-4E4F-9763-12BDA8A2FCBA}" name="I" dataDxfId="478">
      <calculatedColumnFormula>'DE-9IM Matrixes'!J34</calculatedColumnFormula>
    </tableColumn>
    <tableColumn id="3" xr3:uid="{ACB312F5-C52F-43C1-A78D-13766974FD42}" name="B" dataDxfId="477" dataCellStyle="Accent3">
      <calculatedColumnFormula>'DE-9IM Matrixes'!K34</calculatedColumnFormula>
    </tableColumn>
    <tableColumn id="4" xr3:uid="{6E2C73F7-4A86-436F-93A9-C7372E9ABC6B}" name="E" dataDxfId="476" dataCellStyle="20% - Accent5">
      <calculatedColumnFormula>'DE-9IM Matrixes'!L34</calculatedColumnFormula>
    </tableColumn>
  </tableColumns>
  <tableStyleInfo name="TableStyleMedium13" showFirstColumn="1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1528B18-0D6C-4CF9-B9D1-C1E9FCA35881}" name="Table462536567910913721" displayName="Table462536567910913721" ref="O34:R37" totalsRowShown="0" headerRowDxfId="475" dataDxfId="474" tableBorderDxfId="473">
  <tableColumns count="4">
    <tableColumn id="1" xr3:uid="{7C2948E4-8D02-46D7-8569-A68D30C2DC03}" name=" " dataDxfId="472"/>
    <tableColumn id="2" xr3:uid="{BEA53A92-88EE-46C3-B5F8-D9E119A2E393}" name="I" dataDxfId="471">
      <calculatedColumnFormula>'DE-9IM Matrixes'!P34</calculatedColumnFormula>
    </tableColumn>
    <tableColumn id="3" xr3:uid="{576FDBA6-8060-41CC-970B-96AB4AADC690}" name="B" dataDxfId="470" dataCellStyle="Accent3">
      <calculatedColumnFormula>'DE-9IM Matrixes'!Q34</calculatedColumnFormula>
    </tableColumn>
    <tableColumn id="4" xr3:uid="{F2BE0282-7ECF-403B-A3A5-907FC24FAD59}" name="E" dataDxfId="469" dataCellStyle="20% - Accent5">
      <calculatedColumnFormula>'DE-9IM Matrixes'!R34</calculatedColumnFormula>
    </tableColumn>
  </tableColumns>
  <tableStyleInfo name="TableStyleMedium13" showFirstColumn="1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A9C3EBD-5DE6-4BF9-8988-A6DE574EE7B1}" name="Table46542658211713822" displayName="Table46542658211713822" ref="C39:F42" totalsRowShown="0" headerRowDxfId="468" dataDxfId="467" tableBorderDxfId="466">
  <tableColumns count="4">
    <tableColumn id="1" xr3:uid="{7D9D49EF-8512-4104-8912-F7BB88798573}" name=" " dataDxfId="465"/>
    <tableColumn id="2" xr3:uid="{99F03A50-0D53-4763-AC4A-488FB7116352}" name="I" dataDxfId="464">
      <calculatedColumnFormula>'DE-9IM Matrixes'!D39</calculatedColumnFormula>
    </tableColumn>
    <tableColumn id="3" xr3:uid="{48CF5617-D91F-4D76-8D60-82C5FE7FFFEC}" name="B" dataDxfId="463" dataCellStyle="Accent3">
      <calculatedColumnFormula>'DE-9IM Matrixes'!E39</calculatedColumnFormula>
    </tableColumn>
    <tableColumn id="4" xr3:uid="{A01133E4-DCB5-45B7-8BE2-158BD7E2121E}" name="E" dataDxfId="462" dataCellStyle="20% - Accent5">
      <calculatedColumnFormula>'DE-9IM Matrixes'!F39</calculatedColumnFormula>
    </tableColumn>
  </tableColumns>
  <tableStyleInfo name="TableStyleMedium13" showFirstColumn="1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53A8B9-8527-4D67-BF9E-77346FAE86BD}" name="Table467843668311813923" displayName="Table467843668311813923" ref="C44:F47" totalsRowShown="0" headerRowDxfId="461" dataDxfId="460" tableBorderDxfId="459">
  <tableColumns count="4">
    <tableColumn id="1" xr3:uid="{D66BDE43-F4BC-44F1-BEFC-208EF3A25D09}" name=" " dataDxfId="458"/>
    <tableColumn id="2" xr3:uid="{9A6340E2-1D5E-45B9-AE9E-FE2700CF0BC2}" name="I" dataDxfId="457">
      <calculatedColumnFormula>'DE-9IM Matrixes'!D44</calculatedColumnFormula>
    </tableColumn>
    <tableColumn id="3" xr3:uid="{E84894ED-CF3E-4A86-A02C-55F382CCF1C1}" name="B" dataDxfId="456" dataCellStyle="Accent3">
      <calculatedColumnFormula>'DE-9IM Matrixes'!E44</calculatedColumnFormula>
    </tableColumn>
    <tableColumn id="4" xr3:uid="{C4B87D92-0523-45E9-B113-0A013D0CB64A}" name="E" dataDxfId="455" dataCellStyle="20% - Accent5">
      <calculatedColumnFormula>'DE-9IM Matrixes'!F44</calculatedColumnFormula>
    </tableColumn>
  </tableColumns>
  <tableStyleInfo name="TableStyleMedium13" showFirstColumn="1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B8F0FCB-1F0B-4BC1-AE55-6BD9B1DAC2EB}" name="Table46203151749111914024" displayName="Table46203151749111914024" ref="I39:L42" totalsRowShown="0" headerRowDxfId="454" dataDxfId="453" tableBorderDxfId="452">
  <tableColumns count="4">
    <tableColumn id="1" xr3:uid="{61ECC956-DE89-4D1C-84D9-469B93ED447E}" name=" " dataDxfId="451"/>
    <tableColumn id="2" xr3:uid="{3A95D1E2-82D7-496B-BEFE-1D8941434EE5}" name="I" dataDxfId="450">
      <calculatedColumnFormula>'DE-9IM Matrixes'!J39</calculatedColumnFormula>
    </tableColumn>
    <tableColumn id="3" xr3:uid="{192C9948-519B-4936-A9E7-8B76704E806B}" name="B" dataDxfId="449" dataCellStyle="Accent3">
      <calculatedColumnFormula>'DE-9IM Matrixes'!K39</calculatedColumnFormula>
    </tableColumn>
    <tableColumn id="4" xr3:uid="{8966481E-8990-4585-BEC9-A81EAB069337}" name="E" dataDxfId="448" dataCellStyle="20% - Accent5">
      <calculatedColumnFormula>'DE-9IM Matrixes'!L39</calculatedColumnFormula>
    </tableColumn>
  </tableColumns>
  <tableStyleInfo name="TableStyleMedium13" showFirstColumn="1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F259BEF-5F32-43F0-B4F2-4EE7340F967E}" name="Table46213252759212014125" displayName="Table46213252759212014125" ref="I44:L47" totalsRowShown="0" headerRowDxfId="447" dataDxfId="446" tableBorderDxfId="445">
  <tableColumns count="4">
    <tableColumn id="1" xr3:uid="{D3B77F80-00A8-4866-93FC-76E92072E53A}" name=" " dataDxfId="444"/>
    <tableColumn id="2" xr3:uid="{5373A697-E417-46A7-AA3F-D45DEF2683E2}" name="I" dataDxfId="443">
      <calculatedColumnFormula>'DE-9IM Matrixes'!J44</calculatedColumnFormula>
    </tableColumn>
    <tableColumn id="3" xr3:uid="{737CF106-B8A4-44AC-AC79-1D8C4A8722FB}" name="B" dataDxfId="442" dataCellStyle="Accent3">
      <calculatedColumnFormula>'DE-9IM Matrixes'!K44</calculatedColumnFormula>
    </tableColumn>
    <tableColumn id="4" xr3:uid="{3AA62200-1688-4B8B-89E0-F191E8471E35}" name="E" dataDxfId="441" dataCellStyle="20% - Accent5">
      <calculatedColumnFormula>'DE-9IM Matrixes'!L44</calculatedColumnFormula>
    </tableColumn>
  </tableColumns>
  <tableStyleInfo name="TableStyleMedium13" showFirstColumn="1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F384103-7E3A-4DF8-88A6-58B3F92EECED}" name="Table46253656799612114226" displayName="Table46253656799612114226" ref="O39:R42" totalsRowShown="0" headerRowDxfId="440" dataDxfId="439" tableBorderDxfId="438">
  <tableColumns count="4">
    <tableColumn id="1" xr3:uid="{2D171D9D-C755-4E44-BF2E-7E4D662AB744}" name=" " dataDxfId="437"/>
    <tableColumn id="2" xr3:uid="{7D4D8984-18C8-47BE-A344-A7485FA31933}" name="I" dataDxfId="436">
      <calculatedColumnFormula>'DE-9IM Matrixes'!P39</calculatedColumnFormula>
    </tableColumn>
    <tableColumn id="3" xr3:uid="{E3459395-66FF-455F-9F2B-15A2BB611DEB}" name="B" dataDxfId="435" dataCellStyle="Accent3">
      <calculatedColumnFormula>'DE-9IM Matrixes'!Q39</calculatedColumnFormula>
    </tableColumn>
    <tableColumn id="4" xr3:uid="{735647B3-4D14-4E20-B609-97B45D96BAED}" name="E" dataDxfId="434" dataCellStyle="20% - Accent5">
      <calculatedColumnFormula>'DE-9IM Matrixes'!R39</calculatedColumnFormula>
    </tableColumn>
  </tableColumns>
  <tableStyleInfo name="TableStyleMedium13" showFirstColumn="1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0AF85F9-F365-4576-9ACC-3B6DA460F41D}" name="Table46263757809712214327" displayName="Table46263757809712214327" ref="O44:R47" totalsRowShown="0" headerRowDxfId="433" dataDxfId="432" tableBorderDxfId="431">
  <tableColumns count="4">
    <tableColumn id="1" xr3:uid="{AE453449-EB48-49A2-9C86-D75DD934D361}" name=" " dataDxfId="430"/>
    <tableColumn id="2" xr3:uid="{4EE4F451-30E4-44E5-A5B5-0C97DA63A8AF}" name="I" dataDxfId="429">
      <calculatedColumnFormula>'DE-9IM Matrixes'!P44</calculatedColumnFormula>
    </tableColumn>
    <tableColumn id="3" xr3:uid="{34B03325-10E0-4A63-B8F5-B7AF27291C42}" name="B" dataDxfId="428" dataCellStyle="Accent3">
      <calculatedColumnFormula>'DE-9IM Matrixes'!Q44</calculatedColumnFormula>
    </tableColumn>
    <tableColumn id="4" xr3:uid="{11AF5014-C1C2-464F-86B3-BE3EF9C09426}" name="E" dataDxfId="427" dataCellStyle="20% - Accent5">
      <calculatedColumnFormula>'DE-9IM Matrixes'!R44</calculatedColumnFormula>
    </tableColumn>
  </tableColumns>
  <tableStyleInfo name="TableStyleMedium13" showFirstColumn="1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BB1301C-CC29-4FC2-8F82-EE2015C1397B}" name="Table46542658214428" displayName="Table46542658214428" ref="C4:F7" totalsRowShown="0" headerRowDxfId="426" dataDxfId="425">
  <tableColumns count="4">
    <tableColumn id="1" xr3:uid="{5D967A58-E893-48E3-8976-9380BEA2244F}" name=" " dataDxfId="424"/>
    <tableColumn id="2" xr3:uid="{06EED663-6597-408A-AB13-6CA068ECD556}" name="I" dataDxfId="423">
      <calculatedColumnFormula>'DE-9IM Matrixes'!D4</calculatedColumnFormula>
    </tableColumn>
    <tableColumn id="3" xr3:uid="{0F28E5C1-2623-46F2-BB12-EDA42DBEAAEC}" name="B" dataDxfId="422" dataCellStyle="Accent3">
      <calculatedColumnFormula>'DE-9IM Matrixes'!E4</calculatedColumnFormula>
    </tableColumn>
    <tableColumn id="4" xr3:uid="{E0CD7C6B-AA92-48D5-AAD4-73354E59DCBB}" name="E" dataDxfId="421" dataCellStyle="20% - Accent5">
      <calculatedColumnFormula>'DE-9IM Matrixes'!F4</calculatedColumnFormula>
    </tableColumn>
  </tableColumns>
  <tableStyleInfo name="TableStyleMedium13" showFirstColumn="1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C605A7F-6C3D-4878-AC53-276BD4B92B7F}" name="Table467843668314529" displayName="Table467843668314529" ref="C9:F12" totalsRowShown="0" headerRowDxfId="420" tableBorderDxfId="419">
  <tableColumns count="4">
    <tableColumn id="1" xr3:uid="{341EF3D7-32EA-4435-8978-1876BC7A43F1}" name=" " dataDxfId="418"/>
    <tableColumn id="2" xr3:uid="{F1C5B8FA-E946-40F9-AF44-6786A468ED4E}" name="I" dataDxfId="417">
      <calculatedColumnFormula>'DE-9IM Matrixes'!D9</calculatedColumnFormula>
    </tableColumn>
    <tableColumn id="3" xr3:uid="{6F98D351-3D4B-4A13-BD90-6AD224E3509A}" name="B" dataDxfId="416" dataCellStyle="Accent3">
      <calculatedColumnFormula>'DE-9IM Matrixes'!E9</calculatedColumnFormula>
    </tableColumn>
    <tableColumn id="4" xr3:uid="{89A19387-14A6-485C-A608-CE2A3168B91A}" name="E" dataDxfId="415" dataCellStyle="20% - Accent5">
      <calculatedColumnFormula>'DE-9IM Matrixes'!F9</calculatedColumnFormula>
    </tableColumn>
  </tableColumns>
  <tableStyleInfo name="TableStyleMedium13" showFirstColumn="1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C730B1F-DBB4-4137-B012-99850400227A}" name="Table46203151749114630" displayName="Table46203151749114630" ref="I4:L7" totalsRowShown="0" headerRowDxfId="414" dataDxfId="413">
  <tableColumns count="4">
    <tableColumn id="1" xr3:uid="{A536CBA0-068E-4AAE-944B-62BB6E525E23}" name=" " dataDxfId="412"/>
    <tableColumn id="2" xr3:uid="{27EB0BB1-CFDA-440E-B58C-2F17F9DB8D93}" name="I" dataDxfId="411">
      <calculatedColumnFormula>'DE-9IM Matrixes'!J4</calculatedColumnFormula>
    </tableColumn>
    <tableColumn id="3" xr3:uid="{6153445A-B844-46E6-9AA2-9CB67D9BAEC9}" name="B" dataDxfId="410" dataCellStyle="Accent3">
      <calculatedColumnFormula>'DE-9IM Matrixes'!K4</calculatedColumnFormula>
    </tableColumn>
    <tableColumn id="4" xr3:uid="{76D91D65-F56D-4951-B106-B8B7C8BCCB1D}" name="E" dataDxfId="409" dataCellStyle="20% - Accent5">
      <calculatedColumnFormula>'DE-9IM Matrixes'!L4</calculatedColumnFormula>
    </tableColumn>
  </tableColumns>
  <tableStyleInfo name="TableStyleMedium13" showFirstColumn="1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5190913-B447-48E6-9C54-059C88DD9EB5}" name="Table46213252759214733" displayName="Table46213252759214733" ref="I9:L12" totalsRowShown="0" headerRowDxfId="408" tableBorderDxfId="407">
  <tableColumns count="4">
    <tableColumn id="1" xr3:uid="{22009DD6-01D6-438D-B094-6E1B286BB6D6}" name=" " dataDxfId="406"/>
    <tableColumn id="2" xr3:uid="{378D21A4-146D-446B-B544-2F332DF52A19}" name="I" dataDxfId="405">
      <calculatedColumnFormula>'DE-9IM Matrixes'!J9</calculatedColumnFormula>
    </tableColumn>
    <tableColumn id="3" xr3:uid="{E568D28D-13C7-4CBD-8131-5F0CD386C5A8}" name="B" dataDxfId="404" dataCellStyle="Accent3">
      <calculatedColumnFormula>'DE-9IM Matrixes'!K9</calculatedColumnFormula>
    </tableColumn>
    <tableColumn id="4" xr3:uid="{6C5D8639-6F66-4EDB-B337-09FE9AE9EEC4}" name="E" dataDxfId="403" dataCellStyle="20% - Accent5">
      <calculatedColumnFormula>'DE-9IM Matrixes'!L9</calculatedColumnFormula>
    </tableColumn>
  </tableColumns>
  <tableStyleInfo name="TableStyleMedium13" showFirstColumn="1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14E1068-8F2C-45F8-B424-AC2E20AEC0EF}" name="Table46253656799614834" displayName="Table46253656799614834" ref="O4:R7" totalsRowShown="0" headerRowDxfId="402" dataDxfId="401">
  <tableColumns count="4">
    <tableColumn id="1" xr3:uid="{599BD426-B418-4A00-9A4D-730970749445}" name=" " dataDxfId="400"/>
    <tableColumn id="2" xr3:uid="{5FEFF199-71A4-4718-948A-704314AD07AC}" name="I" dataDxfId="399">
      <calculatedColumnFormula>'DE-9IM Matrixes'!P4</calculatedColumnFormula>
    </tableColumn>
    <tableColumn id="3" xr3:uid="{656B669B-2197-45E8-96F9-37F6861786DA}" name="B" dataDxfId="398" dataCellStyle="Accent3">
      <calculatedColumnFormula>'DE-9IM Matrixes'!Q4</calculatedColumnFormula>
    </tableColumn>
    <tableColumn id="4" xr3:uid="{6AA39BEE-D84F-4DE3-ACF3-B0CF864C6ED1}" name="E" dataDxfId="397" dataCellStyle="20% - Accent5">
      <calculatedColumnFormula>'DE-9IM Matrixes'!R4</calculatedColumnFormula>
    </tableColumn>
  </tableColumns>
  <tableStyleInfo name="TableStyleMedium13" showFirstColumn="1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117F2F1-DBBF-436B-858C-93BAA6C35808}" name="Table46263757809714935" displayName="Table46263757809714935" ref="O9:R12" totalsRowShown="0" headerRowDxfId="396" tableBorderDxfId="395">
  <tableColumns count="4">
    <tableColumn id="1" xr3:uid="{04327F23-8BF7-4907-BCD4-50E4D6D20B36}" name=" " dataDxfId="394"/>
    <tableColumn id="2" xr3:uid="{979E2400-2C2D-4373-AECD-28D3C28FEFB7}" name="I" dataDxfId="393">
      <calculatedColumnFormula>'DE-9IM Matrixes'!P9</calculatedColumnFormula>
    </tableColumn>
    <tableColumn id="3" xr3:uid="{D4D7ABFB-94E3-433F-A4F6-FE8B529AD978}" name="B" dataDxfId="392" dataCellStyle="Accent3">
      <calculatedColumnFormula>'DE-9IM Matrixes'!Q9</calculatedColumnFormula>
    </tableColumn>
    <tableColumn id="4" xr3:uid="{7A59E4F3-9093-4461-8510-E70B15FC1046}" name="E" dataDxfId="391" dataCellStyle="20% - Accent5">
      <calculatedColumnFormula>'DE-9IM Matrixes'!R9</calculatedColumnFormula>
    </tableColumn>
  </tableColumns>
  <tableStyleInfo name="TableStyleMedium13" showFirstColumn="1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CB9CEE9-FB60-4186-AC17-06238020E62F}" name="Table467843668311813916138" displayName="Table467843668311813916138" ref="V9:Y12" totalsRowShown="0" headerRowDxfId="390" dataDxfId="389" tableBorderDxfId="388">
  <tableColumns count="4">
    <tableColumn id="1" xr3:uid="{17EA554E-50E2-497B-8092-7984E3804CC0}" name=" " dataDxfId="387"/>
    <tableColumn id="2" xr3:uid="{20FD755F-7DD5-4006-9094-A8DB471BC607}" name="I" dataDxfId="386"/>
    <tableColumn id="3" xr3:uid="{691CD87A-0FC9-4665-8329-EE799FD79C16}" name="B" dataDxfId="385"/>
    <tableColumn id="4" xr3:uid="{448F4973-1CF8-4F29-B409-235303E39FB7}" name="E" dataDxfId="384"/>
  </tableColumns>
  <tableStyleInfo name="TableStyleMedium13" showFirstColumn="1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A2EBC83-9E7E-4A8A-A88F-99098BEDCD58}" name="Table46213252759212014116239" displayName="Table46213252759212014116239" ref="AB9:AE12" totalsRowShown="0" headerRowDxfId="383" dataDxfId="382" tableBorderDxfId="381">
  <tableColumns count="4">
    <tableColumn id="1" xr3:uid="{BC9BEF49-39A1-4899-89E7-B5C407F0EEF7}" name=" " dataDxfId="380"/>
    <tableColumn id="2" xr3:uid="{36791ED5-0014-473C-99A0-0AA08394CD69}" name="I" dataDxfId="379"/>
    <tableColumn id="3" xr3:uid="{AA3ECB83-0E42-4AA2-B540-8891D299AB92}" name="B" dataDxfId="378" dataCellStyle="Accent3"/>
    <tableColumn id="4" xr3:uid="{AF9647FD-6C94-4B01-85C0-219A54312528}" name="E" dataDxfId="377" dataCellStyle="60% - Accent5"/>
  </tableColumns>
  <tableStyleInfo name="TableStyleMedium13" showFirstColumn="1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617EE94-3887-4F89-B332-DEAE6BE44B99}" name="Table46263757809712214316340" displayName="Table46263757809712214316340" ref="AH9:AK12" totalsRowShown="0" headerRowDxfId="376" dataDxfId="375" tableBorderDxfId="374">
  <tableColumns count="4">
    <tableColumn id="1" xr3:uid="{172374DD-0F91-423B-B50D-2064C7FA442E}" name=" " dataDxfId="373"/>
    <tableColumn id="2" xr3:uid="{A98B9D24-8575-4019-AAE9-520EC4007B9F}" name="I" dataDxfId="372"/>
    <tableColumn id="3" xr3:uid="{2F7EE432-A7D4-460B-B88E-81EA6EBEA009}" name="B" dataDxfId="371" dataCellStyle="Accent3"/>
    <tableColumn id="4" xr3:uid="{4A5719D3-0189-44AB-913C-3A6AB7547A1C}" name="E" dataDxfId="370" dataCellStyle="60% - Accent5"/>
  </tableColumns>
  <tableStyleInfo name="TableStyleMedium13" showFirstColumn="1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4C1C8A7-328D-4494-BECE-D5183284EC5D}" name="Table467843668311813916441" displayName="Table467843668311813916441" ref="V14:Y17" totalsRowShown="0" headerRowDxfId="369" dataDxfId="368" tableBorderDxfId="367">
  <tableColumns count="4">
    <tableColumn id="1" xr3:uid="{B3839268-63F6-4253-BB2A-4A3298BD73AF}" name=" " dataDxfId="366"/>
    <tableColumn id="2" xr3:uid="{58A91185-A1E3-431E-89EA-B1B33E5566BE}" name="I" dataDxfId="365"/>
    <tableColumn id="3" xr3:uid="{B95663DB-ABD3-4A9A-9B06-DB0916464471}" name="B" dataDxfId="364" dataCellStyle="Accent3"/>
    <tableColumn id="4" xr3:uid="{78F7AA48-EBC6-4A11-95A4-D81F15CF6695}" name="E" dataDxfId="363" dataCellStyle="60% - Accent5"/>
  </tableColumns>
  <tableStyleInfo name="TableStyleMedium13" showFirstColumn="1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41755E8-1AB1-4F55-B174-F456132711C0}" name="Table46213252759212014116544" displayName="Table46213252759212014116544" ref="AB14:AE17" totalsRowShown="0" headerRowDxfId="362" dataDxfId="361" tableBorderDxfId="360">
  <tableColumns count="4">
    <tableColumn id="1" xr3:uid="{4AD2C040-C623-4EE8-A474-630E6FC50A65}" name=" " dataDxfId="359"/>
    <tableColumn id="2" xr3:uid="{96C23084-1DB5-4098-B32D-32633D34691B}" name="I" dataDxfId="358"/>
    <tableColumn id="3" xr3:uid="{F9C3CB22-D212-41F5-916C-884D76A9A15E}" name="B" dataDxfId="357" dataCellStyle="Accent3"/>
    <tableColumn id="4" xr3:uid="{62AC4F53-8C43-4E2D-90FD-6B1869E8EC11}" name="E" dataDxfId="356" dataCellStyle="60% - Accent5"/>
  </tableColumns>
  <tableStyleInfo name="TableStyleMedium13" showFirstColumn="1" showLastColumn="0" showRowStripes="0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CA4E7D8-0C86-4DCD-AC38-362BF67A323D}" name="Table46263757809712214316645" displayName="Table46263757809712214316645" ref="AH14:AK17" totalsRowShown="0" headerRowDxfId="355" dataDxfId="354" tableBorderDxfId="353">
  <tableColumns count="4">
    <tableColumn id="1" xr3:uid="{D4350AEC-B22D-4ACC-87D0-BD85E6110278}" name=" " dataDxfId="352"/>
    <tableColumn id="2" xr3:uid="{34D313E1-2BA5-45BB-ABB3-4F91E1B1CEE7}" name="I" dataDxfId="351"/>
    <tableColumn id="3" xr3:uid="{EB3FDF94-3A6A-445E-A36C-E5906D842F3C}" name="B" dataDxfId="350" dataCellStyle="Accent3"/>
    <tableColumn id="4" xr3:uid="{833C2F75-9BB6-4112-81A6-08C64708B9AB}" name="E" dataDxfId="349" dataCellStyle="60% - Accent5"/>
  </tableColumns>
  <tableStyleInfo name="TableStyleMedium13" showFirstColumn="1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B54CF9E-3DC9-4DE5-AD94-67733A9D1908}" name="Table467843668311813916746" displayName="Table467843668311813916746" ref="V24:Y27" totalsRowShown="0" headerRowDxfId="348" dataDxfId="347" tableBorderDxfId="346">
  <tableColumns count="4">
    <tableColumn id="1" xr3:uid="{E3065AB3-4395-4E6D-9313-7C460B0B0671}" name=" " dataDxfId="345"/>
    <tableColumn id="2" xr3:uid="{89FF84D6-6857-44DB-9772-68AF4424823F}" name="I" dataDxfId="344"/>
    <tableColumn id="3" xr3:uid="{D7D68314-FB5A-484C-B93E-6B68BEFB5C11}" name="B" dataDxfId="343" dataCellStyle="Accent3"/>
    <tableColumn id="4" xr3:uid="{83864BF1-F207-42F2-B114-452291DCE23B}" name="E" dataDxfId="342" dataCellStyle="60% - Accent5"/>
  </tableColumns>
  <tableStyleInfo name="TableStyleMedium13" showFirstColumn="1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F931046-E0F0-42C8-83B2-F2CA101EA473}" name="Table46213252759212014116847" displayName="Table46213252759212014116847" ref="AB24:AE27" totalsRowShown="0" headerRowDxfId="341" dataDxfId="340" tableBorderDxfId="339">
  <tableColumns count="4">
    <tableColumn id="1" xr3:uid="{97F75495-38F0-4CA6-AE1F-0F6F54FB892B}" name=" " dataDxfId="338"/>
    <tableColumn id="2" xr3:uid="{70F24109-0C0B-4337-8EEF-7FE95AF57E90}" name="I" dataDxfId="337"/>
    <tableColumn id="3" xr3:uid="{D25B7008-A3BF-4F32-90A0-D91124363BAB}" name="B" dataDxfId="336"/>
    <tableColumn id="4" xr3:uid="{DB11EE95-C6EB-4526-A13D-5A150527B983}" name="E" dataDxfId="335"/>
  </tableColumns>
  <tableStyleInfo name="TableStyleMedium13" showFirstColumn="1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AE8A95A-63D2-434C-85A7-B3D0A2FA4381}" name="Table46263757809712214316948" displayName="Table46263757809712214316948" ref="AH24:AK27" totalsRowShown="0" headerRowDxfId="334" dataDxfId="333" tableBorderDxfId="332">
  <tableColumns count="4">
    <tableColumn id="1" xr3:uid="{9F2A72A4-4CF2-402C-BBD4-8C7232E3B9AD}" name=" " dataDxfId="331"/>
    <tableColumn id="2" xr3:uid="{F8937053-E5FC-4390-B1AC-841D88E2BADC}" name="I" dataDxfId="330"/>
    <tableColumn id="3" xr3:uid="{09DA7878-107A-4559-9851-FDCFC5D96D05}" name="B" dataDxfId="329" dataCellStyle="Accent3"/>
    <tableColumn id="4" xr3:uid="{41DFDE0A-1479-41CE-A7A2-8AFCF21C7A5A}" name="E" dataDxfId="328" dataCellStyle="60% - Accent5"/>
  </tableColumns>
  <tableStyleInfo name="TableStyleMedium13" showFirstColumn="1" showLastColumn="0" showRowStripes="0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B86B8C4-C88F-4EB0-9DB5-6432FF5DCAEB}" name="Table467843668311813917049" displayName="Table467843668311813917049" ref="V29:Y32" totalsRowShown="0" headerRowDxfId="327" dataDxfId="326" tableBorderDxfId="325">
  <tableColumns count="4">
    <tableColumn id="1" xr3:uid="{B1DA8A74-2483-4A56-A3DF-32EC4C773A5B}" name=" " dataDxfId="324"/>
    <tableColumn id="2" xr3:uid="{91EFA009-40C4-4E30-81CC-0FED75BDA422}" name="I" dataDxfId="323"/>
    <tableColumn id="3" xr3:uid="{D53D7BF2-CA19-419E-BB70-1F2F369C4C25}" name="B" dataDxfId="322" dataCellStyle="Accent3"/>
    <tableColumn id="4" xr3:uid="{A07441C9-BA7E-4259-9068-67BA17855DA8}" name="E" dataDxfId="321" dataCellStyle="60% - Accent5"/>
  </tableColumns>
  <tableStyleInfo name="TableStyleMedium13" showFirstColumn="1" showLastColumn="0" showRowStripes="0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9410862-0A10-4955-AACA-DFF468D745A7}" name="Table46213252759212014117150" displayName="Table46213252759212014117150" ref="AB29:AE32" totalsRowShown="0" headerRowDxfId="320" dataDxfId="319" tableBorderDxfId="318">
  <tableColumns count="4">
    <tableColumn id="1" xr3:uid="{2A53106A-C7AD-4AEC-BCCF-F84FCF50BD38}" name=" " dataDxfId="317"/>
    <tableColumn id="2" xr3:uid="{2F122E3F-A66A-44F6-9FF2-B863D79DB66B}" name="I" dataDxfId="316"/>
    <tableColumn id="3" xr3:uid="{EB22B481-BC40-494B-A064-65CCD4252A78}" name="B" dataDxfId="315" dataCellStyle="Accent3"/>
    <tableColumn id="4" xr3:uid="{D3291564-D1F3-410F-A72E-6A627CCB373F}" name="E" dataDxfId="314" dataCellStyle="60% - Accent5"/>
  </tableColumns>
  <tableStyleInfo name="TableStyleMedium13" showFirstColumn="1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B62AFC7-3943-49E0-8E9B-9655E271D402}" name="Table46263757809712214317253" displayName="Table46263757809712214317253" ref="AH29:AK32" totalsRowShown="0" headerRowDxfId="313" dataDxfId="312" tableBorderDxfId="311">
  <tableColumns count="4">
    <tableColumn id="1" xr3:uid="{9E63C57D-9241-4345-8232-A84D03A8028D}" name=" " dataDxfId="310"/>
    <tableColumn id="2" xr3:uid="{3023D2DC-05D7-4CAA-B996-7B477E84027B}" name="I" dataDxfId="309"/>
    <tableColumn id="3" xr3:uid="{5153756E-9677-4936-99BA-22502D809C90}" name="B" dataDxfId="308" dataCellStyle="Accent3"/>
    <tableColumn id="4" xr3:uid="{1058E7EC-1D62-43B6-8D3C-448402343239}" name="E" dataDxfId="307" dataCellStyle="60% - Accent5"/>
  </tableColumns>
  <tableStyleInfo name="TableStyleMedium13" showFirstColumn="1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9FF1B299-A4DD-4953-9EA8-4B982EEB86A9}" name="Table467843668311813917654" displayName="Table467843668311813917654" ref="V44:Y47" totalsRowShown="0" headerRowDxfId="306" dataDxfId="305" tableBorderDxfId="304">
  <tableColumns count="4">
    <tableColumn id="1" xr3:uid="{FA0F0BC2-DA53-48F0-85B5-F7B291E56E32}" name=" " dataDxfId="303"/>
    <tableColumn id="2" xr3:uid="{3AE204FF-5B73-4B0F-8062-CA20B2382B1F}" name="I" dataDxfId="302"/>
    <tableColumn id="3" xr3:uid="{9C2BD9EA-E5C2-4F8D-BC31-63E3EB715CBD}" name="B" dataDxfId="301" dataCellStyle="Accent3"/>
    <tableColumn id="4" xr3:uid="{4E0808E8-95A3-4273-AB32-02C3EEC365C8}" name="E" dataDxfId="300" dataCellStyle="60% - Accent5"/>
  </tableColumns>
  <tableStyleInfo name="TableStyleMedium13" showFirstColumn="1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3E67F96-4280-4CDC-A564-93A17E9819B5}" name="Table46213252759212014117755" displayName="Table46213252759212014117755" ref="AB44:AE47" totalsRowShown="0" headerRowDxfId="299" dataDxfId="298" tableBorderDxfId="297">
  <tableColumns count="4">
    <tableColumn id="1" xr3:uid="{F19C8BFC-2A95-45AF-A8E3-4033CDA2EC4C}" name=" " dataDxfId="296"/>
    <tableColumn id="2" xr3:uid="{338BA456-817F-469E-A070-990112F1841E}" name="I" dataDxfId="295"/>
    <tableColumn id="3" xr3:uid="{C754C9CF-BD13-436A-A16B-5DF88D8D72DE}" name="B" dataDxfId="294" dataCellStyle="Accent3"/>
    <tableColumn id="4" xr3:uid="{9919EB5C-AD62-45BD-A902-906D22498194}" name="E" dataDxfId="293" dataCellStyle="60% - Accent5"/>
  </tableColumns>
  <tableStyleInfo name="TableStyleMedium13" showFirstColumn="1" showLastColumn="0" showRowStripes="0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3628C70-7E14-4DDE-822A-99A09F64FA00}" name="Table46263757809712214317858" displayName="Table46263757809712214317858" ref="AH44:AK47" totalsRowShown="0" headerRowDxfId="292" dataDxfId="291" tableBorderDxfId="290">
  <tableColumns count="4">
    <tableColumn id="1" xr3:uid="{279E7CC9-D72B-41D7-A876-8D6857B3EEBD}" name=" " dataDxfId="289"/>
    <tableColumn id="2" xr3:uid="{DA80D7E7-ED2A-4FFD-9A80-584DE5AD9FC7}" name="I" dataDxfId="288"/>
    <tableColumn id="3" xr3:uid="{B96C031F-50D2-4ABE-8D4B-25595896ED06}" name="B" dataDxfId="287" dataCellStyle="Accent3"/>
    <tableColumn id="4" xr3:uid="{39A5119D-2EFA-45EC-B1D0-495858BCF12C}" name="E" dataDxfId="286" dataCellStyle="60% - Accent5"/>
  </tableColumns>
  <tableStyleInfo name="TableStyleMedium13" showFirstColumn="1" showLastColumn="0" showRowStripes="0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893C5E9E-8152-4EAE-9C01-FC39A7D5E4F1}" name="Table465426510513517960" displayName="Table465426510513517960" ref="V34:Y37" totalsRowShown="0" headerRowDxfId="285" dataDxfId="284" tableBorderDxfId="283">
  <tableColumns count="4">
    <tableColumn id="1" xr3:uid="{FC4FA935-7BAA-40A5-9916-25985972E4D5}" name=" " dataDxfId="282"/>
    <tableColumn id="2" xr3:uid="{E8A34401-5A7B-4A8F-8FA9-80C74AF1A6B2}" name="I" dataDxfId="281"/>
    <tableColumn id="3" xr3:uid="{BA06F497-E7A2-4936-BB29-74146A7BFF39}" name="B" dataDxfId="280" dataCellStyle="Accent3"/>
    <tableColumn id="4" xr3:uid="{B7BA3A12-0FD7-437E-B92D-632B392B34B2}" name="E" dataDxfId="279" dataCellStyle="60% - Accent5"/>
  </tableColumns>
  <tableStyleInfo name="TableStyleMedium13" showFirstColumn="1" showLastColumn="0" showRowStripes="0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34F90AF-2C42-43BB-AF68-68EAA5F30610}" name="Table462031517410713618061" displayName="Table462031517410713618061" ref="AB34:AE37" totalsRowShown="0" headerRowDxfId="278" dataDxfId="277" tableBorderDxfId="276">
  <tableColumns count="4">
    <tableColumn id="1" xr3:uid="{D682812F-AFCF-4B03-9C15-058FA78A06A0}" name=" " dataDxfId="275"/>
    <tableColumn id="2" xr3:uid="{899B2721-D153-473A-B057-CD8E5B79F318}" name="I" dataDxfId="274"/>
    <tableColumn id="3" xr3:uid="{D65EBD87-5090-4A9A-A253-D25D9086BF1B}" name="B" dataDxfId="273" dataCellStyle="Accent3"/>
    <tableColumn id="4" xr3:uid="{80F51198-8B04-49A5-9BCD-835E6F1493A9}" name="E" dataDxfId="272" dataCellStyle="60% - Accent5"/>
  </tableColumns>
  <tableStyleInfo name="TableStyleMedium13" showFirstColumn="1" showLastColumn="0" showRowStripes="0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EBFEE0EC-664A-4ADB-A2A1-2C15B8A1B6B1}" name="Table462536567910913718162" displayName="Table462536567910913718162" ref="AH34:AK37" totalsRowShown="0" headerRowDxfId="271" dataDxfId="270" tableBorderDxfId="269">
  <tableColumns count="4">
    <tableColumn id="1" xr3:uid="{C9650E57-A54B-4B83-AD6B-DF3951445DE3}" name=" " dataDxfId="268"/>
    <tableColumn id="2" xr3:uid="{DF611F23-E87D-4EE6-9E5B-5D8251A136D4}" name="I" dataDxfId="267"/>
    <tableColumn id="3" xr3:uid="{BCF8F949-EEF3-47D4-BA25-72AFA64D94B3}" name="B" dataDxfId="266" dataCellStyle="Accent3"/>
    <tableColumn id="4" xr3:uid="{1155BB92-D15C-49AA-B3A6-A2A1D781391F}" name="E" dataDxfId="265" dataCellStyle="60% - Accent5"/>
  </tableColumns>
  <tableStyleInfo name="TableStyleMedium13" showFirstColumn="1" showLastColumn="0" showRowStripes="0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4B350DD-97B2-468B-8F76-2CB1054E4008}" name="Table46542659912918263" displayName="Table46542659912918263" ref="V19:Y22" totalsRowShown="0" headerRowDxfId="264" dataDxfId="263" tableBorderDxfId="262">
  <tableColumns count="4">
    <tableColumn id="1" xr3:uid="{B3521A86-C0FB-4C77-9541-5BE894DB0E35}" name=" " dataDxfId="261"/>
    <tableColumn id="2" xr3:uid="{0340BF4F-6A83-4528-8FD2-58281F9ECA29}" name="I" dataDxfId="260"/>
    <tableColumn id="3" xr3:uid="{B721CDA4-86FD-4D22-97CC-EA19E55174FF}" name="B" dataDxfId="259" dataCellStyle="Accent3"/>
    <tableColumn id="4" xr3:uid="{DA1DAAED-0272-4638-9F92-8EEA81827FAA}" name="E" dataDxfId="258" dataCellStyle="60% - Accent5"/>
  </tableColumns>
  <tableStyleInfo name="TableStyleMedium13" showFirstColumn="1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510D7FB2-21BD-442A-8A97-6BE1B55B4D52}" name="Table462031517410113118364" displayName="Table462031517410113118364" ref="AB19:AE22" totalsRowShown="0" headerRowDxfId="257" dataDxfId="256" tableBorderDxfId="255">
  <tableColumns count="4">
    <tableColumn id="1" xr3:uid="{FCF6410C-9690-4494-B009-89FABD2E5A8B}" name=" " dataDxfId="254"/>
    <tableColumn id="2" xr3:uid="{518B978C-ECB9-4FA0-AB05-C73BAC426DC2}" name="I" dataDxfId="253"/>
    <tableColumn id="3" xr3:uid="{CC45ADC9-62BE-407F-90C1-68D24290B781}" name="B" dataDxfId="252" dataCellStyle="Accent3"/>
    <tableColumn id="4" xr3:uid="{68E9532B-50E1-40CF-BF52-2284BC2AD19C}" name="E" dataDxfId="251" dataCellStyle="60% - Accent5"/>
  </tableColumns>
  <tableStyleInfo name="TableStyleMedium13" showFirstColumn="1" showLastColumn="0" showRowStripes="0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6F2497EA-FC59-4139-94CB-8F822C35C952}" name="Table462536567910313318467" displayName="Table462536567910313318467" ref="AH19:AK22" totalsRowShown="0" headerRowDxfId="250" dataDxfId="249" tableBorderDxfId="248">
  <tableColumns count="4">
    <tableColumn id="1" xr3:uid="{66258AA4-C42B-4615-ADC4-99658A69BF16}" name=" " dataDxfId="247"/>
    <tableColumn id="2" xr3:uid="{85F37E11-686E-43AD-B889-194CDB9EAA10}" name="I" dataDxfId="246"/>
    <tableColumn id="3" xr3:uid="{3E5A503D-9498-41A5-A091-E55BBC7CB91F}" name="B" dataDxfId="245" dataCellStyle="Accent3"/>
    <tableColumn id="4" xr3:uid="{2E5B74DD-709C-42C2-84C9-BF626D6F22F0}" name="E" dataDxfId="244" dataCellStyle="60% - Accent5"/>
  </tableColumns>
  <tableStyleInfo name="TableStyleMedium13" showFirstColumn="1" showLastColumn="0" showRowStripes="0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946B33B-B3C3-4C9C-93F1-14F141BE1C23}" name="Table46542658214418568" displayName="Table46542658214418568" ref="V4:Y7" totalsRowShown="0" headerRowDxfId="243" dataDxfId="242">
  <tableColumns count="4">
    <tableColumn id="1" xr3:uid="{7CCBD106-7C23-4865-98E6-11F3501EB2C6}" name=" " dataDxfId="241"/>
    <tableColumn id="2" xr3:uid="{3ADB9578-62B0-4A22-91FE-6AA5273453C2}" name="I" dataDxfId="240"/>
    <tableColumn id="3" xr3:uid="{A95F9FB2-8B63-4514-AEA7-A994003FFCE8}" name="B" dataDxfId="239" dataCellStyle="Accent3"/>
    <tableColumn id="4" xr3:uid="{23233EDB-19C5-4C01-933D-5BE0DFBF438D}" name="E" dataDxfId="238" dataCellStyle="60% - Accent5"/>
  </tableColumns>
  <tableStyleInfo name="TableStyleMedium13" showFirstColumn="1" showLastColumn="0" showRowStripes="0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B185AB2-E664-4130-96E4-72582DF405D0}" name="Table46203151749114618669" displayName="Table46203151749114618669" ref="AB4:AE7" totalsRowShown="0" headerRowDxfId="237" dataDxfId="236">
  <tableColumns count="4">
    <tableColumn id="1" xr3:uid="{933E8093-2EDB-4F80-B700-6800F7324E29}" name=" " dataDxfId="235"/>
    <tableColumn id="2" xr3:uid="{6D7913A9-9394-4907-92DF-EAB70B471BEB}" name="I" dataDxfId="234"/>
    <tableColumn id="3" xr3:uid="{B8D7948D-EDD4-454E-A217-1A53D2DF40A2}" name="B" dataDxfId="233" dataCellStyle="Accent3"/>
    <tableColumn id="4" xr3:uid="{3B9E8749-2E43-44E3-A84E-1925756F5BC4}" name="E" dataDxfId="232" dataCellStyle="60% - Accent5"/>
  </tableColumns>
  <tableStyleInfo name="TableStyleMedium13" showFirstColumn="1" showLastColumn="0" showRowStripes="0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19C8F5C9-22E1-4678-B3E8-E7DF1A931DFA}" name="Table46253656799614818778" displayName="Table46253656799614818778" ref="AH4:AK7" totalsRowShown="0" headerRowDxfId="231" dataDxfId="230">
  <tableColumns count="4">
    <tableColumn id="1" xr3:uid="{22419DCF-4797-4955-96A9-810833A8AC87}" name=" " dataDxfId="229"/>
    <tableColumn id="2" xr3:uid="{2FC55EC9-B142-40FB-9DCA-6952C6D89B5D}" name="I" dataDxfId="228"/>
    <tableColumn id="3" xr3:uid="{7FBD16E0-2C91-4621-80B5-FF2E2C1348C1}" name="B" dataDxfId="227" dataCellStyle="Accent3"/>
    <tableColumn id="4" xr3:uid="{843018E8-D6D3-4A8A-8822-2CBFC51E0DD5}" name="E" dataDxfId="226" dataCellStyle="60% - Accent5"/>
  </tableColumns>
  <tableStyleInfo name="TableStyleMedium13" showFirstColumn="1" showLastColumn="0" showRowStripes="0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D686A1A6-DDFF-42BE-85A1-3447F28CF8AB}" name="Table46784366831181392381" displayName="Table46784366831181392381" ref="C49:F52" totalsRowShown="0" headerRowDxfId="225" dataDxfId="224" tableBorderDxfId="223">
  <tableColumns count="4">
    <tableColumn id="1" xr3:uid="{716444B3-673E-42C8-B1AA-B881D5B2DDAA}" name=" " dataDxfId="222"/>
    <tableColumn id="2" xr3:uid="{1426F762-F127-4F86-901E-E81D6FCE7CCA}" name="I" dataDxfId="221">
      <calculatedColumnFormula>'DE-9IM Matrixes'!D49</calculatedColumnFormula>
    </tableColumn>
    <tableColumn id="3" xr3:uid="{457327FA-54B4-4301-8D93-E65C2EC4E8A7}" name="B" dataDxfId="220" dataCellStyle="Accent3">
      <calculatedColumnFormula>'DE-9IM Matrixes'!E49</calculatedColumnFormula>
    </tableColumn>
    <tableColumn id="4" xr3:uid="{BBDFFC99-D4C7-4B29-BE2B-CBE95934C216}" name="E" dataDxfId="219" dataCellStyle="20% - Accent5">
      <calculatedColumnFormula>'DE-9IM Matrixes'!F49</calculatedColumnFormula>
    </tableColumn>
  </tableColumns>
  <tableStyleInfo name="TableStyleMedium13" showFirstColumn="1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9F25BEF0-7872-48DF-9EC5-A1A01E5A8A75}" name="Table4621325275921201412585" displayName="Table4621325275921201412585" ref="I49:L52" totalsRowShown="0" headerRowDxfId="218" dataDxfId="217" tableBorderDxfId="216">
  <tableColumns count="4">
    <tableColumn id="1" xr3:uid="{CCDA5A7D-1069-4794-9E76-78B23C1EC1CB}" name=" " dataDxfId="215"/>
    <tableColumn id="2" xr3:uid="{E387B6B1-F2ED-4B4D-A1C7-1A06D8F4F431}" name="I" dataDxfId="214">
      <calculatedColumnFormula>'DE-9IM Matrixes'!J49</calculatedColumnFormula>
    </tableColumn>
    <tableColumn id="3" xr3:uid="{596C3DCB-1878-4229-A255-2C47A009D587}" name="B" dataDxfId="213" dataCellStyle="Accent3">
      <calculatedColumnFormula>'DE-9IM Matrixes'!K49</calculatedColumnFormula>
    </tableColumn>
    <tableColumn id="4" xr3:uid="{734D6FF7-0DBD-4D2D-BBC9-EB315E716C64}" name="E" dataDxfId="212" dataCellStyle="20% - Accent5">
      <calculatedColumnFormula>'DE-9IM Matrixes'!L49</calculatedColumnFormula>
    </tableColumn>
  </tableColumns>
  <tableStyleInfo name="TableStyleMedium13" showFirstColumn="1" showLastColumn="0" showRowStripes="0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DFBABC43-A1A9-4716-9C9B-0E14226EF2B8}" name="Table4626375780971221432787" displayName="Table4626375780971221432787" ref="O49:R52" totalsRowShown="0" headerRowDxfId="211" dataDxfId="210" tableBorderDxfId="209">
  <tableColumns count="4">
    <tableColumn id="1" xr3:uid="{29905E9A-7F66-47A2-82BE-01B71C4AD4F6}" name=" " dataDxfId="208"/>
    <tableColumn id="2" xr3:uid="{2AC194E7-E594-472D-B1BB-C115D38E0F17}" name="I" dataDxfId="207">
      <calculatedColumnFormula>'DE-9IM Matrixes'!P49</calculatedColumnFormula>
    </tableColumn>
    <tableColumn id="3" xr3:uid="{2888F56E-95E0-4488-9002-F136A36E989A}" name="B" dataDxfId="206" dataCellStyle="Accent3">
      <calculatedColumnFormula>'DE-9IM Matrixes'!Q49</calculatedColumnFormula>
    </tableColumn>
    <tableColumn id="4" xr3:uid="{C88E72D4-CBCC-486D-A7BB-26A079C23E63}" name="E" dataDxfId="205" dataCellStyle="20% - Accent5">
      <calculatedColumnFormula>'DE-9IM Matrixes'!R49</calculatedColumnFormula>
    </tableColumn>
  </tableColumns>
  <tableStyleInfo name="TableStyleMedium13" showFirstColumn="1" showLastColumn="0" showRowStripes="0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29446132-10CE-4A98-A8E2-60359AF394FD}" name="Table46784366831181392389" displayName="Table46784366831181392389" ref="C54:F57" totalsRowShown="0" headerRowDxfId="204" dataDxfId="203" tableBorderDxfId="202">
  <tableColumns count="4">
    <tableColumn id="1" xr3:uid="{F5C299BA-FEAE-4245-B57E-CC795758DEF6}" name=" " dataDxfId="201"/>
    <tableColumn id="2" xr3:uid="{BFE561A3-49D0-463C-A85A-54EB20FA7DA3}" name="I" dataDxfId="200">
      <calculatedColumnFormula>'DE-9IM Matrixes'!D54</calculatedColumnFormula>
    </tableColumn>
    <tableColumn id="3" xr3:uid="{BCE385DE-9297-47D6-86CC-E6E02BCB445A}" name="B" dataDxfId="199" dataCellStyle="Accent3">
      <calculatedColumnFormula>'DE-9IM Matrixes'!E54</calculatedColumnFormula>
    </tableColumn>
    <tableColumn id="4" xr3:uid="{D7C645DF-20EC-47A1-B483-98CC570098AD}" name="E" dataDxfId="198" dataCellStyle="20% - Accent5">
      <calculatedColumnFormula>'DE-9IM Matrixes'!F54</calculatedColumnFormula>
    </tableColumn>
  </tableColumns>
  <tableStyleInfo name="TableStyleMedium13" showFirstColumn="1" showLastColumn="0" showRowStripes="0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78B778E2-7C37-4673-BC62-9262A42C3F99}" name="Table4621325275921201412590" displayName="Table4621325275921201412590" ref="I54:L57" totalsRowShown="0" headerRowDxfId="197" dataDxfId="196" tableBorderDxfId="195">
  <tableColumns count="4">
    <tableColumn id="1" xr3:uid="{91792F01-77EB-4D67-A571-62E46BB6DD51}" name=" " dataDxfId="194"/>
    <tableColumn id="2" xr3:uid="{6EA5E13D-99E1-4602-AC6A-F27F622A924A}" name="I" dataDxfId="193">
      <calculatedColumnFormula>'DE-9IM Matrixes'!J54</calculatedColumnFormula>
    </tableColumn>
    <tableColumn id="3" xr3:uid="{4F7480EA-AD3E-40C7-85F9-82705A2E8EF7}" name="B" dataDxfId="192" dataCellStyle="Accent3">
      <calculatedColumnFormula>'DE-9IM Matrixes'!K54</calculatedColumnFormula>
    </tableColumn>
    <tableColumn id="4" xr3:uid="{6458D4B9-8AB9-4182-B691-1F44B06B50D0}" name="E" dataDxfId="191" dataCellStyle="20% - Accent5">
      <calculatedColumnFormula>'DE-9IM Matrixes'!L54</calculatedColumnFormula>
    </tableColumn>
  </tableColumns>
  <tableStyleInfo name="TableStyleMedium13" showFirstColumn="1" showLastColumn="0" showRowStripes="0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606DDAA2-B94F-46BD-9691-4C788AA3D849}" name="Table4626375780971221432793" displayName="Table4626375780971221432793" ref="O54:R57" totalsRowShown="0" headerRowDxfId="190" dataDxfId="189" tableBorderDxfId="188">
  <tableColumns count="4">
    <tableColumn id="1" xr3:uid="{65CC9D81-9671-4FFB-B74B-0A67558CE36F}" name=" " dataDxfId="187"/>
    <tableColumn id="2" xr3:uid="{7D864CAF-6C3E-44EC-A823-FEB055301BCA}" name="I" dataDxfId="186">
      <calculatedColumnFormula>'DE-9IM Matrixes'!P54</calculatedColumnFormula>
    </tableColumn>
    <tableColumn id="3" xr3:uid="{AE0AFC5B-31E1-41BE-8A12-9602DDB8A2BC}" name="B" dataDxfId="185" dataCellStyle="Accent3">
      <calculatedColumnFormula>'DE-9IM Matrixes'!Q54</calculatedColumnFormula>
    </tableColumn>
    <tableColumn id="4" xr3:uid="{B1BE4D72-D58E-4414-98BD-D2C51F25B60D}" name="E" dataDxfId="184" dataCellStyle="20% - Accent5">
      <calculatedColumnFormula>'DE-9IM Matrixes'!R54</calculatedColumnFormula>
    </tableColumn>
  </tableColumns>
  <tableStyleInfo name="TableStyleMedium13" showFirstColumn="1" showLastColumn="0" showRowStripes="0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919FD5ED-8E42-4A22-883D-6E8BD33C488A}" name="Table46784366831181392394" displayName="Table46784366831181392394" ref="C59:F62" totalsRowShown="0" headerRowDxfId="183" dataDxfId="182" tableBorderDxfId="181">
  <tableColumns count="4">
    <tableColumn id="1" xr3:uid="{8A233F81-8838-4DCD-A4AB-AB967F22F814}" name=" " dataDxfId="180"/>
    <tableColumn id="2" xr3:uid="{C33A5B71-DFAA-470A-873D-3608CFBEFDED}" name="I" dataDxfId="179">
      <calculatedColumnFormula>'DE-9IM Matrixes'!D59</calculatedColumnFormula>
    </tableColumn>
    <tableColumn id="3" xr3:uid="{307BD419-C9A4-4CB5-8E63-2BE152F52C09}" name="B" dataDxfId="178" dataCellStyle="Accent3">
      <calculatedColumnFormula>'DE-9IM Matrixes'!E59</calculatedColumnFormula>
    </tableColumn>
    <tableColumn id="4" xr3:uid="{95283A3E-74EC-44C4-AF9C-507D603F8F99}" name="E" dataDxfId="177" dataCellStyle="20% - Accent5">
      <calculatedColumnFormula>'DE-9IM Matrixes'!F59</calculatedColumnFormula>
    </tableColumn>
  </tableColumns>
  <tableStyleInfo name="TableStyleMedium13" showFirstColumn="1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B7579975-42C7-4129-A978-690D29F2A83E}" name="Table4621325275921201412595" displayName="Table4621325275921201412595" ref="I59:L62" totalsRowShown="0" headerRowDxfId="176" dataDxfId="175" tableBorderDxfId="174">
  <tableColumns count="4">
    <tableColumn id="1" xr3:uid="{BB0A0CBF-6CB2-4042-A115-9CB86352F1CE}" name=" " dataDxfId="173"/>
    <tableColumn id="2" xr3:uid="{0A1D6F20-CB79-4858-8D62-DB6C2A6E2703}" name="I" dataDxfId="172">
      <calculatedColumnFormula>'DE-9IM Matrixes'!J59</calculatedColumnFormula>
    </tableColumn>
    <tableColumn id="3" xr3:uid="{805BB1B1-285D-4B7C-832F-8869BB45A911}" name="B" dataDxfId="171" dataCellStyle="Accent3">
      <calculatedColumnFormula>'DE-9IM Matrixes'!K59</calculatedColumnFormula>
    </tableColumn>
    <tableColumn id="4" xr3:uid="{B3308A79-3248-4169-8AD8-14511356EB78}" name="E" dataDxfId="170" dataCellStyle="20% - Accent5">
      <calculatedColumnFormula>'DE-9IM Matrixes'!L59</calculatedColumnFormula>
    </tableColumn>
  </tableColumns>
  <tableStyleInfo name="TableStyleMedium13" showFirstColumn="1" showLastColumn="0" showRowStripes="0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B1F04CD9-7430-49A2-8DF9-F89AD4707697}" name="Table4626375780971221432798" displayName="Table4626375780971221432798" ref="O59:R62" totalsRowShown="0" headerRowDxfId="169" dataDxfId="168" tableBorderDxfId="167">
  <tableColumns count="4">
    <tableColumn id="1" xr3:uid="{5A483FEB-7669-4360-B70C-88117C77640B}" name=" " dataDxfId="166"/>
    <tableColumn id="2" xr3:uid="{F4348A9B-17DF-442A-AB37-1CF074A9D088}" name="I" dataDxfId="165">
      <calculatedColumnFormula>'DE-9IM Matrixes'!P59</calculatedColumnFormula>
    </tableColumn>
    <tableColumn id="3" xr3:uid="{DFC6D8A7-C01F-430F-A145-D4F7ABF10539}" name="B" dataDxfId="164" dataCellStyle="Accent3">
      <calculatedColumnFormula>'DE-9IM Matrixes'!Q59</calculatedColumnFormula>
    </tableColumn>
    <tableColumn id="4" xr3:uid="{22C1343B-DD83-429D-973C-EF7EA14F88AF}" name="E" dataDxfId="163" dataCellStyle="20% - Accent5">
      <calculatedColumnFormula>'DE-9IM Matrixes'!R59</calculatedColumnFormula>
    </tableColumn>
  </tableColumns>
  <tableStyleInfo name="TableStyleMedium13" showFirstColumn="1" showLastColumn="0" showRowStripes="0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E5CF47B7-66C0-49B4-97D0-86D0384ED810}" name="Table46784366831181392399" displayName="Table46784366831181392399" ref="C64:F67" totalsRowShown="0" headerRowDxfId="162" dataDxfId="161" tableBorderDxfId="160">
  <tableColumns count="4">
    <tableColumn id="1" xr3:uid="{4687D362-FF7D-4471-8886-DA98644B9BA9}" name=" " dataDxfId="159"/>
    <tableColumn id="2" xr3:uid="{09DB9974-63EC-4557-88A2-689A63A8C511}" name="I" dataDxfId="158">
      <calculatedColumnFormula>'DE-9IM Matrixes'!D64</calculatedColumnFormula>
    </tableColumn>
    <tableColumn id="3" xr3:uid="{61651928-D822-4D40-94F1-5D67C6459675}" name="B" dataDxfId="157" dataCellStyle="Accent3">
      <calculatedColumnFormula>'DE-9IM Matrixes'!E64</calculatedColumnFormula>
    </tableColumn>
    <tableColumn id="4" xr3:uid="{E9F3BD4F-BEFC-439C-8E34-0703A2688831}" name="E" dataDxfId="156" dataCellStyle="20% - Accent5">
      <calculatedColumnFormula>'DE-9IM Matrixes'!F64</calculatedColumnFormula>
    </tableColumn>
  </tableColumns>
  <tableStyleInfo name="TableStyleMedium13" showFirstColumn="1" showLastColumn="0" showRowStripes="0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2BBC5EFD-1C32-444E-A5C5-B5649EDAAC05}" name="Table46213252759212014125100" displayName="Table46213252759212014125100" ref="I64:L67" totalsRowShown="0" headerRowDxfId="155" dataDxfId="154" tableBorderDxfId="153">
  <tableColumns count="4">
    <tableColumn id="1" xr3:uid="{729A8C69-7A38-4763-B140-423982CE7956}" name=" " dataDxfId="152"/>
    <tableColumn id="2" xr3:uid="{6BF749F6-C4C5-4758-858F-A60177F0A1E1}" name="I" dataDxfId="151">
      <calculatedColumnFormula>'DE-9IM Matrixes'!J64</calculatedColumnFormula>
    </tableColumn>
    <tableColumn id="3" xr3:uid="{BFF59CCA-5DD1-4082-B708-88DAEC686EEB}" name="B" dataDxfId="150" dataCellStyle="Accent3">
      <calculatedColumnFormula>'DE-9IM Matrixes'!K64</calculatedColumnFormula>
    </tableColumn>
    <tableColumn id="4" xr3:uid="{18B78F7E-318E-47D9-AAC3-58612A439571}" name="E" dataDxfId="149" dataCellStyle="20% - Accent5">
      <calculatedColumnFormula>'DE-9IM Matrixes'!L64</calculatedColumnFormula>
    </tableColumn>
  </tableColumns>
  <tableStyleInfo name="TableStyleMedium13" showFirstColumn="1" showLastColumn="0" showRowStripes="0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2A94012D-E455-41DE-96B5-7B731E76F5E2}" name="Table46263757809712214327101" displayName="Table46263757809712214327101" ref="O64:R67" totalsRowShown="0" headerRowDxfId="148" dataDxfId="147" tableBorderDxfId="146">
  <tableColumns count="4">
    <tableColumn id="1" xr3:uid="{082837ED-616E-43E6-9B1E-9FB3C8C5B366}" name=" " dataDxfId="145"/>
    <tableColumn id="2" xr3:uid="{B32AFAD9-ABEA-4ABE-AD2C-AA04CFDEDDDC}" name="I" dataDxfId="144">
      <calculatedColumnFormula>'DE-9IM Matrixes'!P64</calculatedColumnFormula>
    </tableColumn>
    <tableColumn id="3" xr3:uid="{C049D5FD-E1CF-4212-90A8-A2603DE6F229}" name="B" dataDxfId="143" dataCellStyle="Accent3">
      <calculatedColumnFormula>'DE-9IM Matrixes'!Q64</calculatedColumnFormula>
    </tableColumn>
    <tableColumn id="4" xr3:uid="{8EBFA42F-1AC3-466E-AC2A-8BE09EF5D596}" name="E" dataDxfId="142" dataCellStyle="20% - Accent5">
      <calculatedColumnFormula>'DE-9IM Matrixes'!R64</calculatedColumnFormula>
    </tableColumn>
  </tableColumns>
  <tableStyleInfo name="TableStyleMedium13" showFirstColumn="1" showLastColumn="0" showRowStripes="0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FE15730-C24C-465F-9520-00BC17BD300A}" name="Table467843668311813923102" displayName="Table467843668311813923102" ref="C69:F72" totalsRowShown="0" headerRowDxfId="141" dataDxfId="140" tableBorderDxfId="139">
  <tableColumns count="4">
    <tableColumn id="1" xr3:uid="{6AD49EB8-754F-4F90-B6BB-5D9F104995EF}" name=" " dataDxfId="138"/>
    <tableColumn id="2" xr3:uid="{353DBABE-81D0-4486-B996-43AE70785085}" name="I" dataDxfId="137">
      <calculatedColumnFormula>'DE-9IM Matrixes'!D69</calculatedColumnFormula>
    </tableColumn>
    <tableColumn id="3" xr3:uid="{6EF5E2B6-7C2D-4369-8C0E-89F3ED69EE51}" name="B" dataDxfId="136" dataCellStyle="Accent3">
      <calculatedColumnFormula>'DE-9IM Matrixes'!E69</calculatedColumnFormula>
    </tableColumn>
    <tableColumn id="4" xr3:uid="{5E3A0783-98A8-40DD-A6E3-EEF33683921F}" name="E" dataDxfId="135" dataCellStyle="20% - Accent5">
      <calculatedColumnFormula>'DE-9IM Matrixes'!F69</calculatedColumnFormula>
    </tableColumn>
  </tableColumns>
  <tableStyleInfo name="TableStyleMedium13" showFirstColumn="1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3762BB90-C3D0-4731-8AFE-73F068CF413A}" name="Table46213252759212014125117" displayName="Table46213252759212014125117" ref="I69:L72" totalsRowShown="0" headerRowDxfId="134" dataDxfId="133" tableBorderDxfId="132">
  <tableColumns count="4">
    <tableColumn id="1" xr3:uid="{A31E387F-EA0D-4564-A767-4CADF995E51D}" name=" " dataDxfId="131"/>
    <tableColumn id="2" xr3:uid="{43F0E11E-D9CD-4A4D-9456-F3C431485263}" name="I" dataDxfId="130">
      <calculatedColumnFormula>'DE-9IM Matrixes'!J69</calculatedColumnFormula>
    </tableColumn>
    <tableColumn id="3" xr3:uid="{EDC75A9F-0B7B-4A3D-BCBE-FE5ED772F78A}" name="B" dataDxfId="129" dataCellStyle="Accent3">
      <calculatedColumnFormula>'DE-9IM Matrixes'!K69</calculatedColumnFormula>
    </tableColumn>
    <tableColumn id="4" xr3:uid="{9927893C-B92F-401F-9276-01E45B9815F2}" name="E" dataDxfId="128" dataCellStyle="20% - Accent5">
      <calculatedColumnFormula>'DE-9IM Matrixes'!L69</calculatedColumnFormula>
    </tableColumn>
  </tableColumns>
  <tableStyleInfo name="TableStyleMedium13" showFirstColumn="1" showLastColumn="0" showRowStripes="0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A31A0A0D-29B6-4131-8CA7-1474FE62E25B}" name="Table46263757809712214327121" displayName="Table46263757809712214327121" ref="O69:R72" totalsRowShown="0" headerRowDxfId="127" dataDxfId="126" tableBorderDxfId="125">
  <tableColumns count="4">
    <tableColumn id="1" xr3:uid="{223BDB0B-2758-496C-A914-0C1CB5B75C22}" name=" " dataDxfId="124"/>
    <tableColumn id="2" xr3:uid="{C34A5191-50CF-4D39-B05C-2AA48BAFAC07}" name="I" dataDxfId="123">
      <calculatedColumnFormula>'DE-9IM Matrixes'!P69</calculatedColumnFormula>
    </tableColumn>
    <tableColumn id="3" xr3:uid="{50A963BA-6314-478E-88A1-773C35312481}" name="B" dataDxfId="122" dataCellStyle="Accent3">
      <calculatedColumnFormula>'DE-9IM Matrixes'!Q69</calculatedColumnFormula>
    </tableColumn>
    <tableColumn id="4" xr3:uid="{5BAF0080-FCCF-45C5-9486-4A7DDB0EE781}" name="E" dataDxfId="121" dataCellStyle="20% - Accent5">
      <calculatedColumnFormula>'DE-9IM Matrixes'!R69</calculatedColumnFormula>
    </tableColumn>
  </tableColumns>
  <tableStyleInfo name="TableStyleMedium13" showFirstColumn="1" showLastColumn="0" showRowStripes="0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C6AD0051-7EE4-48D3-B7D9-0D8269138004}" name="Table467843668311813917654122" displayName="Table467843668311813917654122" ref="V49:Y52" totalsRowShown="0" headerRowDxfId="120" dataDxfId="119" tableBorderDxfId="118">
  <tableColumns count="4">
    <tableColumn id="1" xr3:uid="{D5558484-858B-47D4-98F4-CAEC0D9E1CB1}" name=" " dataDxfId="117"/>
    <tableColumn id="2" xr3:uid="{24D0F0BA-B50B-4E78-9E87-5BDE1DE8C424}" name="I" dataDxfId="116"/>
    <tableColumn id="3" xr3:uid="{FFCFFA98-F739-45EC-87F9-678B9A6EA177}" name="B" dataDxfId="115" dataCellStyle="Accent3"/>
    <tableColumn id="4" xr3:uid="{2BA8E51E-ED78-44EC-B924-DD0D9E05269E}" name="E" dataDxfId="114" dataCellStyle="60% - Accent5"/>
  </tableColumns>
  <tableStyleInfo name="TableStyleMedium13" showFirstColumn="1" showLastColumn="0" showRowStripes="0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32A1A84A-0B66-44CE-B96A-7BC7315C7375}" name="Table46213252759212014117755150" displayName="Table46213252759212014117755150" ref="AB49:AE52" totalsRowShown="0" headerRowDxfId="113" dataDxfId="112" tableBorderDxfId="111">
  <tableColumns count="4">
    <tableColumn id="1" xr3:uid="{E1B9C019-D223-4A5D-8413-E5B9A4BC57B8}" name=" " dataDxfId="110"/>
    <tableColumn id="2" xr3:uid="{037DC565-F759-42B7-8AFB-932AA09699B8}" name="I" dataDxfId="109"/>
    <tableColumn id="3" xr3:uid="{D99F0EF2-0A14-42FD-B26C-0C944194B1DB}" name="B" dataDxfId="108" dataCellStyle="Accent3"/>
    <tableColumn id="4" xr3:uid="{BD0CE93A-7FCC-4997-A5BF-D69FED37EFA3}" name="E" dataDxfId="107" dataCellStyle="60% - Accent5"/>
  </tableColumns>
  <tableStyleInfo name="TableStyleMedium13" showFirstColumn="1" showLastColumn="0" showRowStripes="0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BB128C07-3921-4DAD-8C85-ABD740780F79}" name="Table46263757809712214317858151" displayName="Table46263757809712214317858151" ref="AH49:AK52" totalsRowShown="0" headerRowDxfId="106" dataDxfId="105" tableBorderDxfId="104">
  <tableColumns count="4">
    <tableColumn id="1" xr3:uid="{91490CC1-FE10-4CD5-9EAF-3CE785D9136C}" name=" " dataDxfId="103"/>
    <tableColumn id="2" xr3:uid="{A2DC50E6-1D86-4254-8AC7-6F4012A32C98}" name="I" dataDxfId="102"/>
    <tableColumn id="3" xr3:uid="{1528C0E3-8DBF-4069-AD39-3FAA5F2E920C}" name="B" dataDxfId="101" dataCellStyle="Accent3"/>
    <tableColumn id="4" xr3:uid="{41A543F5-019B-4908-9D30-2AAD7AD544FB}" name="E" dataDxfId="100" dataCellStyle="60% - Accent5"/>
  </tableColumns>
  <tableStyleInfo name="TableStyleMedium13" showFirstColumn="1" showLastColumn="0" showRowStripes="0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53E22C94-DC19-4E98-B90B-6914DC0AC62C}" name="Table467843668311813917654152" displayName="Table467843668311813917654152" ref="V54:Y57" totalsRowShown="0" headerRowDxfId="99" dataDxfId="98" tableBorderDxfId="97">
  <tableColumns count="4">
    <tableColumn id="1" xr3:uid="{07907D10-4EFE-4FA9-AB1B-965AA740C490}" name=" " dataDxfId="96"/>
    <tableColumn id="2" xr3:uid="{971D6A83-1649-413A-8634-FC7F08868512}" name="I" dataDxfId="95"/>
    <tableColumn id="3" xr3:uid="{73610501-8A1C-4154-8279-DF49C6864D88}" name="B" dataDxfId="94" dataCellStyle="Accent3"/>
    <tableColumn id="4" xr3:uid="{66A26D84-24BD-464D-88F5-DE9AED265BC5}" name="E" dataDxfId="93" dataCellStyle="60% - Accent5"/>
  </tableColumns>
  <tableStyleInfo name="TableStyleMedium13" showFirstColumn="1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4F23A132-AB57-4BB1-8B5D-D4BBCDD4D243}" name="Table46213252759212014117755153" displayName="Table46213252759212014117755153" ref="AB54:AE57" totalsRowShown="0" headerRowDxfId="92" dataDxfId="91" tableBorderDxfId="90">
  <tableColumns count="4">
    <tableColumn id="1" xr3:uid="{A1336774-C3E9-4573-9EFE-26155FE74C9B}" name=" " dataDxfId="89"/>
    <tableColumn id="2" xr3:uid="{6F1B2281-CE50-40A2-B0A0-7AB08C2D5589}" name="I" dataDxfId="88"/>
    <tableColumn id="3" xr3:uid="{AA7F38AD-91AA-4DF8-8003-ED073F4FAE8C}" name="B" dataDxfId="87" dataCellStyle="Accent3"/>
    <tableColumn id="4" xr3:uid="{C76B729F-0121-48B4-A5E1-8020EDF4D88F}" name="E" dataDxfId="86" dataCellStyle="60% - Accent5"/>
  </tableColumns>
  <tableStyleInfo name="TableStyleMedium13" showFirstColumn="1" showLastColumn="0" showRowStripes="0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016ED82-3A1E-4BF6-A59B-32F94BAC60AD}" name="Table46263757809712214317858154" displayName="Table46263757809712214317858154" ref="AH54:AK57" totalsRowShown="0" headerRowDxfId="85" dataDxfId="84" tableBorderDxfId="83">
  <tableColumns count="4">
    <tableColumn id="1" xr3:uid="{D4314A40-37D2-4495-9AE5-37EA38A8374A}" name=" " dataDxfId="82"/>
    <tableColumn id="2" xr3:uid="{11D8318E-93C8-4224-980A-30F54778C499}" name="I" dataDxfId="81"/>
    <tableColumn id="3" xr3:uid="{15C0135B-381A-44AD-A62D-D463735B6BB9}" name="B" dataDxfId="80" dataCellStyle="Accent3"/>
    <tableColumn id="4" xr3:uid="{0B5A888C-D3CD-4CD2-819F-EB6C64B85027}" name="E" dataDxfId="79" dataCellStyle="60% - Accent5"/>
  </tableColumns>
  <tableStyleInfo name="TableStyleMedium13" showFirstColumn="1" showLastColumn="0" showRowStripes="0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8B51CE6D-0813-4771-838B-E7B60D8B0170}" name="Table467843668311813917654155" displayName="Table467843668311813917654155" ref="V59:Y62" totalsRowShown="0" headerRowDxfId="78" dataDxfId="77" tableBorderDxfId="76">
  <tableColumns count="4">
    <tableColumn id="1" xr3:uid="{D42F43BF-AA46-473D-88F0-A987FF0B5EC5}" name=" " dataDxfId="75"/>
    <tableColumn id="2" xr3:uid="{DBD62086-1875-4A68-8ABE-45608F10B013}" name="I" dataDxfId="74"/>
    <tableColumn id="3" xr3:uid="{A516FDAC-9EE9-4D63-B281-53A24012965D}" name="B" dataDxfId="73" dataCellStyle="Accent3"/>
    <tableColumn id="4" xr3:uid="{2E573A7F-8B01-4861-95A4-395EB43D7C53}" name="E" dataDxfId="72" dataCellStyle="60% - Accent5"/>
  </tableColumns>
  <tableStyleInfo name="TableStyleMedium13" showFirstColumn="1" showLastColumn="0" showRowStripes="0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31CBE0A2-B8A8-40A8-8CD5-41C281E318CD}" name="Table46213252759212014117755156" displayName="Table46213252759212014117755156" ref="AB59:AE62" totalsRowShown="0" headerRowDxfId="71" dataDxfId="70" tableBorderDxfId="69">
  <tableColumns count="4">
    <tableColumn id="1" xr3:uid="{02216600-538B-450C-ACB3-EEB29D3FE434}" name=" " dataDxfId="68"/>
    <tableColumn id="2" xr3:uid="{0AF2F758-C71B-46C8-A7A4-7CE557B5E10E}" name="I" dataDxfId="67"/>
    <tableColumn id="3" xr3:uid="{1C14BB5B-41AB-446D-AA58-45F353EAD5B6}" name="B" dataDxfId="66" dataCellStyle="Accent3"/>
    <tableColumn id="4" xr3:uid="{5E8EDA50-C08E-4078-AA0E-150B3C064D69}" name="E" dataDxfId="65" dataCellStyle="60% - Accent5"/>
  </tableColumns>
  <tableStyleInfo name="TableStyleMedium13" showFirstColumn="1" showLastColumn="0" showRowStripes="0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60A81C76-29A0-4E8D-93E5-12995CF82A76}" name="Table46263757809712214317858157" displayName="Table46263757809712214317858157" ref="AH59:AK62" totalsRowShown="0" headerRowDxfId="64" dataDxfId="63" tableBorderDxfId="62">
  <tableColumns count="4">
    <tableColumn id="1" xr3:uid="{CCD22440-398F-4D2F-97DF-F715E164D4E7}" name=" " dataDxfId="61"/>
    <tableColumn id="2" xr3:uid="{6BD20AFC-5243-4D56-907F-F1C832449698}" name="I" dataDxfId="60"/>
    <tableColumn id="3" xr3:uid="{466ED943-90BB-4EF9-A965-FA4F50C3B408}" name="B" dataDxfId="59" dataCellStyle="Accent3"/>
    <tableColumn id="4" xr3:uid="{CCC3206A-7F93-4548-AD6A-A7EE08FB6BB4}" name="E" dataDxfId="58" dataCellStyle="60% - Accent5"/>
  </tableColumns>
  <tableStyleInfo name="TableStyleMedium13" showFirstColumn="1" showLastColumn="0" showRowStripes="0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7D5DE279-4103-45BD-9A00-755B8736CD7E}" name="Table467843668311813917654158" displayName="Table467843668311813917654158" ref="V64:Y67" totalsRowShown="0" headerRowDxfId="57" dataDxfId="56" tableBorderDxfId="55">
  <tableColumns count="4">
    <tableColumn id="1" xr3:uid="{5B2BC888-FCBB-4360-839C-66C4B30A425C}" name=" " dataDxfId="54"/>
    <tableColumn id="2" xr3:uid="{05989CD5-D56E-48DE-AD8D-2F6FCA5A73BD}" name="I" dataDxfId="53"/>
    <tableColumn id="3" xr3:uid="{A790A41A-F7EC-473E-A0FB-D1421AE345A5}" name="B" dataDxfId="52" dataCellStyle="Accent3"/>
    <tableColumn id="4" xr3:uid="{92E6913B-0AC7-4DCB-BB85-9AD2E2E70AFC}" name="E" dataDxfId="51" dataCellStyle="60% - Accent5"/>
  </tableColumns>
  <tableStyleInfo name="TableStyleMedium13" showFirstColumn="1" showLastColumn="0" showRowStripes="0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6CF097C0-97FF-48F0-AA46-7420A90BB0F1}" name="Table46213252759212014117755159" displayName="Table46213252759212014117755159" ref="AB64:AE67" totalsRowShown="0" headerRowDxfId="50" dataDxfId="49" tableBorderDxfId="48">
  <tableColumns count="4">
    <tableColumn id="1" xr3:uid="{293AE56E-6A60-4D86-B11E-015B888DA1EF}" name=" " dataDxfId="47"/>
    <tableColumn id="2" xr3:uid="{205ED944-6ACC-47C5-826F-8986C8F60B20}" name="I" dataDxfId="46"/>
    <tableColumn id="3" xr3:uid="{428CABAC-1FE3-434E-AC8F-66B10AEACD4D}" name="B" dataDxfId="45" dataCellStyle="Accent3"/>
    <tableColumn id="4" xr3:uid="{678D55AE-EFDE-427A-A546-493AC6AB2BD3}" name="E" dataDxfId="44" dataCellStyle="60% - Accent5"/>
  </tableColumns>
  <tableStyleInfo name="TableStyleMedium13" showFirstColumn="1" showLastColumn="0" showRowStripes="0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80E03FC2-4654-4BFB-99FD-37BEA7D37543}" name="Table46263757809712214317858160" displayName="Table46263757809712214317858160" ref="AH64:AK67" totalsRowShown="0" headerRowDxfId="43" dataDxfId="42" tableBorderDxfId="41">
  <tableColumns count="4">
    <tableColumn id="1" xr3:uid="{54A14F95-C55A-4E4A-98EF-46488C70A14D}" name=" " dataDxfId="40"/>
    <tableColumn id="2" xr3:uid="{6819E25C-EEEF-4B44-8810-595805D1E284}" name="I" dataDxfId="39"/>
    <tableColumn id="3" xr3:uid="{C088CCB1-617F-4596-8DFE-3D26B22106C1}" name="B" dataDxfId="38" dataCellStyle="Accent3"/>
    <tableColumn id="4" xr3:uid="{85606948-260A-4FAB-904E-D96D66D93FF7}" name="E" dataDxfId="37" dataCellStyle="60% - Accent5"/>
  </tableColumns>
  <tableStyleInfo name="TableStyleMedium13" showFirstColumn="1" showLastColumn="0" showRowStripes="0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5AD06981-C127-48F0-AD47-B974CA15D13D}" name="Table467843668311813917654173" displayName="Table467843668311813917654173" ref="V69:Y72" totalsRowShown="0" headerRowDxfId="36" dataDxfId="35" tableBorderDxfId="34">
  <tableColumns count="4">
    <tableColumn id="1" xr3:uid="{0EF46BAA-B68D-41C3-8E59-52D750D9B8EB}" name=" " dataDxfId="33"/>
    <tableColumn id="2" xr3:uid="{41F3BE97-597F-4330-A7B3-56744F219D12}" name="I" dataDxfId="32"/>
    <tableColumn id="3" xr3:uid="{206C920B-587A-4AFF-9861-D3737E875C72}" name="B" dataDxfId="31" dataCellStyle="Accent3"/>
    <tableColumn id="4" xr3:uid="{68601672-2971-4584-BED0-C62D1122E22A}" name="E" dataDxfId="30" dataCellStyle="60% - Accent5"/>
  </tableColumns>
  <tableStyleInfo name="TableStyleMedium13" showFirstColumn="1" showLastColumn="0" showRowStripes="0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6D401200-61B5-4B41-B4FA-322FB0FBB4F9}" name="Table46213252759212014117755174" displayName="Table46213252759212014117755174" ref="AB69:AE72" totalsRowShown="0" headerRowDxfId="29" dataDxfId="28" tableBorderDxfId="27">
  <tableColumns count="4">
    <tableColumn id="1" xr3:uid="{D9865BAE-32D2-409B-992C-6E4A1AF5F8F6}" name=" " dataDxfId="26"/>
    <tableColumn id="2" xr3:uid="{E357527B-9292-420F-9C43-AEBAC886B4C1}" name="I" dataDxfId="25"/>
    <tableColumn id="3" xr3:uid="{742642AE-6EDB-42EC-A036-5495444E1039}" name="B" dataDxfId="24" dataCellStyle="Accent3"/>
    <tableColumn id="4" xr3:uid="{99484016-1674-4C7E-95B0-08F2EB7D9F69}" name="E" dataDxfId="23" dataCellStyle="60% - Accent5"/>
  </tableColumns>
  <tableStyleInfo name="TableStyleMedium13" showFirstColumn="1" showLastColumn="0" showRowStripes="0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E42FA884-CD9C-4FB7-827F-3A2EB427508C}" name="Table46263757809712214317858175" displayName="Table46263757809712214317858175" ref="AH69:AK72" totalsRowShown="0" headerRowDxfId="22" dataDxfId="21" tableBorderDxfId="20">
  <tableColumns count="4">
    <tableColumn id="1" xr3:uid="{1906ABDE-AC84-46B5-BE06-25861EDE5111}" name=" " dataDxfId="19"/>
    <tableColumn id="2" xr3:uid="{DEA87545-5EED-43B4-80F0-C85A9309C886}" name="I" dataDxfId="18"/>
    <tableColumn id="3" xr3:uid="{84C6C1F9-F9FB-4B7F-B101-C91B324FF2A8}" name="B" dataDxfId="17" dataCellStyle="Accent3"/>
    <tableColumn id="4" xr3:uid="{D867E567-DFF2-48A9-9017-213AE9ADE45B}" name="E" dataDxfId="16" dataCellStyle="60% - Accent5"/>
  </tableColumns>
  <tableStyleInfo name="TableStyleMedium13" showFirstColumn="1" showLastColumn="0" showRowStripes="0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7B000000}" name="Masks" displayName="Masks" ref="F2:I16" totalsRowShown="0" headerRowDxfId="15" headerRowBorderDxfId="14" tableBorderDxfId="13" headerRowCellStyle="Heading 3">
  <tableColumns count="4">
    <tableColumn id="1" xr3:uid="{00000000-0010-0000-7B00-000001000000}" name="Relationship" dataDxfId="12">
      <calculatedColumnFormula>A3</calculatedColumnFormula>
    </tableColumn>
    <tableColumn id="2" xr3:uid="{00000000-0010-0000-7B00-000002000000}" name="Region" dataDxfId="11">
      <calculatedColumnFormula>IF(ISBLANK(B3),0,SUBSTITUTE(SUBSTITUTE(SUBSTITUTE(B3,"*",0),"F","1"),"T",1))</calculatedColumnFormula>
    </tableColumn>
    <tableColumn id="3" xr3:uid="{00000000-0010-0000-7B00-000003000000}" name="External" dataDxfId="10">
      <calculatedColumnFormula>IF(ISBLANK(C3),0,SUBSTITUTE(SUBSTITUTE(SUBSTITUTE(C3,"*",0),"F","1"),"T",1))</calculatedColumnFormula>
    </tableColumn>
    <tableColumn id="4" xr3:uid="{00000000-0010-0000-7B00-000004000000}" name="Hull" dataDxfId="9">
      <calculatedColumnFormula>IF(ISBLANK(D3),0,SUBSTITUTE(SUBSTITUTE(SUBSTITUTE(D3,"*",0),"F","1"),"T",1))</calculatedColumnFormula>
    </tableColumn>
  </tableColumns>
  <tableStyleInfo name="TableStyleLight1" showFirstColumn="0" showLastColumn="0" showRowStripes="0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7C000000}" name="Values" displayName="Values" ref="K2:N16" totalsRowShown="0" headerRowDxfId="8" headerRowBorderDxfId="7" tableBorderDxfId="6" headerRowCellStyle="Heading 3">
  <tableColumns count="4">
    <tableColumn id="1" xr3:uid="{00000000-0010-0000-7C00-000001000000}" name="Relationship" dataDxfId="5">
      <calculatedColumnFormula>A3</calculatedColumnFormula>
    </tableColumn>
    <tableColumn id="2" xr3:uid="{00000000-0010-0000-7C00-000002000000}" name="Region" dataDxfId="4">
      <calculatedColumnFormula>IF(ISBLANK(B3),0,SUBSTITUTE(SUBSTITUTE(SUBSTITUTE(B3,"*",0),"F","0"),"T",1))</calculatedColumnFormula>
    </tableColumn>
    <tableColumn id="3" xr3:uid="{00000000-0010-0000-7C00-000003000000}" name="External" dataDxfId="3">
      <calculatedColumnFormula>IF(ISBLANK(C3),0,SUBSTITUTE(SUBSTITUTE(SUBSTITUTE(C3,"*",0),"F","0"),"T",1))</calculatedColumnFormula>
    </tableColumn>
    <tableColumn id="4" xr3:uid="{00000000-0010-0000-7C00-000004000000}" name="Hull" dataDxfId="2">
      <calculatedColumnFormula>IF(ISBLANK(D3),0,SUBSTITUTE(SUBSTITUTE(SUBSTITUTE(D3,"*",0),"F","0"),"T",1))</calculatedColumnFormula>
    </tableColumn>
  </tableColumns>
  <tableStyleInfo name="TableStyleLight1" showFirstColumn="0" showLastColumn="0" showRowStripes="0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7D000000}" name="Table3" displayName="Table3" ref="E1:I19" totalsRowShown="0" tableBorderDxfId="1">
  <tableColumns count="5">
    <tableColumn id="1" xr3:uid="{00000000-0010-0000-7D00-000001000000}" name="Relationship">
      <calculatedColumnFormula>A2</calculatedColumnFormula>
    </tableColumn>
    <tableColumn id="2" xr3:uid="{00000000-0010-0000-7D00-000002000000}" name="Type">
      <calculatedColumnFormula>B2</calculatedColumnFormula>
    </tableColumn>
    <tableColumn id="3" xr3:uid="{00000000-0010-0000-7D00-000003000000}" name="Region">
      <calculatedColumnFormula>IF(EXACT($F2,"Mask"),VLOOKUP($E2,Masks[],MATCH(G$1,Masks[#Headers],0),FALSE),IF(EXACT($F2,"Value"),VLOOKUP($E2,Values[],MATCH(G$1,Values[#Headers],0),FALSE),""))</calculatedColumnFormula>
    </tableColumn>
    <tableColumn id="4" xr3:uid="{00000000-0010-0000-7D00-000004000000}" name="External">
      <calculatedColumnFormula>IF(EXACT($F2,"Mask"),VLOOKUP($E2,Masks[],MATCH(H$1,Masks[#Headers],0),FALSE),IF(EXACT($F2,"Value"),VLOOKUP($E2,Values[],MATCH(H$1,Values[#Headers],0),FALSE),""))</calculatedColumnFormula>
    </tableColumn>
    <tableColumn id="5" xr3:uid="{00000000-0010-0000-7D00-000005000000}" name="Hull">
      <calculatedColumnFormula>IF(EXACT($F2,"Mask"),VLOOKUP($E2,Masks[],MATCH(I$1,Masks[#Headers],0),FALSE),IF(EXACT($F2,"Value"),VLOOKUP($E2,Values[],MATCH(I$1,Values[#Headers],0),FALSE),""))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9.xml"/><Relationship Id="rId21" Type="http://schemas.openxmlformats.org/officeDocument/2006/relationships/table" Target="../tables/table24.xml"/><Relationship Id="rId42" Type="http://schemas.openxmlformats.org/officeDocument/2006/relationships/table" Target="../tables/table45.xml"/><Relationship Id="rId47" Type="http://schemas.openxmlformats.org/officeDocument/2006/relationships/table" Target="../tables/table50.xml"/><Relationship Id="rId63" Type="http://schemas.openxmlformats.org/officeDocument/2006/relationships/table" Target="../tables/table66.xml"/><Relationship Id="rId68" Type="http://schemas.openxmlformats.org/officeDocument/2006/relationships/table" Target="../tables/table71.xml"/><Relationship Id="rId16" Type="http://schemas.openxmlformats.org/officeDocument/2006/relationships/table" Target="../tables/table19.xml"/><Relationship Id="rId11" Type="http://schemas.openxmlformats.org/officeDocument/2006/relationships/table" Target="../tables/table14.xml"/><Relationship Id="rId32" Type="http://schemas.openxmlformats.org/officeDocument/2006/relationships/table" Target="../tables/table35.xml"/><Relationship Id="rId37" Type="http://schemas.openxmlformats.org/officeDocument/2006/relationships/table" Target="../tables/table40.xml"/><Relationship Id="rId53" Type="http://schemas.openxmlformats.org/officeDocument/2006/relationships/table" Target="../tables/table56.xml"/><Relationship Id="rId58" Type="http://schemas.openxmlformats.org/officeDocument/2006/relationships/table" Target="../tables/table61.xml"/><Relationship Id="rId74" Type="http://schemas.openxmlformats.org/officeDocument/2006/relationships/table" Target="../tables/table77.xml"/><Relationship Id="rId79" Type="http://schemas.openxmlformats.org/officeDocument/2006/relationships/table" Target="../tables/table82.xml"/><Relationship Id="rId5" Type="http://schemas.openxmlformats.org/officeDocument/2006/relationships/table" Target="../tables/table8.xml"/><Relationship Id="rId61" Type="http://schemas.openxmlformats.org/officeDocument/2006/relationships/table" Target="../tables/table64.xml"/><Relationship Id="rId19" Type="http://schemas.openxmlformats.org/officeDocument/2006/relationships/table" Target="../tables/table22.xml"/><Relationship Id="rId14" Type="http://schemas.openxmlformats.org/officeDocument/2006/relationships/table" Target="../tables/table17.xml"/><Relationship Id="rId22" Type="http://schemas.openxmlformats.org/officeDocument/2006/relationships/table" Target="../tables/table25.xml"/><Relationship Id="rId27" Type="http://schemas.openxmlformats.org/officeDocument/2006/relationships/table" Target="../tables/table30.xml"/><Relationship Id="rId30" Type="http://schemas.openxmlformats.org/officeDocument/2006/relationships/table" Target="../tables/table33.xml"/><Relationship Id="rId35" Type="http://schemas.openxmlformats.org/officeDocument/2006/relationships/table" Target="../tables/table38.xml"/><Relationship Id="rId43" Type="http://schemas.openxmlformats.org/officeDocument/2006/relationships/table" Target="../tables/table46.xml"/><Relationship Id="rId48" Type="http://schemas.openxmlformats.org/officeDocument/2006/relationships/table" Target="../tables/table51.xml"/><Relationship Id="rId56" Type="http://schemas.openxmlformats.org/officeDocument/2006/relationships/table" Target="../tables/table59.xml"/><Relationship Id="rId64" Type="http://schemas.openxmlformats.org/officeDocument/2006/relationships/table" Target="../tables/table67.xml"/><Relationship Id="rId69" Type="http://schemas.openxmlformats.org/officeDocument/2006/relationships/table" Target="../tables/table72.xml"/><Relationship Id="rId77" Type="http://schemas.openxmlformats.org/officeDocument/2006/relationships/table" Target="../tables/table80.xml"/><Relationship Id="rId8" Type="http://schemas.openxmlformats.org/officeDocument/2006/relationships/table" Target="../tables/table11.xml"/><Relationship Id="rId51" Type="http://schemas.openxmlformats.org/officeDocument/2006/relationships/table" Target="../tables/table54.xml"/><Relationship Id="rId72" Type="http://schemas.openxmlformats.org/officeDocument/2006/relationships/table" Target="../tables/table75.xml"/><Relationship Id="rId80" Type="http://schemas.openxmlformats.org/officeDocument/2006/relationships/table" Target="../tables/table83.xml"/><Relationship Id="rId3" Type="http://schemas.openxmlformats.org/officeDocument/2006/relationships/table" Target="../tables/table6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5" Type="http://schemas.openxmlformats.org/officeDocument/2006/relationships/table" Target="../tables/table28.xml"/><Relationship Id="rId33" Type="http://schemas.openxmlformats.org/officeDocument/2006/relationships/table" Target="../tables/table36.xml"/><Relationship Id="rId38" Type="http://schemas.openxmlformats.org/officeDocument/2006/relationships/table" Target="../tables/table41.xml"/><Relationship Id="rId46" Type="http://schemas.openxmlformats.org/officeDocument/2006/relationships/table" Target="../tables/table49.xml"/><Relationship Id="rId59" Type="http://schemas.openxmlformats.org/officeDocument/2006/relationships/table" Target="../tables/table62.xml"/><Relationship Id="rId67" Type="http://schemas.openxmlformats.org/officeDocument/2006/relationships/table" Target="../tables/table70.xml"/><Relationship Id="rId20" Type="http://schemas.openxmlformats.org/officeDocument/2006/relationships/table" Target="../tables/table23.xml"/><Relationship Id="rId41" Type="http://schemas.openxmlformats.org/officeDocument/2006/relationships/table" Target="../tables/table44.xml"/><Relationship Id="rId54" Type="http://schemas.openxmlformats.org/officeDocument/2006/relationships/table" Target="../tables/table57.xml"/><Relationship Id="rId62" Type="http://schemas.openxmlformats.org/officeDocument/2006/relationships/table" Target="../tables/table65.xml"/><Relationship Id="rId70" Type="http://schemas.openxmlformats.org/officeDocument/2006/relationships/table" Target="../tables/table73.xml"/><Relationship Id="rId75" Type="http://schemas.openxmlformats.org/officeDocument/2006/relationships/table" Target="../tables/table78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5" Type="http://schemas.openxmlformats.org/officeDocument/2006/relationships/table" Target="../tables/table18.xml"/><Relationship Id="rId23" Type="http://schemas.openxmlformats.org/officeDocument/2006/relationships/table" Target="../tables/table26.xml"/><Relationship Id="rId28" Type="http://schemas.openxmlformats.org/officeDocument/2006/relationships/table" Target="../tables/table31.xml"/><Relationship Id="rId36" Type="http://schemas.openxmlformats.org/officeDocument/2006/relationships/table" Target="../tables/table39.xml"/><Relationship Id="rId49" Type="http://schemas.openxmlformats.org/officeDocument/2006/relationships/table" Target="../tables/table52.xml"/><Relationship Id="rId57" Type="http://schemas.openxmlformats.org/officeDocument/2006/relationships/table" Target="../tables/table60.xml"/><Relationship Id="rId10" Type="http://schemas.openxmlformats.org/officeDocument/2006/relationships/table" Target="../tables/table13.xml"/><Relationship Id="rId31" Type="http://schemas.openxmlformats.org/officeDocument/2006/relationships/table" Target="../tables/table34.xml"/><Relationship Id="rId44" Type="http://schemas.openxmlformats.org/officeDocument/2006/relationships/table" Target="../tables/table47.xml"/><Relationship Id="rId52" Type="http://schemas.openxmlformats.org/officeDocument/2006/relationships/table" Target="../tables/table55.xml"/><Relationship Id="rId60" Type="http://schemas.openxmlformats.org/officeDocument/2006/relationships/table" Target="../tables/table63.xml"/><Relationship Id="rId65" Type="http://schemas.openxmlformats.org/officeDocument/2006/relationships/table" Target="../tables/table68.xml"/><Relationship Id="rId73" Type="http://schemas.openxmlformats.org/officeDocument/2006/relationships/table" Target="../tables/table76.xml"/><Relationship Id="rId78" Type="http://schemas.openxmlformats.org/officeDocument/2006/relationships/table" Target="../tables/table81.xml"/><Relationship Id="rId81" Type="http://schemas.openxmlformats.org/officeDocument/2006/relationships/table" Target="../tables/table84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3" Type="http://schemas.openxmlformats.org/officeDocument/2006/relationships/table" Target="../tables/table16.xml"/><Relationship Id="rId18" Type="http://schemas.openxmlformats.org/officeDocument/2006/relationships/table" Target="../tables/table21.xml"/><Relationship Id="rId39" Type="http://schemas.openxmlformats.org/officeDocument/2006/relationships/table" Target="../tables/table42.xml"/><Relationship Id="rId34" Type="http://schemas.openxmlformats.org/officeDocument/2006/relationships/table" Target="../tables/table37.xml"/><Relationship Id="rId50" Type="http://schemas.openxmlformats.org/officeDocument/2006/relationships/table" Target="../tables/table53.xml"/><Relationship Id="rId55" Type="http://schemas.openxmlformats.org/officeDocument/2006/relationships/table" Target="../tables/table58.xml"/><Relationship Id="rId76" Type="http://schemas.openxmlformats.org/officeDocument/2006/relationships/table" Target="../tables/table79.xml"/><Relationship Id="rId7" Type="http://schemas.openxmlformats.org/officeDocument/2006/relationships/table" Target="../tables/table10.xml"/><Relationship Id="rId71" Type="http://schemas.openxmlformats.org/officeDocument/2006/relationships/table" Target="../tables/table74.xml"/><Relationship Id="rId2" Type="http://schemas.openxmlformats.org/officeDocument/2006/relationships/table" Target="../tables/table5.xml"/><Relationship Id="rId29" Type="http://schemas.openxmlformats.org/officeDocument/2006/relationships/table" Target="../tables/table32.xml"/><Relationship Id="rId24" Type="http://schemas.openxmlformats.org/officeDocument/2006/relationships/table" Target="../tables/table27.xml"/><Relationship Id="rId40" Type="http://schemas.openxmlformats.org/officeDocument/2006/relationships/table" Target="../tables/table43.xml"/><Relationship Id="rId45" Type="http://schemas.openxmlformats.org/officeDocument/2006/relationships/table" Target="../tables/table48.xml"/><Relationship Id="rId66" Type="http://schemas.openxmlformats.org/officeDocument/2006/relationships/table" Target="../tables/table6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A5" sqref="A5"/>
    </sheetView>
  </sheetViews>
  <sheetFormatPr defaultRowHeight="50.1" customHeight="1" x14ac:dyDescent="0.25"/>
  <cols>
    <col min="1" max="1" width="12.85546875" bestFit="1" customWidth="1"/>
    <col min="2" max="2" width="11.5703125" bestFit="1" customWidth="1"/>
    <col min="3" max="3" width="21.5703125" bestFit="1" customWidth="1"/>
    <col min="4" max="4" width="58.140625" customWidth="1"/>
    <col min="5" max="5" width="54.5703125" customWidth="1"/>
    <col min="6" max="6" width="80.7109375" customWidth="1"/>
    <col min="7" max="7" width="11" bestFit="1" customWidth="1"/>
  </cols>
  <sheetData>
    <row r="1" spans="1:6" ht="50.1" customHeight="1" thickBot="1" x14ac:dyDescent="0.3">
      <c r="A1" s="50" t="s">
        <v>0</v>
      </c>
      <c r="B1" s="50" t="s">
        <v>1</v>
      </c>
      <c r="C1" s="51" t="s">
        <v>2</v>
      </c>
      <c r="D1" s="52" t="s">
        <v>3</v>
      </c>
      <c r="E1" s="53"/>
      <c r="F1" s="64" t="s">
        <v>4</v>
      </c>
    </row>
    <row r="2" spans="1:6" ht="50.1" customHeight="1" thickBot="1" x14ac:dyDescent="0.35">
      <c r="A2" s="50" t="s">
        <v>5</v>
      </c>
      <c r="B2" s="50" t="s">
        <v>6</v>
      </c>
      <c r="C2" s="51" t="s">
        <v>2</v>
      </c>
      <c r="D2" s="52" t="s">
        <v>7</v>
      </c>
      <c r="E2" s="55"/>
      <c r="F2" s="62" t="s">
        <v>8</v>
      </c>
    </row>
    <row r="3" spans="1:6" ht="50.1" customHeight="1" thickBot="1" x14ac:dyDescent="0.3">
      <c r="A3" s="50" t="s">
        <v>9</v>
      </c>
      <c r="B3" s="50" t="s">
        <v>9</v>
      </c>
      <c r="C3" s="51" t="s">
        <v>10</v>
      </c>
      <c r="D3" s="52" t="s">
        <v>11</v>
      </c>
      <c r="E3" s="55"/>
      <c r="F3" s="61" t="s">
        <v>12</v>
      </c>
    </row>
    <row r="4" spans="1:6" ht="50.1" customHeight="1" thickBot="1" x14ac:dyDescent="0.35">
      <c r="A4" s="50" t="s">
        <v>13</v>
      </c>
      <c r="B4" s="50" t="s">
        <v>13</v>
      </c>
      <c r="C4" s="51" t="s">
        <v>10</v>
      </c>
      <c r="D4" s="54" t="s">
        <v>14</v>
      </c>
      <c r="E4" s="55"/>
      <c r="F4" s="63"/>
    </row>
    <row r="5" spans="1:6" ht="54.75" customHeight="1" thickBot="1" x14ac:dyDescent="0.3">
      <c r="A5" s="50" t="s">
        <v>15</v>
      </c>
      <c r="B5" s="50" t="s">
        <v>16</v>
      </c>
      <c r="C5" s="51"/>
      <c r="D5" s="54" t="s">
        <v>17</v>
      </c>
      <c r="E5" s="56"/>
      <c r="F5" s="60"/>
    </row>
    <row r="6" spans="1:6" ht="50.1" customHeight="1" thickBot="1" x14ac:dyDescent="0.3">
      <c r="A6" s="50" t="s">
        <v>18</v>
      </c>
      <c r="B6" s="50" t="s">
        <v>18</v>
      </c>
      <c r="C6" s="51" t="s">
        <v>10</v>
      </c>
      <c r="D6" s="52" t="s">
        <v>19</v>
      </c>
      <c r="E6" s="55"/>
    </row>
    <row r="7" spans="1:6" ht="58.5" customHeight="1" thickBot="1" x14ac:dyDescent="0.3">
      <c r="A7" s="50" t="s">
        <v>20</v>
      </c>
      <c r="B7" s="50" t="s">
        <v>21</v>
      </c>
      <c r="C7" s="51"/>
      <c r="D7" s="57" t="s">
        <v>22</v>
      </c>
      <c r="E7" s="55"/>
      <c r="F7" s="60" t="s">
        <v>23</v>
      </c>
    </row>
    <row r="8" spans="1:6" ht="50.1" customHeight="1" thickBot="1" x14ac:dyDescent="0.3">
      <c r="A8" s="50" t="s">
        <v>18</v>
      </c>
      <c r="B8" s="50" t="s">
        <v>18</v>
      </c>
      <c r="C8" s="51" t="s">
        <v>10</v>
      </c>
      <c r="D8" s="52" t="s">
        <v>19</v>
      </c>
      <c r="E8" s="58"/>
    </row>
    <row r="9" spans="1:6" ht="58.5" customHeight="1" thickBot="1" x14ac:dyDescent="0.3">
      <c r="A9" s="50" t="s">
        <v>24</v>
      </c>
      <c r="B9" s="50" t="s">
        <v>25</v>
      </c>
      <c r="C9" s="51" t="s">
        <v>2</v>
      </c>
      <c r="D9" s="57" t="s">
        <v>26</v>
      </c>
      <c r="E9" s="55"/>
    </row>
    <row r="10" spans="1:6" ht="50.1" customHeight="1" thickBot="1" x14ac:dyDescent="0.3">
      <c r="A10" s="50" t="s">
        <v>27</v>
      </c>
      <c r="B10" s="50" t="s">
        <v>27</v>
      </c>
      <c r="C10" s="59" t="s">
        <v>28</v>
      </c>
      <c r="D10" s="57" t="s">
        <v>29</v>
      </c>
      <c r="E10" s="55"/>
    </row>
    <row r="11" spans="1:6" ht="50.1" customHeight="1" x14ac:dyDescent="0.25">
      <c r="A11" s="4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"/>
  <sheetViews>
    <sheetView showGridLines="0" workbookViewId="0">
      <selection activeCell="X15" sqref="X15"/>
    </sheetView>
  </sheetViews>
  <sheetFormatPr defaultRowHeight="15" x14ac:dyDescent="0.25"/>
  <sheetData>
    <row r="1" spans="2:7" ht="15" customHeight="1" x14ac:dyDescent="0.25"/>
    <row r="2" spans="2:7" ht="15" customHeight="1" thickBot="1" x14ac:dyDescent="0.3">
      <c r="B2" s="204" t="s">
        <v>85</v>
      </c>
      <c r="C2" s="204"/>
      <c r="D2" s="204"/>
      <c r="E2" s="204"/>
      <c r="F2" s="204"/>
      <c r="G2" s="204"/>
    </row>
    <row r="3" spans="2:7" ht="15" customHeight="1" thickTop="1" thickBot="1" x14ac:dyDescent="0.3">
      <c r="B3" s="204"/>
      <c r="C3" s="204"/>
      <c r="D3" s="204"/>
      <c r="E3" s="204"/>
      <c r="F3" s="204"/>
      <c r="G3" s="204"/>
    </row>
    <row r="4" spans="2:7" ht="15.75" thickTop="1" x14ac:dyDescent="0.25"/>
  </sheetData>
  <mergeCells count="1">
    <mergeCell ref="B2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1758-2C0B-4253-8B91-8EFE1FD1219B}">
  <dimension ref="A1:DK116"/>
  <sheetViews>
    <sheetView showGridLines="0" tabSelected="1" topLeftCell="AI57" zoomScaleNormal="100" workbookViewId="0">
      <selection activeCell="DA88" sqref="DA88"/>
    </sheetView>
  </sheetViews>
  <sheetFormatPr defaultColWidth="9.140625" defaultRowHeight="15" customHeight="1" x14ac:dyDescent="0.25"/>
  <cols>
    <col min="1" max="1" width="14.7109375" style="65" customWidth="1"/>
    <col min="2" max="2" width="4.7109375" style="65" bestFit="1" customWidth="1"/>
    <col min="3" max="3" width="2.28515625" style="14" bestFit="1" customWidth="1"/>
    <col min="4" max="4" width="2.28515625" style="13" bestFit="1" customWidth="1"/>
    <col min="5" max="5" width="2.140625" style="13" bestFit="1" customWidth="1"/>
    <col min="6" max="6" width="2.28515625" style="13" bestFit="1" customWidth="1"/>
    <col min="7" max="7" width="2.140625" style="13" bestFit="1" customWidth="1"/>
    <col min="8" max="8" width="0.85546875" style="13" customWidth="1"/>
    <col min="9" max="10" width="2.28515625" style="13" bestFit="1" customWidth="1"/>
    <col min="11" max="11" width="2.140625" style="13" bestFit="1" customWidth="1"/>
    <col min="12" max="12" width="2.28515625" style="13" bestFit="1" customWidth="1"/>
    <col min="13" max="13" width="2.140625" style="13" bestFit="1" customWidth="1"/>
    <col min="14" max="14" width="0.85546875" style="13" customWidth="1"/>
    <col min="15" max="16" width="2.28515625" style="13" bestFit="1" customWidth="1"/>
    <col min="17" max="17" width="2.140625" style="13" bestFit="1" customWidth="1"/>
    <col min="18" max="18" width="2.28515625" style="13" bestFit="1" customWidth="1"/>
    <col min="19" max="19" width="2.140625" style="13" bestFit="1" customWidth="1"/>
    <col min="20" max="20" width="14.7109375" style="14" customWidth="1"/>
    <col min="21" max="21" width="4.7109375" style="65" bestFit="1" customWidth="1"/>
    <col min="22" max="22" width="2.28515625" style="14" bestFit="1" customWidth="1"/>
    <col min="23" max="23" width="2.28515625" style="13" bestFit="1" customWidth="1"/>
    <col min="24" max="24" width="2.140625" style="13" bestFit="1" customWidth="1"/>
    <col min="25" max="25" width="2.28515625" style="13" bestFit="1" customWidth="1"/>
    <col min="26" max="26" width="2.140625" style="13" bestFit="1" customWidth="1"/>
    <col min="27" max="27" width="0.85546875" style="13" customWidth="1"/>
    <col min="28" max="29" width="2.28515625" style="13" bestFit="1" customWidth="1"/>
    <col min="30" max="30" width="2.140625" style="13" bestFit="1" customWidth="1"/>
    <col min="31" max="31" width="2.28515625" style="13" bestFit="1" customWidth="1"/>
    <col min="32" max="32" width="2.140625" style="13" bestFit="1" customWidth="1"/>
    <col min="33" max="33" width="0.85546875" style="13" customWidth="1"/>
    <col min="34" max="35" width="2.28515625" style="13" bestFit="1" customWidth="1"/>
    <col min="36" max="36" width="2.140625" style="13" bestFit="1" customWidth="1"/>
    <col min="37" max="37" width="2.28515625" style="13" bestFit="1" customWidth="1"/>
    <col min="38" max="38" width="2.140625" style="13" bestFit="1" customWidth="1"/>
    <col min="39" max="39" width="14.7109375" style="14" customWidth="1"/>
    <col min="40" max="40" width="4.7109375" style="65" bestFit="1" customWidth="1"/>
    <col min="41" max="41" width="2.28515625" style="14" bestFit="1" customWidth="1"/>
    <col min="42" max="42" width="2.28515625" style="13" bestFit="1" customWidth="1"/>
    <col min="43" max="43" width="2.140625" style="13" bestFit="1" customWidth="1"/>
    <col min="44" max="44" width="2.28515625" style="13" bestFit="1" customWidth="1"/>
    <col min="45" max="45" width="2.140625" style="13" bestFit="1" customWidth="1"/>
    <col min="46" max="46" width="0.85546875" style="13" customWidth="1"/>
    <col min="47" max="48" width="2.28515625" style="13" bestFit="1" customWidth="1"/>
    <col min="49" max="49" width="2.140625" style="13" bestFit="1" customWidth="1"/>
    <col min="50" max="50" width="2.28515625" style="13" bestFit="1" customWidth="1"/>
    <col min="51" max="51" width="2.140625" style="13" bestFit="1" customWidth="1"/>
    <col min="52" max="52" width="0.85546875" style="13" customWidth="1"/>
    <col min="53" max="54" width="2.28515625" style="13" bestFit="1" customWidth="1"/>
    <col min="55" max="55" width="2.140625" style="13" bestFit="1" customWidth="1"/>
    <col min="56" max="56" width="2.28515625" style="13" bestFit="1" customWidth="1"/>
    <col min="57" max="57" width="2.140625" style="13" bestFit="1" customWidth="1"/>
    <col min="58" max="58" width="14.7109375" style="14" customWidth="1"/>
    <col min="59" max="59" width="4.7109375" style="65" bestFit="1" customWidth="1"/>
    <col min="60" max="60" width="2.28515625" style="14" bestFit="1" customWidth="1"/>
    <col min="61" max="61" width="2.28515625" style="13" bestFit="1" customWidth="1"/>
    <col min="62" max="62" width="2.140625" style="13" bestFit="1" customWidth="1"/>
    <col min="63" max="63" width="2.28515625" style="13" bestFit="1" customWidth="1"/>
    <col min="64" max="64" width="2.140625" style="13" bestFit="1" customWidth="1"/>
    <col min="65" max="65" width="0.85546875" style="13" customWidth="1"/>
    <col min="66" max="67" width="2.28515625" style="13" bestFit="1" customWidth="1"/>
    <col min="68" max="68" width="2.140625" style="13" bestFit="1" customWidth="1"/>
    <col min="69" max="69" width="2.28515625" style="13" bestFit="1" customWidth="1"/>
    <col min="70" max="70" width="2.140625" style="13" bestFit="1" customWidth="1"/>
    <col min="71" max="71" width="0.85546875" style="13" customWidth="1"/>
    <col min="72" max="73" width="2.28515625" style="13" bestFit="1" customWidth="1"/>
    <col min="74" max="74" width="2.140625" style="13" bestFit="1" customWidth="1"/>
    <col min="75" max="75" width="2.28515625" style="13" bestFit="1" customWidth="1"/>
    <col min="76" max="76" width="2.140625" style="13" bestFit="1" customWidth="1"/>
    <col min="77" max="77" width="20.5703125" style="14" customWidth="1"/>
    <col min="78" max="78" width="4.7109375" style="65" bestFit="1" customWidth="1"/>
    <col min="79" max="79" width="2.28515625" style="14" bestFit="1" customWidth="1"/>
    <col min="80" max="80" width="2.28515625" style="13" bestFit="1" customWidth="1"/>
    <col min="81" max="81" width="2.140625" style="13" bestFit="1" customWidth="1"/>
    <col min="82" max="82" width="2.28515625" style="13" bestFit="1" customWidth="1"/>
    <col min="83" max="83" width="2.140625" style="13" bestFit="1" customWidth="1"/>
    <col min="84" max="84" width="0.85546875" style="13" customWidth="1"/>
    <col min="85" max="86" width="2.28515625" style="13" bestFit="1" customWidth="1"/>
    <col min="87" max="87" width="2.140625" style="13" bestFit="1" customWidth="1"/>
    <col min="88" max="88" width="2.28515625" style="13" bestFit="1" customWidth="1"/>
    <col min="89" max="89" width="2.140625" style="13" bestFit="1" customWidth="1"/>
    <col min="90" max="90" width="0.85546875" style="13" customWidth="1"/>
    <col min="91" max="92" width="2.28515625" style="13" bestFit="1" customWidth="1"/>
    <col min="93" max="93" width="2.140625" style="13" bestFit="1" customWidth="1"/>
    <col min="94" max="94" width="2.28515625" style="13" bestFit="1" customWidth="1"/>
    <col min="95" max="95" width="2.140625" style="13" bestFit="1" customWidth="1"/>
    <col min="96" max="96" width="20.5703125" style="14" customWidth="1"/>
    <col min="97" max="97" width="4.7109375" style="65" bestFit="1" customWidth="1"/>
    <col min="98" max="98" width="2.28515625" style="14" bestFit="1" customWidth="1"/>
    <col min="99" max="99" width="2.28515625" style="13" bestFit="1" customWidth="1"/>
    <col min="100" max="100" width="2.140625" style="13" bestFit="1" customWidth="1"/>
    <col min="101" max="101" width="2.28515625" style="13" bestFit="1" customWidth="1"/>
    <col min="102" max="102" width="2.140625" style="13" bestFit="1" customWidth="1"/>
    <col min="103" max="103" width="0.85546875" style="13" customWidth="1"/>
    <col min="104" max="105" width="2.28515625" style="13" bestFit="1" customWidth="1"/>
    <col min="106" max="106" width="2.140625" style="13" bestFit="1" customWidth="1"/>
    <col min="107" max="107" width="2.28515625" style="13" bestFit="1" customWidth="1"/>
    <col min="108" max="108" width="2.140625" style="13" bestFit="1" customWidth="1"/>
    <col min="109" max="109" width="0.85546875" style="13" customWidth="1"/>
    <col min="110" max="111" width="2.28515625" style="13" bestFit="1" customWidth="1"/>
    <col min="112" max="112" width="2.140625" style="13" bestFit="1" customWidth="1"/>
    <col min="113" max="113" width="2.28515625" style="13" bestFit="1" customWidth="1"/>
    <col min="114" max="114" width="2.140625" style="13" bestFit="1" customWidth="1"/>
    <col min="115" max="115" width="20.5703125" style="14" customWidth="1"/>
    <col min="116" max="16384" width="9.140625" style="14"/>
  </cols>
  <sheetData>
    <row r="1" spans="1:114" ht="15" customHeight="1" thickBot="1" x14ac:dyDescent="0.3">
      <c r="BZ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S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</row>
    <row r="2" spans="1:114" ht="17.25" customHeight="1" thickTop="1" thickBot="1" x14ac:dyDescent="0.3">
      <c r="A2" s="187" t="s">
        <v>62</v>
      </c>
      <c r="B2" s="172" t="s">
        <v>40</v>
      </c>
      <c r="C2" s="20"/>
      <c r="D2" s="11"/>
      <c r="E2" s="175" t="s">
        <v>31</v>
      </c>
      <c r="F2" s="175"/>
      <c r="G2" s="175"/>
      <c r="H2" s="46"/>
      <c r="I2" s="11"/>
      <c r="J2" s="11"/>
      <c r="K2" s="175" t="s">
        <v>31</v>
      </c>
      <c r="L2" s="175"/>
      <c r="M2" s="175"/>
      <c r="N2" s="46"/>
      <c r="O2" s="11"/>
      <c r="P2" s="11"/>
      <c r="Q2" s="175" t="s">
        <v>31</v>
      </c>
      <c r="R2" s="175"/>
      <c r="S2" s="175"/>
      <c r="T2" s="187" t="s">
        <v>65</v>
      </c>
      <c r="U2" s="172" t="s">
        <v>40</v>
      </c>
      <c r="V2" s="20"/>
      <c r="W2" s="11"/>
      <c r="X2" s="175" t="s">
        <v>31</v>
      </c>
      <c r="Y2" s="175"/>
      <c r="Z2" s="175"/>
      <c r="AA2" s="46"/>
      <c r="AB2" s="11"/>
      <c r="AC2" s="11"/>
      <c r="AD2" s="175" t="s">
        <v>31</v>
      </c>
      <c r="AE2" s="175"/>
      <c r="AF2" s="175"/>
      <c r="AG2" s="46"/>
      <c r="AH2" s="11"/>
      <c r="AI2" s="11"/>
      <c r="AJ2" s="175" t="s">
        <v>31</v>
      </c>
      <c r="AK2" s="175"/>
      <c r="AL2" s="175"/>
      <c r="AM2" s="187" t="s">
        <v>63</v>
      </c>
      <c r="AN2" s="172" t="s">
        <v>40</v>
      </c>
      <c r="AO2" s="10"/>
      <c r="AP2" s="11"/>
      <c r="AQ2" s="175" t="s">
        <v>31</v>
      </c>
      <c r="AR2" s="175"/>
      <c r="AS2" s="175"/>
      <c r="AT2" s="46"/>
      <c r="AU2" s="11"/>
      <c r="AV2" s="11"/>
      <c r="AW2" s="175" t="s">
        <v>31</v>
      </c>
      <c r="AX2" s="175"/>
      <c r="AY2" s="175"/>
      <c r="AZ2" s="46"/>
      <c r="BA2" s="11"/>
      <c r="BB2" s="11"/>
      <c r="BC2" s="175" t="s">
        <v>31</v>
      </c>
      <c r="BD2" s="175"/>
      <c r="BE2" s="175"/>
      <c r="BF2" s="187" t="s">
        <v>64</v>
      </c>
      <c r="BG2" s="195" t="s">
        <v>40</v>
      </c>
      <c r="BH2" s="10"/>
      <c r="BI2" s="11"/>
      <c r="BJ2" s="175" t="s">
        <v>31</v>
      </c>
      <c r="BK2" s="175"/>
      <c r="BL2" s="175"/>
      <c r="BM2" s="46"/>
      <c r="BN2" s="11"/>
      <c r="BO2" s="11"/>
      <c r="BP2" s="175" t="s">
        <v>31</v>
      </c>
      <c r="BQ2" s="175"/>
      <c r="BR2" s="175"/>
      <c r="BS2" s="46"/>
      <c r="BT2" s="11"/>
      <c r="BU2" s="11"/>
      <c r="BV2" s="175" t="s">
        <v>31</v>
      </c>
      <c r="BW2" s="175"/>
      <c r="BX2" s="175"/>
      <c r="BY2" s="194" t="s">
        <v>47</v>
      </c>
      <c r="BZ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S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</row>
    <row r="3" spans="1:114" ht="17.25" thickTop="1" thickBot="1" x14ac:dyDescent="0.3">
      <c r="A3" s="188"/>
      <c r="B3" s="173"/>
      <c r="C3" s="21"/>
      <c r="D3" s="71" t="s">
        <v>33</v>
      </c>
      <c r="E3" s="72" t="s">
        <v>34</v>
      </c>
      <c r="F3" s="72" t="s">
        <v>31</v>
      </c>
      <c r="G3" s="72" t="s">
        <v>35</v>
      </c>
      <c r="H3" s="47"/>
      <c r="J3" s="71" t="s">
        <v>33</v>
      </c>
      <c r="K3" s="72" t="s">
        <v>34</v>
      </c>
      <c r="L3" s="72" t="s">
        <v>31</v>
      </c>
      <c r="M3" s="72" t="s">
        <v>35</v>
      </c>
      <c r="N3" s="47"/>
      <c r="P3" s="71" t="s">
        <v>33</v>
      </c>
      <c r="Q3" s="72" t="s">
        <v>34</v>
      </c>
      <c r="R3" s="72" t="s">
        <v>31</v>
      </c>
      <c r="S3" s="72" t="s">
        <v>35</v>
      </c>
      <c r="T3" s="188"/>
      <c r="U3" s="173"/>
      <c r="V3" s="21"/>
      <c r="W3" s="71" t="s">
        <v>33</v>
      </c>
      <c r="X3" s="72" t="s">
        <v>34</v>
      </c>
      <c r="Y3" s="72" t="s">
        <v>31</v>
      </c>
      <c r="Z3" s="72" t="s">
        <v>35</v>
      </c>
      <c r="AA3" s="47"/>
      <c r="AC3" s="71" t="s">
        <v>33</v>
      </c>
      <c r="AD3" s="72" t="s">
        <v>34</v>
      </c>
      <c r="AE3" s="72" t="s">
        <v>31</v>
      </c>
      <c r="AF3" s="72" t="s">
        <v>35</v>
      </c>
      <c r="AG3" s="47"/>
      <c r="AI3" s="71" t="s">
        <v>33</v>
      </c>
      <c r="AJ3" s="72" t="s">
        <v>34</v>
      </c>
      <c r="AK3" s="72" t="s">
        <v>31</v>
      </c>
      <c r="AL3" s="129" t="s">
        <v>35</v>
      </c>
      <c r="AM3" s="188"/>
      <c r="AN3" s="173"/>
      <c r="AO3" s="15"/>
      <c r="AP3" s="71" t="s">
        <v>33</v>
      </c>
      <c r="AQ3" s="72" t="s">
        <v>34</v>
      </c>
      <c r="AR3" s="72" t="s">
        <v>31</v>
      </c>
      <c r="AS3" s="72" t="s">
        <v>35</v>
      </c>
      <c r="AT3" s="47"/>
      <c r="AV3" s="71" t="s">
        <v>33</v>
      </c>
      <c r="AW3" s="72" t="s">
        <v>34</v>
      </c>
      <c r="AX3" s="72" t="s">
        <v>31</v>
      </c>
      <c r="AY3" s="72" t="s">
        <v>35</v>
      </c>
      <c r="AZ3" s="47"/>
      <c r="BB3" s="71" t="s">
        <v>33</v>
      </c>
      <c r="BC3" s="72" t="s">
        <v>34</v>
      </c>
      <c r="BD3" s="72" t="s">
        <v>31</v>
      </c>
      <c r="BE3" s="129" t="s">
        <v>35</v>
      </c>
      <c r="BF3" s="188"/>
      <c r="BG3" s="196"/>
      <c r="BH3" s="15"/>
      <c r="BI3" s="71" t="s">
        <v>33</v>
      </c>
      <c r="BJ3" s="72" t="s">
        <v>34</v>
      </c>
      <c r="BK3" s="72" t="s">
        <v>31</v>
      </c>
      <c r="BL3" s="72" t="s">
        <v>35</v>
      </c>
      <c r="BM3" s="47"/>
      <c r="BO3" s="71" t="s">
        <v>33</v>
      </c>
      <c r="BP3" s="72" t="s">
        <v>34</v>
      </c>
      <c r="BQ3" s="72" t="s">
        <v>31</v>
      </c>
      <c r="BR3" s="72" t="s">
        <v>35</v>
      </c>
      <c r="BS3" s="47"/>
      <c r="BU3" s="71" t="s">
        <v>33</v>
      </c>
      <c r="BV3" s="72" t="s">
        <v>34</v>
      </c>
      <c r="BW3" s="72" t="s">
        <v>31</v>
      </c>
      <c r="BX3" s="129" t="s">
        <v>35</v>
      </c>
      <c r="BY3" s="185"/>
      <c r="BZ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S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</row>
    <row r="4" spans="1:114" ht="17.25" thickTop="1" thickBot="1" x14ac:dyDescent="0.3">
      <c r="A4" s="188"/>
      <c r="B4" s="173"/>
      <c r="C4" s="176" t="s">
        <v>36</v>
      </c>
      <c r="D4" s="73" t="s">
        <v>34</v>
      </c>
      <c r="E4" s="74" t="s">
        <v>38</v>
      </c>
      <c r="F4" s="74" t="s">
        <v>38</v>
      </c>
      <c r="G4" s="74" t="s">
        <v>38</v>
      </c>
      <c r="H4" s="47"/>
      <c r="I4" s="176" t="s">
        <v>36</v>
      </c>
      <c r="J4" s="73" t="s">
        <v>34</v>
      </c>
      <c r="K4" s="74" t="s">
        <v>38</v>
      </c>
      <c r="L4" s="74" t="s">
        <v>38</v>
      </c>
      <c r="M4" s="74" t="s">
        <v>38</v>
      </c>
      <c r="N4" s="47"/>
      <c r="O4" s="176" t="s">
        <v>36</v>
      </c>
      <c r="P4" s="73" t="s">
        <v>34</v>
      </c>
      <c r="Q4" s="74" t="s">
        <v>38</v>
      </c>
      <c r="R4" s="74" t="s">
        <v>38</v>
      </c>
      <c r="S4" s="74" t="s">
        <v>38</v>
      </c>
      <c r="T4" s="188"/>
      <c r="U4" s="173"/>
      <c r="V4" s="176" t="s">
        <v>36</v>
      </c>
      <c r="W4" s="73" t="s">
        <v>34</v>
      </c>
      <c r="X4" s="133" t="s">
        <v>39</v>
      </c>
      <c r="Y4" s="74" t="s">
        <v>38</v>
      </c>
      <c r="Z4" s="74" t="s">
        <v>38</v>
      </c>
      <c r="AA4" s="47"/>
      <c r="AB4" s="176" t="s">
        <v>36</v>
      </c>
      <c r="AC4" s="73" t="s">
        <v>34</v>
      </c>
      <c r="AD4" s="74" t="s">
        <v>38</v>
      </c>
      <c r="AE4" s="74" t="s">
        <v>38</v>
      </c>
      <c r="AF4" s="74" t="s">
        <v>38</v>
      </c>
      <c r="AG4" s="47"/>
      <c r="AH4" s="176" t="s">
        <v>36</v>
      </c>
      <c r="AI4" s="73" t="s">
        <v>34</v>
      </c>
      <c r="AJ4" s="74" t="s">
        <v>38</v>
      </c>
      <c r="AK4" s="74" t="s">
        <v>38</v>
      </c>
      <c r="AL4" s="130" t="s">
        <v>38</v>
      </c>
      <c r="AM4" s="188"/>
      <c r="AN4" s="173"/>
      <c r="AO4" s="176" t="s">
        <v>36</v>
      </c>
      <c r="AP4" s="73" t="s">
        <v>34</v>
      </c>
      <c r="AQ4" s="135" t="s">
        <v>39</v>
      </c>
      <c r="AR4" s="74" t="s">
        <v>38</v>
      </c>
      <c r="AS4" s="133" t="s">
        <v>39</v>
      </c>
      <c r="AT4" s="47"/>
      <c r="AU4" s="176" t="s">
        <v>36</v>
      </c>
      <c r="AV4" s="73" t="s">
        <v>34</v>
      </c>
      <c r="AW4" s="74" t="s">
        <v>38</v>
      </c>
      <c r="AX4" s="74" t="s">
        <v>38</v>
      </c>
      <c r="AY4" s="74" t="s">
        <v>38</v>
      </c>
      <c r="AZ4" s="47"/>
      <c r="BA4" s="176" t="s">
        <v>36</v>
      </c>
      <c r="BB4" s="73" t="s">
        <v>34</v>
      </c>
      <c r="BC4" s="74" t="s">
        <v>38</v>
      </c>
      <c r="BD4" s="74" t="s">
        <v>38</v>
      </c>
      <c r="BE4" s="130" t="s">
        <v>38</v>
      </c>
      <c r="BF4" s="188"/>
      <c r="BG4" s="196"/>
      <c r="BH4" s="176" t="s">
        <v>36</v>
      </c>
      <c r="BI4" s="73" t="s">
        <v>34</v>
      </c>
      <c r="BJ4" s="135" t="s">
        <v>39</v>
      </c>
      <c r="BK4" s="74" t="s">
        <v>38</v>
      </c>
      <c r="BL4" s="135" t="s">
        <v>39</v>
      </c>
      <c r="BM4" s="47"/>
      <c r="BN4" s="176" t="s">
        <v>36</v>
      </c>
      <c r="BO4" s="73" t="s">
        <v>34</v>
      </c>
      <c r="BP4" s="74" t="s">
        <v>38</v>
      </c>
      <c r="BQ4" s="74" t="s">
        <v>38</v>
      </c>
      <c r="BR4" s="74" t="s">
        <v>38</v>
      </c>
      <c r="BS4" s="47"/>
      <c r="BT4" s="176" t="s">
        <v>36</v>
      </c>
      <c r="BU4" s="73" t="s">
        <v>34</v>
      </c>
      <c r="BV4" s="74" t="s">
        <v>38</v>
      </c>
      <c r="BW4" s="74" t="s">
        <v>38</v>
      </c>
      <c r="BX4" s="130" t="s">
        <v>38</v>
      </c>
      <c r="BY4" s="185"/>
      <c r="BZ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S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</row>
    <row r="5" spans="1:114" ht="17.25" thickTop="1" thickBot="1" x14ac:dyDescent="0.3">
      <c r="A5" s="188"/>
      <c r="B5" s="173"/>
      <c r="C5" s="176"/>
      <c r="D5" s="75" t="s">
        <v>31</v>
      </c>
      <c r="E5" s="76" t="s">
        <v>38</v>
      </c>
      <c r="F5" s="126" t="s">
        <v>39</v>
      </c>
      <c r="G5" s="76" t="s">
        <v>38</v>
      </c>
      <c r="H5" s="47"/>
      <c r="I5" s="176"/>
      <c r="J5" s="75" t="s">
        <v>31</v>
      </c>
      <c r="K5" s="76" t="s">
        <v>38</v>
      </c>
      <c r="L5" s="76" t="s">
        <v>38</v>
      </c>
      <c r="M5" s="76" t="s">
        <v>38</v>
      </c>
      <c r="N5" s="47"/>
      <c r="O5" s="176"/>
      <c r="P5" s="75" t="s">
        <v>31</v>
      </c>
      <c r="Q5" s="76" t="s">
        <v>38</v>
      </c>
      <c r="R5" s="76" t="s">
        <v>38</v>
      </c>
      <c r="S5" s="76" t="s">
        <v>38</v>
      </c>
      <c r="T5" s="188"/>
      <c r="U5" s="173"/>
      <c r="V5" s="176"/>
      <c r="W5" s="75" t="s">
        <v>31</v>
      </c>
      <c r="X5" s="76" t="s">
        <v>38</v>
      </c>
      <c r="Y5" s="134" t="s">
        <v>39</v>
      </c>
      <c r="Z5" s="76" t="s">
        <v>38</v>
      </c>
      <c r="AA5" s="47"/>
      <c r="AB5" s="176"/>
      <c r="AC5" s="75" t="s">
        <v>31</v>
      </c>
      <c r="AD5" s="76" t="s">
        <v>38</v>
      </c>
      <c r="AE5" s="76" t="s">
        <v>38</v>
      </c>
      <c r="AF5" s="76" t="s">
        <v>38</v>
      </c>
      <c r="AG5" s="47"/>
      <c r="AH5" s="176"/>
      <c r="AI5" s="75" t="s">
        <v>31</v>
      </c>
      <c r="AJ5" s="76" t="s">
        <v>38</v>
      </c>
      <c r="AK5" s="76" t="s">
        <v>38</v>
      </c>
      <c r="AL5" s="131" t="s">
        <v>38</v>
      </c>
      <c r="AM5" s="188"/>
      <c r="AN5" s="173"/>
      <c r="AO5" s="176"/>
      <c r="AP5" s="75" t="s">
        <v>31</v>
      </c>
      <c r="AQ5" s="76" t="s">
        <v>38</v>
      </c>
      <c r="AR5" s="134" t="s">
        <v>39</v>
      </c>
      <c r="AS5" s="76" t="s">
        <v>38</v>
      </c>
      <c r="AT5" s="47"/>
      <c r="AU5" s="176"/>
      <c r="AV5" s="75" t="s">
        <v>31</v>
      </c>
      <c r="AW5" s="76" t="s">
        <v>38</v>
      </c>
      <c r="AX5" s="76" t="s">
        <v>38</v>
      </c>
      <c r="AY5" s="76" t="s">
        <v>38</v>
      </c>
      <c r="AZ5" s="47"/>
      <c r="BA5" s="176"/>
      <c r="BB5" s="75" t="s">
        <v>31</v>
      </c>
      <c r="BC5" s="76" t="s">
        <v>38</v>
      </c>
      <c r="BD5" s="76" t="s">
        <v>38</v>
      </c>
      <c r="BE5" s="131" t="s">
        <v>38</v>
      </c>
      <c r="BF5" s="188"/>
      <c r="BG5" s="196"/>
      <c r="BH5" s="176"/>
      <c r="BI5" s="75" t="s">
        <v>31</v>
      </c>
      <c r="BJ5" s="76" t="s">
        <v>38</v>
      </c>
      <c r="BK5" s="162" t="s">
        <v>38</v>
      </c>
      <c r="BL5" s="76" t="s">
        <v>38</v>
      </c>
      <c r="BM5" s="47"/>
      <c r="BN5" s="176"/>
      <c r="BO5" s="75" t="s">
        <v>31</v>
      </c>
      <c r="BP5" s="76" t="s">
        <v>38</v>
      </c>
      <c r="BQ5" s="76" t="s">
        <v>38</v>
      </c>
      <c r="BR5" s="76" t="s">
        <v>38</v>
      </c>
      <c r="BS5" s="47"/>
      <c r="BT5" s="176"/>
      <c r="BU5" s="75" t="s">
        <v>31</v>
      </c>
      <c r="BV5" s="76" t="s">
        <v>38</v>
      </c>
      <c r="BW5" s="76" t="s">
        <v>38</v>
      </c>
      <c r="BX5" s="131" t="s">
        <v>38</v>
      </c>
      <c r="BY5" s="185"/>
      <c r="BZ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S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</row>
    <row r="6" spans="1:114" ht="17.25" thickTop="1" thickBot="1" x14ac:dyDescent="0.3">
      <c r="A6" s="188"/>
      <c r="B6" s="174"/>
      <c r="C6" s="177"/>
      <c r="D6" s="127" t="s">
        <v>35</v>
      </c>
      <c r="E6" s="128" t="s">
        <v>38</v>
      </c>
      <c r="F6" s="128" t="s">
        <v>38</v>
      </c>
      <c r="G6" s="128" t="s">
        <v>38</v>
      </c>
      <c r="H6" s="48"/>
      <c r="I6" s="177"/>
      <c r="J6" s="127" t="s">
        <v>35</v>
      </c>
      <c r="K6" s="128" t="s">
        <v>38</v>
      </c>
      <c r="L6" s="128" t="s">
        <v>38</v>
      </c>
      <c r="M6" s="128" t="s">
        <v>38</v>
      </c>
      <c r="N6" s="48"/>
      <c r="O6" s="177"/>
      <c r="P6" s="127" t="s">
        <v>35</v>
      </c>
      <c r="Q6" s="128" t="s">
        <v>38</v>
      </c>
      <c r="R6" s="128" t="s">
        <v>38</v>
      </c>
      <c r="S6" s="128" t="s">
        <v>38</v>
      </c>
      <c r="T6" s="188"/>
      <c r="U6" s="174"/>
      <c r="V6" s="177"/>
      <c r="W6" s="127" t="s">
        <v>35</v>
      </c>
      <c r="X6" s="128" t="s">
        <v>38</v>
      </c>
      <c r="Y6" s="128" t="s">
        <v>38</v>
      </c>
      <c r="Z6" s="128" t="s">
        <v>38</v>
      </c>
      <c r="AA6" s="48"/>
      <c r="AB6" s="177"/>
      <c r="AC6" s="127" t="s">
        <v>35</v>
      </c>
      <c r="AD6" s="128" t="s">
        <v>38</v>
      </c>
      <c r="AE6" s="128" t="s">
        <v>38</v>
      </c>
      <c r="AF6" s="128" t="s">
        <v>38</v>
      </c>
      <c r="AG6" s="48"/>
      <c r="AH6" s="177"/>
      <c r="AI6" s="127" t="s">
        <v>35</v>
      </c>
      <c r="AJ6" s="128" t="s">
        <v>38</v>
      </c>
      <c r="AK6" s="128" t="s">
        <v>38</v>
      </c>
      <c r="AL6" s="132" t="s">
        <v>38</v>
      </c>
      <c r="AM6" s="188"/>
      <c r="AN6" s="174"/>
      <c r="AO6" s="177"/>
      <c r="AP6" s="127" t="s">
        <v>35</v>
      </c>
      <c r="AQ6" s="128" t="s">
        <v>38</v>
      </c>
      <c r="AR6" s="128" t="s">
        <v>38</v>
      </c>
      <c r="AS6" s="128" t="s">
        <v>38</v>
      </c>
      <c r="AT6" s="48"/>
      <c r="AU6" s="177"/>
      <c r="AV6" s="127" t="s">
        <v>35</v>
      </c>
      <c r="AW6" s="128" t="s">
        <v>38</v>
      </c>
      <c r="AX6" s="128" t="s">
        <v>38</v>
      </c>
      <c r="AY6" s="128" t="s">
        <v>38</v>
      </c>
      <c r="AZ6" s="48"/>
      <c r="BA6" s="177"/>
      <c r="BB6" s="127" t="s">
        <v>35</v>
      </c>
      <c r="BC6" s="128" t="s">
        <v>38</v>
      </c>
      <c r="BD6" s="128" t="s">
        <v>38</v>
      </c>
      <c r="BE6" s="132" t="s">
        <v>38</v>
      </c>
      <c r="BF6" s="188"/>
      <c r="BG6" s="197"/>
      <c r="BH6" s="177"/>
      <c r="BI6" s="127" t="s">
        <v>35</v>
      </c>
      <c r="BJ6" s="136" t="s">
        <v>39</v>
      </c>
      <c r="BK6" s="128" t="s">
        <v>38</v>
      </c>
      <c r="BL6" s="128" t="s">
        <v>38</v>
      </c>
      <c r="BM6" s="48"/>
      <c r="BN6" s="177"/>
      <c r="BO6" s="127" t="s">
        <v>35</v>
      </c>
      <c r="BP6" s="128" t="s">
        <v>38</v>
      </c>
      <c r="BQ6" s="128" t="s">
        <v>38</v>
      </c>
      <c r="BR6" s="128" t="s">
        <v>38</v>
      </c>
      <c r="BS6" s="48"/>
      <c r="BT6" s="177"/>
      <c r="BU6" s="127" t="s">
        <v>35</v>
      </c>
      <c r="BV6" s="128" t="s">
        <v>38</v>
      </c>
      <c r="BW6" s="128" t="s">
        <v>38</v>
      </c>
      <c r="BX6" s="132" t="s">
        <v>38</v>
      </c>
      <c r="BY6" s="186"/>
      <c r="BZ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S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</row>
    <row r="7" spans="1:114" ht="15" customHeight="1" thickBot="1" x14ac:dyDescent="0.3">
      <c r="A7" s="190"/>
      <c r="B7" s="139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90"/>
      <c r="U7" s="139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90"/>
      <c r="AN7" s="122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90"/>
      <c r="BG7" s="125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S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</row>
    <row r="8" spans="1:114" ht="17.25" customHeight="1" thickTop="1" thickBot="1" x14ac:dyDescent="0.3">
      <c r="A8" s="190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90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90"/>
      <c r="AN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88"/>
      <c r="BG8" s="199" t="s">
        <v>30</v>
      </c>
      <c r="BH8" s="10"/>
      <c r="BI8" s="11"/>
      <c r="BJ8" s="175" t="s">
        <v>31</v>
      </c>
      <c r="BK8" s="175"/>
      <c r="BL8" s="175"/>
      <c r="BM8" s="46"/>
      <c r="BN8" s="11"/>
      <c r="BO8" s="11"/>
      <c r="BP8" s="175" t="s">
        <v>31</v>
      </c>
      <c r="BQ8" s="175"/>
      <c r="BR8" s="175"/>
      <c r="BS8" s="46"/>
      <c r="BT8" s="11"/>
      <c r="BU8" s="11"/>
      <c r="BV8" s="175" t="s">
        <v>31</v>
      </c>
      <c r="BW8" s="175"/>
      <c r="BX8" s="175"/>
      <c r="BY8" s="181" t="s">
        <v>69</v>
      </c>
      <c r="BZ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S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</row>
    <row r="9" spans="1:114" ht="17.25" thickTop="1" thickBot="1" x14ac:dyDescent="0.3">
      <c r="A9" s="190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90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90"/>
      <c r="AN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88"/>
      <c r="BG9" s="200"/>
      <c r="BH9" s="15"/>
      <c r="BI9" s="71" t="s">
        <v>33</v>
      </c>
      <c r="BJ9" s="72" t="s">
        <v>34</v>
      </c>
      <c r="BK9" s="72" t="s">
        <v>31</v>
      </c>
      <c r="BL9" s="72" t="s">
        <v>35</v>
      </c>
      <c r="BM9" s="47"/>
      <c r="BO9" s="71" t="s">
        <v>33</v>
      </c>
      <c r="BP9" s="72" t="s">
        <v>34</v>
      </c>
      <c r="BQ9" s="72" t="s">
        <v>31</v>
      </c>
      <c r="BR9" s="72" t="s">
        <v>35</v>
      </c>
      <c r="BS9" s="47"/>
      <c r="BU9" s="71" t="s">
        <v>33</v>
      </c>
      <c r="BV9" s="72" t="s">
        <v>34</v>
      </c>
      <c r="BW9" s="72" t="s">
        <v>31</v>
      </c>
      <c r="BX9" s="129" t="s">
        <v>35</v>
      </c>
      <c r="BY9" s="182"/>
      <c r="BZ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S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</row>
    <row r="10" spans="1:114" ht="17.25" thickTop="1" thickBot="1" x14ac:dyDescent="0.3">
      <c r="A10" s="190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90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90"/>
      <c r="AN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88"/>
      <c r="BG10" s="200"/>
      <c r="BH10" s="176" t="s">
        <v>36</v>
      </c>
      <c r="BI10" s="73" t="s">
        <v>34</v>
      </c>
      <c r="BJ10" s="135" t="s">
        <v>39</v>
      </c>
      <c r="BK10" s="74" t="s">
        <v>38</v>
      </c>
      <c r="BL10" s="135" t="s">
        <v>39</v>
      </c>
      <c r="BM10" s="47"/>
      <c r="BN10" s="176" t="s">
        <v>36</v>
      </c>
      <c r="BO10" s="73" t="s">
        <v>34</v>
      </c>
      <c r="BP10" s="74" t="s">
        <v>38</v>
      </c>
      <c r="BQ10" s="74" t="s">
        <v>38</v>
      </c>
      <c r="BR10" s="74" t="s">
        <v>38</v>
      </c>
      <c r="BS10" s="47"/>
      <c r="BT10" s="176" t="s">
        <v>36</v>
      </c>
      <c r="BU10" s="73" t="s">
        <v>34</v>
      </c>
      <c r="BV10" s="74" t="s">
        <v>38</v>
      </c>
      <c r="BW10" s="74" t="s">
        <v>38</v>
      </c>
      <c r="BX10" s="130" t="s">
        <v>38</v>
      </c>
      <c r="BY10" s="182"/>
      <c r="BZ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S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</row>
    <row r="11" spans="1:114" ht="17.25" thickTop="1" thickBot="1" x14ac:dyDescent="0.3">
      <c r="A11" s="190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90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90"/>
      <c r="AN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88"/>
      <c r="BG11" s="200"/>
      <c r="BH11" s="176"/>
      <c r="BI11" s="75" t="s">
        <v>31</v>
      </c>
      <c r="BJ11" s="76" t="s">
        <v>38</v>
      </c>
      <c r="BK11" s="134" t="s">
        <v>39</v>
      </c>
      <c r="BL11" s="76" t="s">
        <v>38</v>
      </c>
      <c r="BM11" s="47"/>
      <c r="BN11" s="176"/>
      <c r="BO11" s="75" t="s">
        <v>31</v>
      </c>
      <c r="BP11" s="76" t="s">
        <v>38</v>
      </c>
      <c r="BQ11" s="76" t="s">
        <v>38</v>
      </c>
      <c r="BR11" s="76" t="s">
        <v>38</v>
      </c>
      <c r="BS11" s="47"/>
      <c r="BT11" s="176"/>
      <c r="BU11" s="75" t="s">
        <v>31</v>
      </c>
      <c r="BV11" s="76" t="s">
        <v>38</v>
      </c>
      <c r="BW11" s="76" t="s">
        <v>38</v>
      </c>
      <c r="BX11" s="131" t="s">
        <v>38</v>
      </c>
      <c r="BY11" s="182"/>
      <c r="BZ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S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</row>
    <row r="12" spans="1:114" ht="17.25" thickTop="1" thickBot="1" x14ac:dyDescent="0.3">
      <c r="A12" s="190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90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90"/>
      <c r="AN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89"/>
      <c r="BG12" s="201"/>
      <c r="BH12" s="177"/>
      <c r="BI12" s="127" t="s">
        <v>35</v>
      </c>
      <c r="BJ12" s="136" t="s">
        <v>37</v>
      </c>
      <c r="BK12" s="128" t="s">
        <v>38</v>
      </c>
      <c r="BL12" s="128" t="s">
        <v>38</v>
      </c>
      <c r="BM12" s="48"/>
      <c r="BN12" s="177"/>
      <c r="BO12" s="127" t="s">
        <v>35</v>
      </c>
      <c r="BP12" s="128" t="s">
        <v>38</v>
      </c>
      <c r="BQ12" s="128" t="s">
        <v>38</v>
      </c>
      <c r="BR12" s="128" t="s">
        <v>38</v>
      </c>
      <c r="BS12" s="48"/>
      <c r="BT12" s="177"/>
      <c r="BU12" s="127" t="s">
        <v>35</v>
      </c>
      <c r="BV12" s="128" t="s">
        <v>38</v>
      </c>
      <c r="BW12" s="128" t="s">
        <v>38</v>
      </c>
      <c r="BX12" s="132" t="s">
        <v>38</v>
      </c>
      <c r="BY12" s="198"/>
      <c r="BZ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S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</row>
    <row r="13" spans="1:114" ht="15" customHeight="1" thickBot="1" x14ac:dyDescent="0.3">
      <c r="A13" s="190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90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90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G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Z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S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</row>
    <row r="14" spans="1:114" ht="17.25" customHeight="1" thickTop="1" thickBot="1" x14ac:dyDescent="0.3">
      <c r="A14" s="190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90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88"/>
      <c r="AN14" s="178" t="s">
        <v>30</v>
      </c>
      <c r="AO14" s="10"/>
      <c r="AP14" s="11"/>
      <c r="AQ14" s="175" t="s">
        <v>31</v>
      </c>
      <c r="AR14" s="175"/>
      <c r="AS14" s="175"/>
      <c r="AT14" s="46"/>
      <c r="AU14" s="11"/>
      <c r="AV14" s="11"/>
      <c r="AW14" s="175" t="s">
        <v>31</v>
      </c>
      <c r="AX14" s="175"/>
      <c r="AY14" s="175"/>
      <c r="AZ14" s="46"/>
      <c r="BA14" s="11"/>
      <c r="BB14" s="11"/>
      <c r="BC14" s="175" t="s">
        <v>31</v>
      </c>
      <c r="BD14" s="175"/>
      <c r="BE14" s="175"/>
      <c r="BF14" s="187" t="s">
        <v>64</v>
      </c>
      <c r="BG14" s="195" t="s">
        <v>40</v>
      </c>
      <c r="BH14" s="10"/>
      <c r="BI14" s="11"/>
      <c r="BJ14" s="175" t="s">
        <v>31</v>
      </c>
      <c r="BK14" s="175"/>
      <c r="BL14" s="175"/>
      <c r="BM14" s="46"/>
      <c r="BN14" s="11"/>
      <c r="BO14" s="11"/>
      <c r="BP14" s="175" t="s">
        <v>31</v>
      </c>
      <c r="BQ14" s="175"/>
      <c r="BR14" s="175"/>
      <c r="BS14" s="46"/>
      <c r="BT14" s="11"/>
      <c r="BU14" s="11"/>
      <c r="BV14" s="175" t="s">
        <v>31</v>
      </c>
      <c r="BW14" s="175"/>
      <c r="BX14" s="175"/>
      <c r="BY14" s="181" t="s">
        <v>70</v>
      </c>
      <c r="BZ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S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</row>
    <row r="15" spans="1:114" ht="17.25" thickTop="1" thickBot="1" x14ac:dyDescent="0.3">
      <c r="A15" s="190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90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88"/>
      <c r="AN15" s="179"/>
      <c r="AO15" s="15"/>
      <c r="AP15" s="71" t="s">
        <v>33</v>
      </c>
      <c r="AQ15" s="72" t="s">
        <v>34</v>
      </c>
      <c r="AR15" s="72" t="s">
        <v>31</v>
      </c>
      <c r="AS15" s="72" t="s">
        <v>35</v>
      </c>
      <c r="AT15" s="47"/>
      <c r="AV15" s="71" t="s">
        <v>33</v>
      </c>
      <c r="AW15" s="72" t="s">
        <v>34</v>
      </c>
      <c r="AX15" s="72" t="s">
        <v>31</v>
      </c>
      <c r="AY15" s="72" t="s">
        <v>35</v>
      </c>
      <c r="AZ15" s="47"/>
      <c r="BB15" s="71" t="s">
        <v>33</v>
      </c>
      <c r="BC15" s="72" t="s">
        <v>34</v>
      </c>
      <c r="BD15" s="72" t="s">
        <v>31</v>
      </c>
      <c r="BE15" s="129" t="s">
        <v>35</v>
      </c>
      <c r="BF15" s="188"/>
      <c r="BG15" s="196"/>
      <c r="BH15" s="15"/>
      <c r="BI15" s="71" t="s">
        <v>33</v>
      </c>
      <c r="BJ15" s="72" t="s">
        <v>34</v>
      </c>
      <c r="BK15" s="72" t="s">
        <v>31</v>
      </c>
      <c r="BL15" s="72" t="s">
        <v>35</v>
      </c>
      <c r="BM15" s="47"/>
      <c r="BO15" s="71" t="s">
        <v>33</v>
      </c>
      <c r="BP15" s="72" t="s">
        <v>34</v>
      </c>
      <c r="BQ15" s="72" t="s">
        <v>31</v>
      </c>
      <c r="BR15" s="72" t="s">
        <v>35</v>
      </c>
      <c r="BS15" s="47"/>
      <c r="BU15" s="71" t="s">
        <v>33</v>
      </c>
      <c r="BV15" s="72" t="s">
        <v>34</v>
      </c>
      <c r="BW15" s="72" t="s">
        <v>31</v>
      </c>
      <c r="BX15" s="129" t="s">
        <v>35</v>
      </c>
      <c r="BY15" s="182"/>
      <c r="BZ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S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</row>
    <row r="16" spans="1:114" ht="17.25" thickTop="1" thickBot="1" x14ac:dyDescent="0.3">
      <c r="A16" s="190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90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88"/>
      <c r="AN16" s="179"/>
      <c r="AO16" s="202" t="s">
        <v>36</v>
      </c>
      <c r="AP16" s="73" t="s">
        <v>34</v>
      </c>
      <c r="AQ16" s="135" t="s">
        <v>39</v>
      </c>
      <c r="AR16" s="74" t="s">
        <v>38</v>
      </c>
      <c r="AS16" s="133" t="s">
        <v>37</v>
      </c>
      <c r="AT16" s="47"/>
      <c r="AU16" s="202" t="s">
        <v>36</v>
      </c>
      <c r="AV16" s="73" t="s">
        <v>34</v>
      </c>
      <c r="AW16" s="74" t="s">
        <v>38</v>
      </c>
      <c r="AX16" s="74" t="s">
        <v>38</v>
      </c>
      <c r="AY16" s="74" t="s">
        <v>38</v>
      </c>
      <c r="AZ16" s="47"/>
      <c r="BA16" s="202" t="s">
        <v>36</v>
      </c>
      <c r="BB16" s="73" t="s">
        <v>34</v>
      </c>
      <c r="BC16" s="74" t="s">
        <v>38</v>
      </c>
      <c r="BD16" s="74" t="s">
        <v>38</v>
      </c>
      <c r="BE16" s="130" t="s">
        <v>38</v>
      </c>
      <c r="BF16" s="188"/>
      <c r="BG16" s="196"/>
      <c r="BH16" s="176" t="s">
        <v>36</v>
      </c>
      <c r="BI16" s="73" t="s">
        <v>34</v>
      </c>
      <c r="BJ16" s="135" t="s">
        <v>39</v>
      </c>
      <c r="BK16" s="74" t="s">
        <v>38</v>
      </c>
      <c r="BL16" s="135" t="s">
        <v>37</v>
      </c>
      <c r="BM16" s="47"/>
      <c r="BN16" s="176" t="s">
        <v>36</v>
      </c>
      <c r="BO16" s="73" t="s">
        <v>34</v>
      </c>
      <c r="BP16" s="74" t="s">
        <v>38</v>
      </c>
      <c r="BQ16" s="74" t="s">
        <v>38</v>
      </c>
      <c r="BR16" s="74" t="s">
        <v>38</v>
      </c>
      <c r="BS16" s="47"/>
      <c r="BT16" s="176" t="s">
        <v>36</v>
      </c>
      <c r="BU16" s="73" t="s">
        <v>34</v>
      </c>
      <c r="BV16" s="74" t="s">
        <v>38</v>
      </c>
      <c r="BW16" s="74" t="s">
        <v>38</v>
      </c>
      <c r="BX16" s="130" t="s">
        <v>38</v>
      </c>
      <c r="BY16" s="182"/>
      <c r="BZ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S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</row>
    <row r="17" spans="1:115" ht="17.25" thickTop="1" thickBot="1" x14ac:dyDescent="0.3">
      <c r="A17" s="190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90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88"/>
      <c r="AN17" s="179"/>
      <c r="AO17" s="202"/>
      <c r="AP17" s="75" t="s">
        <v>31</v>
      </c>
      <c r="AQ17" s="76" t="s">
        <v>38</v>
      </c>
      <c r="AR17" s="134" t="s">
        <v>39</v>
      </c>
      <c r="AS17" s="76" t="s">
        <v>38</v>
      </c>
      <c r="AT17" s="47"/>
      <c r="AU17" s="202"/>
      <c r="AV17" s="75" t="s">
        <v>31</v>
      </c>
      <c r="AW17" s="76" t="s">
        <v>38</v>
      </c>
      <c r="AX17" s="76" t="s">
        <v>38</v>
      </c>
      <c r="AY17" s="76" t="s">
        <v>38</v>
      </c>
      <c r="AZ17" s="47"/>
      <c r="BA17" s="202"/>
      <c r="BB17" s="75" t="s">
        <v>31</v>
      </c>
      <c r="BC17" s="76" t="s">
        <v>38</v>
      </c>
      <c r="BD17" s="76" t="s">
        <v>38</v>
      </c>
      <c r="BE17" s="131" t="s">
        <v>38</v>
      </c>
      <c r="BF17" s="188"/>
      <c r="BG17" s="196"/>
      <c r="BH17" s="176"/>
      <c r="BI17" s="75" t="s">
        <v>31</v>
      </c>
      <c r="BJ17" s="76" t="s">
        <v>38</v>
      </c>
      <c r="BK17" s="134" t="s">
        <v>39</v>
      </c>
      <c r="BL17" s="76" t="s">
        <v>38</v>
      </c>
      <c r="BM17" s="47"/>
      <c r="BN17" s="176"/>
      <c r="BO17" s="75" t="s">
        <v>31</v>
      </c>
      <c r="BP17" s="76" t="s">
        <v>38</v>
      </c>
      <c r="BQ17" s="76" t="s">
        <v>38</v>
      </c>
      <c r="BR17" s="76" t="s">
        <v>38</v>
      </c>
      <c r="BS17" s="47"/>
      <c r="BT17" s="176"/>
      <c r="BU17" s="75" t="s">
        <v>31</v>
      </c>
      <c r="BV17" s="76" t="s">
        <v>38</v>
      </c>
      <c r="BW17" s="76" t="s">
        <v>38</v>
      </c>
      <c r="BX17" s="131" t="s">
        <v>38</v>
      </c>
      <c r="BY17" s="182"/>
      <c r="BZ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S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</row>
    <row r="18" spans="1:115" ht="17.25" thickTop="1" thickBot="1" x14ac:dyDescent="0.3">
      <c r="A18" s="190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90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89"/>
      <c r="AN18" s="180"/>
      <c r="AO18" s="177"/>
      <c r="AP18" s="127" t="s">
        <v>35</v>
      </c>
      <c r="AQ18" s="128" t="s">
        <v>38</v>
      </c>
      <c r="AR18" s="128" t="s">
        <v>38</v>
      </c>
      <c r="AS18" s="128" t="s">
        <v>38</v>
      </c>
      <c r="AT18" s="48"/>
      <c r="AU18" s="177"/>
      <c r="AV18" s="127" t="s">
        <v>35</v>
      </c>
      <c r="AW18" s="128" t="s">
        <v>38</v>
      </c>
      <c r="AX18" s="128" t="s">
        <v>38</v>
      </c>
      <c r="AY18" s="128" t="s">
        <v>38</v>
      </c>
      <c r="AZ18" s="48"/>
      <c r="BA18" s="177"/>
      <c r="BB18" s="127" t="s">
        <v>35</v>
      </c>
      <c r="BC18" s="128" t="s">
        <v>38</v>
      </c>
      <c r="BD18" s="128" t="s">
        <v>38</v>
      </c>
      <c r="BE18" s="132" t="s">
        <v>38</v>
      </c>
      <c r="BF18" s="188"/>
      <c r="BG18" s="197"/>
      <c r="BH18" s="177"/>
      <c r="BI18" s="127" t="s">
        <v>35</v>
      </c>
      <c r="BJ18" s="136" t="s">
        <v>39</v>
      </c>
      <c r="BK18" s="128" t="s">
        <v>38</v>
      </c>
      <c r="BL18" s="128" t="s">
        <v>38</v>
      </c>
      <c r="BM18" s="48"/>
      <c r="BN18" s="177"/>
      <c r="BO18" s="127" t="s">
        <v>35</v>
      </c>
      <c r="BP18" s="128" t="s">
        <v>38</v>
      </c>
      <c r="BQ18" s="128" t="s">
        <v>38</v>
      </c>
      <c r="BR18" s="128" t="s">
        <v>38</v>
      </c>
      <c r="BS18" s="48"/>
      <c r="BT18" s="177"/>
      <c r="BU18" s="127" t="s">
        <v>35</v>
      </c>
      <c r="BV18" s="128" t="s">
        <v>38</v>
      </c>
      <c r="BW18" s="128" t="s">
        <v>38</v>
      </c>
      <c r="BX18" s="132" t="s">
        <v>38</v>
      </c>
      <c r="BY18" s="198"/>
      <c r="BZ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S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</row>
    <row r="19" spans="1:115" ht="15" customHeight="1" thickBot="1" x14ac:dyDescent="0.3">
      <c r="A19" s="190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90"/>
      <c r="U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N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90"/>
      <c r="BG19" s="125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S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</row>
    <row r="20" spans="1:115" ht="17.25" customHeight="1" thickTop="1" thickBot="1" x14ac:dyDescent="0.3">
      <c r="A20" s="190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90"/>
      <c r="U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N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88"/>
      <c r="BG20" s="199" t="s">
        <v>30</v>
      </c>
      <c r="BH20" s="10"/>
      <c r="BI20" s="11"/>
      <c r="BJ20" s="175" t="s">
        <v>31</v>
      </c>
      <c r="BK20" s="175"/>
      <c r="BL20" s="175"/>
      <c r="BM20" s="46"/>
      <c r="BN20" s="11"/>
      <c r="BO20" s="11"/>
      <c r="BP20" s="175" t="s">
        <v>31</v>
      </c>
      <c r="BQ20" s="175"/>
      <c r="BR20" s="175"/>
      <c r="BS20" s="46"/>
      <c r="BT20" s="11"/>
      <c r="BU20" s="11"/>
      <c r="BV20" s="175" t="s">
        <v>31</v>
      </c>
      <c r="BW20" s="175"/>
      <c r="BX20" s="175"/>
      <c r="BY20" s="181" t="s">
        <v>46</v>
      </c>
      <c r="BZ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S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</row>
    <row r="21" spans="1:115" ht="17.25" thickTop="1" thickBot="1" x14ac:dyDescent="0.3">
      <c r="A21" s="190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90"/>
      <c r="U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N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88"/>
      <c r="BG21" s="200"/>
      <c r="BH21" s="15"/>
      <c r="BI21" s="71" t="s">
        <v>33</v>
      </c>
      <c r="BJ21" s="72" t="s">
        <v>34</v>
      </c>
      <c r="BK21" s="72" t="s">
        <v>31</v>
      </c>
      <c r="BL21" s="72" t="s">
        <v>35</v>
      </c>
      <c r="BM21" s="47"/>
      <c r="BO21" s="71" t="s">
        <v>33</v>
      </c>
      <c r="BP21" s="72" t="s">
        <v>34</v>
      </c>
      <c r="BQ21" s="72" t="s">
        <v>31</v>
      </c>
      <c r="BR21" s="72" t="s">
        <v>35</v>
      </c>
      <c r="BS21" s="47"/>
      <c r="BU21" s="71" t="s">
        <v>33</v>
      </c>
      <c r="BV21" s="72" t="s">
        <v>34</v>
      </c>
      <c r="BW21" s="72" t="s">
        <v>31</v>
      </c>
      <c r="BX21" s="129" t="s">
        <v>35</v>
      </c>
      <c r="BY21" s="182"/>
      <c r="BZ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S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</row>
    <row r="22" spans="1:115" ht="17.25" thickTop="1" thickBot="1" x14ac:dyDescent="0.3">
      <c r="A22" s="190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90"/>
      <c r="U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N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88"/>
      <c r="BG22" s="200"/>
      <c r="BH22" s="176" t="s">
        <v>36</v>
      </c>
      <c r="BI22" s="73" t="s">
        <v>34</v>
      </c>
      <c r="BJ22" s="135" t="s">
        <v>39</v>
      </c>
      <c r="BK22" s="74" t="s">
        <v>38</v>
      </c>
      <c r="BL22" s="135" t="s">
        <v>37</v>
      </c>
      <c r="BM22" s="47"/>
      <c r="BN22" s="176" t="s">
        <v>36</v>
      </c>
      <c r="BO22" s="73" t="s">
        <v>34</v>
      </c>
      <c r="BP22" s="74" t="s">
        <v>38</v>
      </c>
      <c r="BQ22" s="74" t="s">
        <v>38</v>
      </c>
      <c r="BR22" s="74" t="s">
        <v>38</v>
      </c>
      <c r="BS22" s="47"/>
      <c r="BT22" s="176" t="s">
        <v>36</v>
      </c>
      <c r="BU22" s="73" t="s">
        <v>34</v>
      </c>
      <c r="BV22" s="74" t="s">
        <v>38</v>
      </c>
      <c r="BW22" s="74" t="s">
        <v>38</v>
      </c>
      <c r="BX22" s="130" t="s">
        <v>38</v>
      </c>
      <c r="BY22" s="182"/>
      <c r="BZ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S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</row>
    <row r="23" spans="1:115" ht="17.25" thickTop="1" thickBot="1" x14ac:dyDescent="0.3">
      <c r="A23" s="190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90"/>
      <c r="U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N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88"/>
      <c r="BG23" s="200"/>
      <c r="BH23" s="176"/>
      <c r="BI23" s="75" t="s">
        <v>31</v>
      </c>
      <c r="BJ23" s="76" t="s">
        <v>38</v>
      </c>
      <c r="BK23" s="134" t="s">
        <v>39</v>
      </c>
      <c r="BL23" s="76" t="s">
        <v>38</v>
      </c>
      <c r="BM23" s="47"/>
      <c r="BN23" s="176"/>
      <c r="BO23" s="75" t="s">
        <v>31</v>
      </c>
      <c r="BP23" s="76" t="s">
        <v>38</v>
      </c>
      <c r="BQ23" s="76" t="s">
        <v>38</v>
      </c>
      <c r="BR23" s="76" t="s">
        <v>38</v>
      </c>
      <c r="BS23" s="47"/>
      <c r="BT23" s="176"/>
      <c r="BU23" s="75" t="s">
        <v>31</v>
      </c>
      <c r="BV23" s="76" t="s">
        <v>38</v>
      </c>
      <c r="BW23" s="76" t="s">
        <v>38</v>
      </c>
      <c r="BX23" s="131" t="s">
        <v>38</v>
      </c>
      <c r="BY23" s="182"/>
      <c r="BZ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S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</row>
    <row r="24" spans="1:115" ht="17.25" thickTop="1" thickBot="1" x14ac:dyDescent="0.3">
      <c r="A24" s="190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90"/>
      <c r="U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N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89"/>
      <c r="BG24" s="201"/>
      <c r="BH24" s="177"/>
      <c r="BI24" s="127" t="s">
        <v>35</v>
      </c>
      <c r="BJ24" s="136" t="s">
        <v>37</v>
      </c>
      <c r="BK24" s="128" t="s">
        <v>38</v>
      </c>
      <c r="BL24" s="128" t="s">
        <v>38</v>
      </c>
      <c r="BM24" s="48"/>
      <c r="BN24" s="177"/>
      <c r="BO24" s="127" t="s">
        <v>35</v>
      </c>
      <c r="BP24" s="128" t="s">
        <v>38</v>
      </c>
      <c r="BQ24" s="128" t="s">
        <v>38</v>
      </c>
      <c r="BR24" s="128" t="s">
        <v>38</v>
      </c>
      <c r="BS24" s="48"/>
      <c r="BT24" s="177"/>
      <c r="BU24" s="127" t="s">
        <v>35</v>
      </c>
      <c r="BV24" s="128" t="s">
        <v>38</v>
      </c>
      <c r="BW24" s="128" t="s">
        <v>38</v>
      </c>
      <c r="BX24" s="132" t="s">
        <v>38</v>
      </c>
      <c r="BY24" s="198"/>
      <c r="BZ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S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</row>
    <row r="25" spans="1:115" ht="15" customHeight="1" thickBot="1" x14ac:dyDescent="0.3">
      <c r="A25" s="19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90"/>
      <c r="U25" s="123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N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G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Z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S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</row>
    <row r="26" spans="1:115" ht="17.25" customHeight="1" thickTop="1" thickBot="1" x14ac:dyDescent="0.3">
      <c r="A26" s="190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88"/>
      <c r="U26" s="178" t="s">
        <v>30</v>
      </c>
      <c r="V26" s="20"/>
      <c r="W26" s="11"/>
      <c r="X26" s="175" t="s">
        <v>31</v>
      </c>
      <c r="Y26" s="175"/>
      <c r="Z26" s="175"/>
      <c r="AA26" s="46"/>
      <c r="AB26" s="11"/>
      <c r="AC26" s="11"/>
      <c r="AD26" s="175" t="s">
        <v>31</v>
      </c>
      <c r="AE26" s="175"/>
      <c r="AF26" s="175"/>
      <c r="AG26" s="46"/>
      <c r="AH26" s="11"/>
      <c r="AI26" s="11"/>
      <c r="AJ26" s="175" t="s">
        <v>31</v>
      </c>
      <c r="AK26" s="175"/>
      <c r="AL26" s="175"/>
      <c r="AM26" s="187" t="s">
        <v>68</v>
      </c>
      <c r="AN26" s="172" t="s">
        <v>40</v>
      </c>
      <c r="AO26" s="20"/>
      <c r="AP26" s="11"/>
      <c r="AQ26" s="175" t="s">
        <v>31</v>
      </c>
      <c r="AR26" s="175"/>
      <c r="AS26" s="175"/>
      <c r="AT26" s="46"/>
      <c r="AU26" s="11"/>
      <c r="AV26" s="11"/>
      <c r="AW26" s="175" t="s">
        <v>31</v>
      </c>
      <c r="AX26" s="175"/>
      <c r="AY26" s="175"/>
      <c r="AZ26" s="46"/>
      <c r="BA26" s="11"/>
      <c r="BB26" s="11"/>
      <c r="BC26" s="175" t="s">
        <v>31</v>
      </c>
      <c r="BD26" s="175"/>
      <c r="BE26" s="175"/>
      <c r="BF26" s="187" t="s">
        <v>71</v>
      </c>
      <c r="BG26" s="172" t="s">
        <v>40</v>
      </c>
      <c r="BH26" s="20"/>
      <c r="BI26" s="11"/>
      <c r="BJ26" s="175" t="s">
        <v>31</v>
      </c>
      <c r="BK26" s="175"/>
      <c r="BL26" s="175"/>
      <c r="BM26" s="46"/>
      <c r="BN26" s="11"/>
      <c r="BO26" s="11"/>
      <c r="BP26" s="175" t="s">
        <v>31</v>
      </c>
      <c r="BQ26" s="175"/>
      <c r="BR26" s="175"/>
      <c r="BS26" s="46"/>
      <c r="BT26" s="11"/>
      <c r="BU26" s="11"/>
      <c r="BV26" s="175" t="s">
        <v>31</v>
      </c>
      <c r="BW26" s="175"/>
      <c r="BX26" s="175"/>
      <c r="BY26" s="187" t="s">
        <v>76</v>
      </c>
      <c r="BZ26" s="178" t="s">
        <v>30</v>
      </c>
      <c r="CA26" s="20"/>
      <c r="CB26" s="11"/>
      <c r="CC26" s="175" t="s">
        <v>31</v>
      </c>
      <c r="CD26" s="175"/>
      <c r="CE26" s="175"/>
      <c r="CF26" s="46"/>
      <c r="CG26" s="11"/>
      <c r="CH26" s="11"/>
      <c r="CI26" s="175" t="s">
        <v>31</v>
      </c>
      <c r="CJ26" s="175"/>
      <c r="CK26" s="175"/>
      <c r="CL26" s="46"/>
      <c r="CM26" s="11"/>
      <c r="CN26" s="11"/>
      <c r="CO26" s="175" t="s">
        <v>31</v>
      </c>
      <c r="CP26" s="175"/>
      <c r="CQ26" s="175"/>
      <c r="CR26" s="169" t="s">
        <v>87</v>
      </c>
      <c r="CS26" s="172" t="s">
        <v>40</v>
      </c>
      <c r="CT26" s="20"/>
      <c r="CU26" s="11"/>
      <c r="CV26" s="175" t="s">
        <v>31</v>
      </c>
      <c r="CW26" s="175"/>
      <c r="CX26" s="175"/>
      <c r="CY26" s="46"/>
      <c r="CZ26" s="11"/>
      <c r="DA26" s="11"/>
      <c r="DB26" s="175" t="s">
        <v>31</v>
      </c>
      <c r="DC26" s="175"/>
      <c r="DD26" s="175"/>
      <c r="DE26" s="46"/>
      <c r="DF26" s="11"/>
      <c r="DG26" s="11"/>
      <c r="DH26" s="175" t="s">
        <v>31</v>
      </c>
      <c r="DI26" s="175"/>
      <c r="DJ26" s="175"/>
      <c r="DK26" s="194" t="s">
        <v>44</v>
      </c>
    </row>
    <row r="27" spans="1:115" ht="17.25" thickTop="1" thickBot="1" x14ac:dyDescent="0.3">
      <c r="A27" s="190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88"/>
      <c r="U27" s="179"/>
      <c r="V27" s="21"/>
      <c r="W27" s="71" t="s">
        <v>33</v>
      </c>
      <c r="X27" s="72" t="s">
        <v>34</v>
      </c>
      <c r="Y27" s="72" t="s">
        <v>31</v>
      </c>
      <c r="Z27" s="72" t="s">
        <v>35</v>
      </c>
      <c r="AA27" s="47"/>
      <c r="AC27" s="71" t="s">
        <v>33</v>
      </c>
      <c r="AD27" s="72" t="s">
        <v>34</v>
      </c>
      <c r="AE27" s="72" t="s">
        <v>31</v>
      </c>
      <c r="AF27" s="72" t="s">
        <v>35</v>
      </c>
      <c r="AG27" s="47"/>
      <c r="AI27" s="71" t="s">
        <v>33</v>
      </c>
      <c r="AJ27" s="72" t="s">
        <v>34</v>
      </c>
      <c r="AK27" s="72" t="s">
        <v>31</v>
      </c>
      <c r="AL27" s="72" t="s">
        <v>35</v>
      </c>
      <c r="AM27" s="188"/>
      <c r="AN27" s="173"/>
      <c r="AO27" s="21"/>
      <c r="AP27" s="71" t="s">
        <v>33</v>
      </c>
      <c r="AQ27" s="72" t="s">
        <v>34</v>
      </c>
      <c r="AR27" s="72" t="s">
        <v>31</v>
      </c>
      <c r="AS27" s="72" t="s">
        <v>35</v>
      </c>
      <c r="AT27" s="47"/>
      <c r="AV27" s="71" t="s">
        <v>33</v>
      </c>
      <c r="AW27" s="72" t="s">
        <v>34</v>
      </c>
      <c r="AX27" s="72" t="s">
        <v>31</v>
      </c>
      <c r="AY27" s="72" t="s">
        <v>35</v>
      </c>
      <c r="AZ27" s="47"/>
      <c r="BB27" s="71" t="s">
        <v>33</v>
      </c>
      <c r="BC27" s="72" t="s">
        <v>34</v>
      </c>
      <c r="BD27" s="72" t="s">
        <v>31</v>
      </c>
      <c r="BE27" s="72" t="s">
        <v>35</v>
      </c>
      <c r="BF27" s="188"/>
      <c r="BG27" s="173"/>
      <c r="BH27" s="21"/>
      <c r="BI27" s="71" t="s">
        <v>33</v>
      </c>
      <c r="BJ27" s="72" t="s">
        <v>34</v>
      </c>
      <c r="BK27" s="72" t="s">
        <v>31</v>
      </c>
      <c r="BL27" s="72" t="s">
        <v>35</v>
      </c>
      <c r="BM27" s="47"/>
      <c r="BO27" s="71" t="s">
        <v>33</v>
      </c>
      <c r="BP27" s="72" t="s">
        <v>34</v>
      </c>
      <c r="BQ27" s="72" t="s">
        <v>31</v>
      </c>
      <c r="BR27" s="72" t="s">
        <v>35</v>
      </c>
      <c r="BS27" s="47"/>
      <c r="BU27" s="71" t="s">
        <v>33</v>
      </c>
      <c r="BV27" s="72" t="s">
        <v>34</v>
      </c>
      <c r="BW27" s="72" t="s">
        <v>31</v>
      </c>
      <c r="BX27" s="72" t="s">
        <v>35</v>
      </c>
      <c r="BY27" s="188"/>
      <c r="BZ27" s="179"/>
      <c r="CA27" s="21"/>
      <c r="CB27" s="71" t="s">
        <v>33</v>
      </c>
      <c r="CC27" s="72" t="s">
        <v>34</v>
      </c>
      <c r="CD27" s="72" t="s">
        <v>31</v>
      </c>
      <c r="CE27" s="72" t="s">
        <v>35</v>
      </c>
      <c r="CF27" s="47"/>
      <c r="CH27" s="71" t="s">
        <v>33</v>
      </c>
      <c r="CI27" s="72" t="s">
        <v>34</v>
      </c>
      <c r="CJ27" s="72" t="s">
        <v>31</v>
      </c>
      <c r="CK27" s="72" t="s">
        <v>35</v>
      </c>
      <c r="CL27" s="47"/>
      <c r="CN27" s="71" t="s">
        <v>33</v>
      </c>
      <c r="CO27" s="72" t="s">
        <v>34</v>
      </c>
      <c r="CP27" s="72" t="s">
        <v>31</v>
      </c>
      <c r="CQ27" s="72" t="s">
        <v>35</v>
      </c>
      <c r="CR27" s="170"/>
      <c r="CS27" s="173"/>
      <c r="CT27" s="21"/>
      <c r="CU27" s="71" t="s">
        <v>33</v>
      </c>
      <c r="CV27" s="72" t="s">
        <v>34</v>
      </c>
      <c r="CW27" s="72" t="s">
        <v>31</v>
      </c>
      <c r="CX27" s="72" t="s">
        <v>35</v>
      </c>
      <c r="CY27" s="47"/>
      <c r="DA27" s="71" t="s">
        <v>33</v>
      </c>
      <c r="DB27" s="72" t="s">
        <v>34</v>
      </c>
      <c r="DC27" s="72" t="s">
        <v>31</v>
      </c>
      <c r="DD27" s="72" t="s">
        <v>35</v>
      </c>
      <c r="DE27" s="47"/>
      <c r="DG27" s="71" t="s">
        <v>33</v>
      </c>
      <c r="DH27" s="72" t="s">
        <v>34</v>
      </c>
      <c r="DI27" s="72" t="s">
        <v>31</v>
      </c>
      <c r="DJ27" s="72" t="s">
        <v>35</v>
      </c>
      <c r="DK27" s="185"/>
    </row>
    <row r="28" spans="1:115" ht="17.25" thickTop="1" thickBot="1" x14ac:dyDescent="0.3">
      <c r="A28" s="190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88"/>
      <c r="U28" s="179"/>
      <c r="V28" s="176" t="s">
        <v>36</v>
      </c>
      <c r="W28" s="73" t="s">
        <v>34</v>
      </c>
      <c r="X28" s="133" t="s">
        <v>37</v>
      </c>
      <c r="Y28" s="74" t="s">
        <v>38</v>
      </c>
      <c r="Z28" s="74" t="s">
        <v>38</v>
      </c>
      <c r="AA28" s="47"/>
      <c r="AB28" s="176" t="s">
        <v>36</v>
      </c>
      <c r="AC28" s="73" t="s">
        <v>34</v>
      </c>
      <c r="AD28" s="74" t="s">
        <v>38</v>
      </c>
      <c r="AE28" s="74" t="s">
        <v>38</v>
      </c>
      <c r="AF28" s="74" t="s">
        <v>38</v>
      </c>
      <c r="AG28" s="47"/>
      <c r="AH28" s="176" t="s">
        <v>36</v>
      </c>
      <c r="AI28" s="73" t="s">
        <v>34</v>
      </c>
      <c r="AJ28" s="74" t="s">
        <v>38</v>
      </c>
      <c r="AK28" s="74" t="s">
        <v>38</v>
      </c>
      <c r="AL28" s="74" t="s">
        <v>38</v>
      </c>
      <c r="AM28" s="188"/>
      <c r="AN28" s="173"/>
      <c r="AO28" s="176" t="s">
        <v>36</v>
      </c>
      <c r="AP28" s="73" t="s">
        <v>34</v>
      </c>
      <c r="AQ28" s="135" t="s">
        <v>37</v>
      </c>
      <c r="AR28" s="74" t="s">
        <v>38</v>
      </c>
      <c r="AS28" s="74" t="s">
        <v>38</v>
      </c>
      <c r="AT28" s="47"/>
      <c r="AU28" s="176" t="s">
        <v>36</v>
      </c>
      <c r="AV28" s="73" t="s">
        <v>34</v>
      </c>
      <c r="AW28" s="133" t="s">
        <v>39</v>
      </c>
      <c r="AX28" s="74" t="s">
        <v>38</v>
      </c>
      <c r="AY28" s="74" t="s">
        <v>38</v>
      </c>
      <c r="AZ28" s="47"/>
      <c r="BA28" s="176" t="s">
        <v>36</v>
      </c>
      <c r="BB28" s="73" t="s">
        <v>34</v>
      </c>
      <c r="BC28" s="74" t="s">
        <v>38</v>
      </c>
      <c r="BD28" s="74" t="s">
        <v>38</v>
      </c>
      <c r="BE28" s="74" t="s">
        <v>38</v>
      </c>
      <c r="BF28" s="188"/>
      <c r="BG28" s="173"/>
      <c r="BH28" s="176" t="s">
        <v>36</v>
      </c>
      <c r="BI28" s="73" t="s">
        <v>34</v>
      </c>
      <c r="BJ28" s="135" t="s">
        <v>37</v>
      </c>
      <c r="BK28" s="74" t="s">
        <v>38</v>
      </c>
      <c r="BL28" s="74" t="s">
        <v>38</v>
      </c>
      <c r="BM28" s="47"/>
      <c r="BN28" s="176" t="s">
        <v>36</v>
      </c>
      <c r="BO28" s="73" t="s">
        <v>34</v>
      </c>
      <c r="BP28" s="135" t="s">
        <v>39</v>
      </c>
      <c r="BQ28" s="74" t="s">
        <v>38</v>
      </c>
      <c r="BR28" s="138" t="s">
        <v>39</v>
      </c>
      <c r="BS28" s="47"/>
      <c r="BT28" s="176" t="s">
        <v>36</v>
      </c>
      <c r="BU28" s="73" t="s">
        <v>34</v>
      </c>
      <c r="BV28" s="74" t="s">
        <v>38</v>
      </c>
      <c r="BW28" s="74" t="s">
        <v>38</v>
      </c>
      <c r="BX28" s="74" t="s">
        <v>38</v>
      </c>
      <c r="BY28" s="188"/>
      <c r="BZ28" s="179"/>
      <c r="CA28" s="176" t="s">
        <v>36</v>
      </c>
      <c r="CB28" s="73" t="s">
        <v>34</v>
      </c>
      <c r="CC28" s="135" t="s">
        <v>37</v>
      </c>
      <c r="CD28" s="74" t="s">
        <v>38</v>
      </c>
      <c r="CE28" s="74" t="s">
        <v>38</v>
      </c>
      <c r="CF28" s="47"/>
      <c r="CG28" s="176" t="s">
        <v>36</v>
      </c>
      <c r="CH28" s="73" t="s">
        <v>34</v>
      </c>
      <c r="CI28" s="135" t="s">
        <v>39</v>
      </c>
      <c r="CJ28" s="74" t="s">
        <v>38</v>
      </c>
      <c r="CK28" s="135" t="s">
        <v>39</v>
      </c>
      <c r="CL28" s="47"/>
      <c r="CM28" s="176" t="s">
        <v>36</v>
      </c>
      <c r="CN28" s="73" t="s">
        <v>34</v>
      </c>
      <c r="CO28" s="74" t="s">
        <v>38</v>
      </c>
      <c r="CP28" s="74" t="s">
        <v>38</v>
      </c>
      <c r="CQ28" s="74" t="s">
        <v>38</v>
      </c>
      <c r="CR28" s="170"/>
      <c r="CS28" s="173"/>
      <c r="CT28" s="176" t="s">
        <v>36</v>
      </c>
      <c r="CU28" s="73" t="s">
        <v>34</v>
      </c>
      <c r="CV28" s="135" t="s">
        <v>37</v>
      </c>
      <c r="CW28" s="74" t="s">
        <v>38</v>
      </c>
      <c r="CX28" s="138" t="s">
        <v>39</v>
      </c>
      <c r="CY28" s="47"/>
      <c r="CZ28" s="176" t="s">
        <v>36</v>
      </c>
      <c r="DA28" s="73" t="s">
        <v>34</v>
      </c>
      <c r="DB28" s="135" t="s">
        <v>39</v>
      </c>
      <c r="DC28" s="74" t="s">
        <v>38</v>
      </c>
      <c r="DD28" s="135" t="s">
        <v>39</v>
      </c>
      <c r="DE28" s="47"/>
      <c r="DF28" s="176" t="s">
        <v>36</v>
      </c>
      <c r="DG28" s="73" t="s">
        <v>34</v>
      </c>
      <c r="DH28" s="74" t="s">
        <v>38</v>
      </c>
      <c r="DI28" s="74" t="s">
        <v>38</v>
      </c>
      <c r="DJ28" s="74" t="s">
        <v>38</v>
      </c>
      <c r="DK28" s="185"/>
    </row>
    <row r="29" spans="1:115" ht="17.25" thickTop="1" thickBot="1" x14ac:dyDescent="0.3">
      <c r="A29" s="190"/>
      <c r="B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1"/>
      <c r="T29" s="188"/>
      <c r="U29" s="179"/>
      <c r="V29" s="176"/>
      <c r="W29" s="75" t="s">
        <v>31</v>
      </c>
      <c r="X29" s="76" t="s">
        <v>38</v>
      </c>
      <c r="Y29" s="134" t="s">
        <v>39</v>
      </c>
      <c r="Z29" s="76" t="s">
        <v>38</v>
      </c>
      <c r="AA29" s="47"/>
      <c r="AB29" s="176"/>
      <c r="AC29" s="75" t="s">
        <v>31</v>
      </c>
      <c r="AD29" s="76" t="s">
        <v>38</v>
      </c>
      <c r="AE29" s="76" t="s">
        <v>38</v>
      </c>
      <c r="AF29" s="76" t="s">
        <v>38</v>
      </c>
      <c r="AG29" s="47"/>
      <c r="AH29" s="176"/>
      <c r="AI29" s="75" t="s">
        <v>31</v>
      </c>
      <c r="AJ29" s="76" t="s">
        <v>38</v>
      </c>
      <c r="AK29" s="76" t="s">
        <v>38</v>
      </c>
      <c r="AL29" s="76" t="s">
        <v>38</v>
      </c>
      <c r="AM29" s="188"/>
      <c r="AN29" s="173"/>
      <c r="AO29" s="176"/>
      <c r="AP29" s="75" t="s">
        <v>31</v>
      </c>
      <c r="AQ29" s="76" t="s">
        <v>38</v>
      </c>
      <c r="AR29" s="134" t="s">
        <v>39</v>
      </c>
      <c r="AS29" s="76" t="s">
        <v>38</v>
      </c>
      <c r="AT29" s="47"/>
      <c r="AU29" s="176"/>
      <c r="AV29" s="75" t="s">
        <v>31</v>
      </c>
      <c r="AW29" s="76" t="s">
        <v>38</v>
      </c>
      <c r="AX29" s="76" t="s">
        <v>38</v>
      </c>
      <c r="AY29" s="76" t="s">
        <v>38</v>
      </c>
      <c r="AZ29" s="47"/>
      <c r="BA29" s="176"/>
      <c r="BB29" s="75" t="s">
        <v>31</v>
      </c>
      <c r="BC29" s="76" t="s">
        <v>38</v>
      </c>
      <c r="BD29" s="76" t="s">
        <v>38</v>
      </c>
      <c r="BE29" s="76" t="s">
        <v>38</v>
      </c>
      <c r="BF29" s="188"/>
      <c r="BG29" s="173"/>
      <c r="BH29" s="176"/>
      <c r="BI29" s="75" t="s">
        <v>31</v>
      </c>
      <c r="BJ29" s="76" t="s">
        <v>38</v>
      </c>
      <c r="BK29" s="134" t="s">
        <v>39</v>
      </c>
      <c r="BL29" s="76" t="s">
        <v>38</v>
      </c>
      <c r="BM29" s="47"/>
      <c r="BN29" s="176"/>
      <c r="BO29" s="75" t="s">
        <v>31</v>
      </c>
      <c r="BP29" s="76" t="s">
        <v>38</v>
      </c>
      <c r="BQ29" s="76" t="s">
        <v>38</v>
      </c>
      <c r="BR29" s="76" t="s">
        <v>38</v>
      </c>
      <c r="BS29" s="47"/>
      <c r="BT29" s="176"/>
      <c r="BU29" s="75" t="s">
        <v>31</v>
      </c>
      <c r="BV29" s="76" t="s">
        <v>38</v>
      </c>
      <c r="BW29" s="76" t="s">
        <v>38</v>
      </c>
      <c r="BX29" s="76" t="s">
        <v>38</v>
      </c>
      <c r="BY29" s="188"/>
      <c r="BZ29" s="179"/>
      <c r="CA29" s="176"/>
      <c r="CB29" s="75" t="s">
        <v>31</v>
      </c>
      <c r="CC29" s="76" t="s">
        <v>38</v>
      </c>
      <c r="CD29" s="134" t="s">
        <v>39</v>
      </c>
      <c r="CE29" s="76" t="s">
        <v>38</v>
      </c>
      <c r="CF29" s="47"/>
      <c r="CG29" s="176"/>
      <c r="CH29" s="75" t="s">
        <v>31</v>
      </c>
      <c r="CI29" s="76" t="s">
        <v>38</v>
      </c>
      <c r="CJ29" s="76" t="s">
        <v>38</v>
      </c>
      <c r="CK29" s="76" t="s">
        <v>38</v>
      </c>
      <c r="CL29" s="47"/>
      <c r="CM29" s="176"/>
      <c r="CN29" s="75" t="s">
        <v>31</v>
      </c>
      <c r="CO29" s="76" t="s">
        <v>38</v>
      </c>
      <c r="CP29" s="76" t="s">
        <v>38</v>
      </c>
      <c r="CQ29" s="76" t="s">
        <v>38</v>
      </c>
      <c r="CR29" s="170"/>
      <c r="CS29" s="173"/>
      <c r="CT29" s="176"/>
      <c r="CU29" s="75" t="s">
        <v>31</v>
      </c>
      <c r="CV29" s="76" t="s">
        <v>38</v>
      </c>
      <c r="CW29" s="134" t="s">
        <v>39</v>
      </c>
      <c r="CX29" s="76" t="s">
        <v>38</v>
      </c>
      <c r="CY29" s="47"/>
      <c r="CZ29" s="176"/>
      <c r="DA29" s="75" t="s">
        <v>31</v>
      </c>
      <c r="DB29" s="76" t="s">
        <v>38</v>
      </c>
      <c r="DC29" s="76" t="s">
        <v>38</v>
      </c>
      <c r="DD29" s="76" t="s">
        <v>38</v>
      </c>
      <c r="DE29" s="47"/>
      <c r="DF29" s="176"/>
      <c r="DG29" s="75" t="s">
        <v>31</v>
      </c>
      <c r="DH29" s="76" t="s">
        <v>38</v>
      </c>
      <c r="DI29" s="76" t="s">
        <v>38</v>
      </c>
      <c r="DJ29" s="76" t="s">
        <v>38</v>
      </c>
      <c r="DK29" s="185"/>
    </row>
    <row r="30" spans="1:115" ht="17.25" thickTop="1" thickBot="1" x14ac:dyDescent="0.3">
      <c r="A30" s="190"/>
      <c r="B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1"/>
      <c r="T30" s="189"/>
      <c r="U30" s="180"/>
      <c r="V30" s="177"/>
      <c r="W30" s="127" t="s">
        <v>35</v>
      </c>
      <c r="X30" s="128" t="s">
        <v>38</v>
      </c>
      <c r="Y30" s="128" t="s">
        <v>38</v>
      </c>
      <c r="Z30" s="128" t="s">
        <v>38</v>
      </c>
      <c r="AA30" s="48"/>
      <c r="AB30" s="177"/>
      <c r="AC30" s="127" t="s">
        <v>35</v>
      </c>
      <c r="AD30" s="128" t="s">
        <v>38</v>
      </c>
      <c r="AE30" s="128" t="s">
        <v>38</v>
      </c>
      <c r="AF30" s="128" t="s">
        <v>38</v>
      </c>
      <c r="AG30" s="48"/>
      <c r="AH30" s="177"/>
      <c r="AI30" s="127" t="s">
        <v>35</v>
      </c>
      <c r="AJ30" s="128" t="s">
        <v>38</v>
      </c>
      <c r="AK30" s="128" t="s">
        <v>38</v>
      </c>
      <c r="AL30" s="128" t="s">
        <v>38</v>
      </c>
      <c r="AM30" s="188"/>
      <c r="AN30" s="174"/>
      <c r="AO30" s="177"/>
      <c r="AP30" s="127" t="s">
        <v>35</v>
      </c>
      <c r="AQ30" s="128" t="s">
        <v>38</v>
      </c>
      <c r="AR30" s="128" t="s">
        <v>38</v>
      </c>
      <c r="AS30" s="128" t="s">
        <v>38</v>
      </c>
      <c r="AT30" s="48"/>
      <c r="AU30" s="177"/>
      <c r="AV30" s="127" t="s">
        <v>35</v>
      </c>
      <c r="AW30" s="128" t="s">
        <v>38</v>
      </c>
      <c r="AX30" s="128" t="s">
        <v>38</v>
      </c>
      <c r="AY30" s="128" t="s">
        <v>38</v>
      </c>
      <c r="AZ30" s="48"/>
      <c r="BA30" s="177"/>
      <c r="BB30" s="127" t="s">
        <v>35</v>
      </c>
      <c r="BC30" s="128" t="s">
        <v>38</v>
      </c>
      <c r="BD30" s="128" t="s">
        <v>38</v>
      </c>
      <c r="BE30" s="128" t="s">
        <v>38</v>
      </c>
      <c r="BF30" s="188"/>
      <c r="BG30" s="174"/>
      <c r="BH30" s="177"/>
      <c r="BI30" s="127" t="s">
        <v>35</v>
      </c>
      <c r="BJ30" s="128" t="s">
        <v>38</v>
      </c>
      <c r="BK30" s="128" t="s">
        <v>38</v>
      </c>
      <c r="BL30" s="128" t="s">
        <v>38</v>
      </c>
      <c r="BM30" s="48"/>
      <c r="BN30" s="177"/>
      <c r="BO30" s="127" t="s">
        <v>35</v>
      </c>
      <c r="BP30" s="128" t="s">
        <v>38</v>
      </c>
      <c r="BQ30" s="128" t="s">
        <v>38</v>
      </c>
      <c r="BR30" s="128" t="s">
        <v>38</v>
      </c>
      <c r="BS30" s="48"/>
      <c r="BT30" s="177"/>
      <c r="BU30" s="127" t="s">
        <v>35</v>
      </c>
      <c r="BV30" s="128" t="s">
        <v>38</v>
      </c>
      <c r="BW30" s="128" t="s">
        <v>38</v>
      </c>
      <c r="BX30" s="128" t="s">
        <v>38</v>
      </c>
      <c r="BY30" s="189"/>
      <c r="BZ30" s="180"/>
      <c r="CA30" s="177"/>
      <c r="CB30" s="127" t="s">
        <v>35</v>
      </c>
      <c r="CC30" s="128" t="s">
        <v>38</v>
      </c>
      <c r="CD30" s="128" t="s">
        <v>38</v>
      </c>
      <c r="CE30" s="128" t="s">
        <v>38</v>
      </c>
      <c r="CF30" s="48"/>
      <c r="CG30" s="177"/>
      <c r="CH30" s="127" t="s">
        <v>35</v>
      </c>
      <c r="CI30" s="136" t="s">
        <v>37</v>
      </c>
      <c r="CJ30" s="128" t="s">
        <v>38</v>
      </c>
      <c r="CK30" s="128" t="s">
        <v>38</v>
      </c>
      <c r="CL30" s="48"/>
      <c r="CM30" s="177"/>
      <c r="CN30" s="127" t="s">
        <v>35</v>
      </c>
      <c r="CO30" s="128" t="s">
        <v>38</v>
      </c>
      <c r="CP30" s="128" t="s">
        <v>38</v>
      </c>
      <c r="CQ30" s="128" t="s">
        <v>38</v>
      </c>
      <c r="CR30" s="170"/>
      <c r="CS30" s="174"/>
      <c r="CT30" s="177"/>
      <c r="CU30" s="127" t="s">
        <v>35</v>
      </c>
      <c r="CV30" s="136" t="s">
        <v>39</v>
      </c>
      <c r="CW30" s="128" t="s">
        <v>38</v>
      </c>
      <c r="CX30" s="128" t="s">
        <v>38</v>
      </c>
      <c r="CY30" s="48"/>
      <c r="CZ30" s="177"/>
      <c r="DA30" s="127" t="s">
        <v>35</v>
      </c>
      <c r="DB30" s="141" t="s">
        <v>37</v>
      </c>
      <c r="DC30" s="128" t="s">
        <v>38</v>
      </c>
      <c r="DD30" s="128" t="s">
        <v>38</v>
      </c>
      <c r="DE30" s="48"/>
      <c r="DF30" s="177"/>
      <c r="DG30" s="127" t="s">
        <v>35</v>
      </c>
      <c r="DH30" s="128" t="s">
        <v>38</v>
      </c>
      <c r="DI30" s="128" t="s">
        <v>38</v>
      </c>
      <c r="DJ30" s="128" t="s">
        <v>38</v>
      </c>
      <c r="DK30" s="186"/>
    </row>
    <row r="31" spans="1:115" ht="15" customHeight="1" thickBot="1" x14ac:dyDescent="0.3">
      <c r="A31" s="190"/>
      <c r="B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U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90"/>
      <c r="AN31" s="122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90"/>
      <c r="BG31" s="137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0"/>
      <c r="BZ31" s="137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70"/>
      <c r="CS31" s="137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</row>
    <row r="32" spans="1:115" ht="17.25" customHeight="1" thickTop="1" thickBot="1" x14ac:dyDescent="0.3">
      <c r="A32" s="190"/>
      <c r="B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U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90"/>
      <c r="AN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88"/>
      <c r="BG32" s="178" t="s">
        <v>30</v>
      </c>
      <c r="BH32" s="20"/>
      <c r="BI32" s="11"/>
      <c r="BJ32" s="175" t="s">
        <v>31</v>
      </c>
      <c r="BK32" s="175"/>
      <c r="BL32" s="175"/>
      <c r="BM32" s="46"/>
      <c r="BN32" s="11"/>
      <c r="BO32" s="11"/>
      <c r="BP32" s="175" t="s">
        <v>31</v>
      </c>
      <c r="BQ32" s="175"/>
      <c r="BR32" s="175"/>
      <c r="BS32" s="46"/>
      <c r="BT32" s="11"/>
      <c r="BU32" s="11"/>
      <c r="BV32" s="175" t="s">
        <v>31</v>
      </c>
      <c r="BW32" s="175"/>
      <c r="BX32" s="175"/>
      <c r="BY32" s="187" t="s">
        <v>76</v>
      </c>
      <c r="BZ32" s="172" t="s">
        <v>40</v>
      </c>
      <c r="CA32" s="20"/>
      <c r="CB32" s="11"/>
      <c r="CC32" s="175" t="s">
        <v>31</v>
      </c>
      <c r="CD32" s="175"/>
      <c r="CE32" s="175"/>
      <c r="CF32" s="46"/>
      <c r="CG32" s="11"/>
      <c r="CH32" s="11"/>
      <c r="CI32" s="175" t="s">
        <v>31</v>
      </c>
      <c r="CJ32" s="175"/>
      <c r="CK32" s="175"/>
      <c r="CL32" s="46"/>
      <c r="CM32" s="11"/>
      <c r="CN32" s="11"/>
      <c r="CO32" s="175" t="s">
        <v>31</v>
      </c>
      <c r="CP32" s="175"/>
      <c r="CQ32" s="175"/>
      <c r="CR32" s="170"/>
      <c r="CS32" s="172" t="s">
        <v>40</v>
      </c>
      <c r="CT32" s="20"/>
      <c r="CU32" s="11"/>
      <c r="CV32" s="175" t="s">
        <v>31</v>
      </c>
      <c r="CW32" s="175"/>
      <c r="CX32" s="175"/>
      <c r="CY32" s="46"/>
      <c r="CZ32" s="11"/>
      <c r="DA32" s="11"/>
      <c r="DB32" s="175" t="s">
        <v>31</v>
      </c>
      <c r="DC32" s="175"/>
      <c r="DD32" s="175"/>
      <c r="DE32" s="46"/>
      <c r="DF32" s="11"/>
      <c r="DG32" s="11"/>
      <c r="DH32" s="175" t="s">
        <v>31</v>
      </c>
      <c r="DI32" s="175"/>
      <c r="DJ32" s="175"/>
      <c r="DK32" s="194" t="s">
        <v>72</v>
      </c>
    </row>
    <row r="33" spans="1:115" ht="17.25" thickTop="1" thickBot="1" x14ac:dyDescent="0.3">
      <c r="A33" s="190"/>
      <c r="U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90"/>
      <c r="AN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88"/>
      <c r="BG33" s="179"/>
      <c r="BH33" s="21"/>
      <c r="BI33" s="71" t="s">
        <v>33</v>
      </c>
      <c r="BJ33" s="72" t="s">
        <v>34</v>
      </c>
      <c r="BK33" s="72" t="s">
        <v>31</v>
      </c>
      <c r="BL33" s="72" t="s">
        <v>35</v>
      </c>
      <c r="BM33" s="47"/>
      <c r="BO33" s="71" t="s">
        <v>33</v>
      </c>
      <c r="BP33" s="72" t="s">
        <v>34</v>
      </c>
      <c r="BQ33" s="72" t="s">
        <v>31</v>
      </c>
      <c r="BR33" s="72" t="s">
        <v>35</v>
      </c>
      <c r="BS33" s="47"/>
      <c r="BU33" s="71" t="s">
        <v>33</v>
      </c>
      <c r="BV33" s="72" t="s">
        <v>34</v>
      </c>
      <c r="BW33" s="72" t="s">
        <v>31</v>
      </c>
      <c r="BX33" s="72" t="s">
        <v>35</v>
      </c>
      <c r="BY33" s="188"/>
      <c r="BZ33" s="173"/>
      <c r="CA33" s="21"/>
      <c r="CB33" s="71" t="s">
        <v>33</v>
      </c>
      <c r="CC33" s="72" t="s">
        <v>34</v>
      </c>
      <c r="CD33" s="72" t="s">
        <v>31</v>
      </c>
      <c r="CE33" s="72" t="s">
        <v>35</v>
      </c>
      <c r="CF33" s="47"/>
      <c r="CH33" s="71" t="s">
        <v>33</v>
      </c>
      <c r="CI33" s="72" t="s">
        <v>34</v>
      </c>
      <c r="CJ33" s="72" t="s">
        <v>31</v>
      </c>
      <c r="CK33" s="72" t="s">
        <v>35</v>
      </c>
      <c r="CL33" s="47"/>
      <c r="CN33" s="71" t="s">
        <v>33</v>
      </c>
      <c r="CO33" s="72" t="s">
        <v>34</v>
      </c>
      <c r="CP33" s="72" t="s">
        <v>31</v>
      </c>
      <c r="CQ33" s="72" t="s">
        <v>35</v>
      </c>
      <c r="CR33" s="170"/>
      <c r="CS33" s="173"/>
      <c r="CT33" s="21"/>
      <c r="CU33" s="71" t="s">
        <v>33</v>
      </c>
      <c r="CV33" s="72" t="s">
        <v>34</v>
      </c>
      <c r="CW33" s="72" t="s">
        <v>31</v>
      </c>
      <c r="CX33" s="72" t="s">
        <v>35</v>
      </c>
      <c r="CY33" s="47"/>
      <c r="DA33" s="71" t="s">
        <v>33</v>
      </c>
      <c r="DB33" s="72" t="s">
        <v>34</v>
      </c>
      <c r="DC33" s="72" t="s">
        <v>31</v>
      </c>
      <c r="DD33" s="72" t="s">
        <v>35</v>
      </c>
      <c r="DE33" s="47"/>
      <c r="DG33" s="71" t="s">
        <v>33</v>
      </c>
      <c r="DH33" s="72" t="s">
        <v>34</v>
      </c>
      <c r="DI33" s="72" t="s">
        <v>31</v>
      </c>
      <c r="DJ33" s="72" t="s">
        <v>35</v>
      </c>
      <c r="DK33" s="185"/>
    </row>
    <row r="34" spans="1:115" ht="17.25" thickTop="1" thickBot="1" x14ac:dyDescent="0.3">
      <c r="A34" s="190"/>
      <c r="U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90"/>
      <c r="AN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88"/>
      <c r="BG34" s="179"/>
      <c r="BH34" s="176" t="s">
        <v>36</v>
      </c>
      <c r="BI34" s="73" t="s">
        <v>34</v>
      </c>
      <c r="BJ34" s="135" t="s">
        <v>37</v>
      </c>
      <c r="BK34" s="74" t="s">
        <v>38</v>
      </c>
      <c r="BL34" s="74" t="s">
        <v>38</v>
      </c>
      <c r="BM34" s="47"/>
      <c r="BN34" s="176" t="s">
        <v>36</v>
      </c>
      <c r="BO34" s="73" t="s">
        <v>34</v>
      </c>
      <c r="BP34" s="135" t="s">
        <v>39</v>
      </c>
      <c r="BQ34" s="74" t="s">
        <v>38</v>
      </c>
      <c r="BR34" s="138" t="s">
        <v>37</v>
      </c>
      <c r="BS34" s="47"/>
      <c r="BT34" s="176" t="s">
        <v>36</v>
      </c>
      <c r="BU34" s="73" t="s">
        <v>34</v>
      </c>
      <c r="BV34" s="74" t="s">
        <v>38</v>
      </c>
      <c r="BW34" s="74" t="s">
        <v>38</v>
      </c>
      <c r="BX34" s="74" t="s">
        <v>38</v>
      </c>
      <c r="BY34" s="188"/>
      <c r="BZ34" s="173"/>
      <c r="CA34" s="176" t="s">
        <v>36</v>
      </c>
      <c r="CB34" s="73" t="s">
        <v>34</v>
      </c>
      <c r="CC34" s="135" t="s">
        <v>37</v>
      </c>
      <c r="CD34" s="74" t="s">
        <v>38</v>
      </c>
      <c r="CE34" s="74" t="s">
        <v>38</v>
      </c>
      <c r="CF34" s="47"/>
      <c r="CG34" s="176" t="s">
        <v>36</v>
      </c>
      <c r="CH34" s="73" t="s">
        <v>34</v>
      </c>
      <c r="CI34" s="135" t="s">
        <v>39</v>
      </c>
      <c r="CJ34" s="74" t="s">
        <v>38</v>
      </c>
      <c r="CK34" s="135" t="s">
        <v>37</v>
      </c>
      <c r="CL34" s="47"/>
      <c r="CM34" s="176" t="s">
        <v>36</v>
      </c>
      <c r="CN34" s="73" t="s">
        <v>34</v>
      </c>
      <c r="CO34" s="74" t="s">
        <v>38</v>
      </c>
      <c r="CP34" s="74" t="s">
        <v>38</v>
      </c>
      <c r="CQ34" s="74" t="s">
        <v>38</v>
      </c>
      <c r="CR34" s="170"/>
      <c r="CS34" s="173"/>
      <c r="CT34" s="176" t="s">
        <v>36</v>
      </c>
      <c r="CU34" s="73" t="s">
        <v>34</v>
      </c>
      <c r="CV34" s="135" t="s">
        <v>37</v>
      </c>
      <c r="CW34" s="74" t="s">
        <v>38</v>
      </c>
      <c r="CX34" s="138" t="s">
        <v>39</v>
      </c>
      <c r="CY34" s="47"/>
      <c r="CZ34" s="176" t="s">
        <v>36</v>
      </c>
      <c r="DA34" s="73" t="s">
        <v>34</v>
      </c>
      <c r="DB34" s="135" t="s">
        <v>39</v>
      </c>
      <c r="DC34" s="74" t="s">
        <v>38</v>
      </c>
      <c r="DD34" s="135" t="s">
        <v>37</v>
      </c>
      <c r="DE34" s="47"/>
      <c r="DF34" s="176" t="s">
        <v>36</v>
      </c>
      <c r="DG34" s="73" t="s">
        <v>34</v>
      </c>
      <c r="DH34" s="74" t="s">
        <v>38</v>
      </c>
      <c r="DI34" s="74" t="s">
        <v>38</v>
      </c>
      <c r="DJ34" s="74" t="s">
        <v>38</v>
      </c>
      <c r="DK34" s="185"/>
    </row>
    <row r="35" spans="1:115" ht="17.25" thickTop="1" thickBot="1" x14ac:dyDescent="0.3">
      <c r="A35" s="190"/>
      <c r="U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90"/>
      <c r="AN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88"/>
      <c r="BG35" s="179"/>
      <c r="BH35" s="176"/>
      <c r="BI35" s="75" t="s">
        <v>31</v>
      </c>
      <c r="BJ35" s="76" t="s">
        <v>38</v>
      </c>
      <c r="BK35" s="134" t="s">
        <v>39</v>
      </c>
      <c r="BL35" s="76" t="s">
        <v>38</v>
      </c>
      <c r="BM35" s="47"/>
      <c r="BN35" s="176"/>
      <c r="BO35" s="75" t="s">
        <v>31</v>
      </c>
      <c r="BP35" s="76" t="s">
        <v>38</v>
      </c>
      <c r="BQ35" s="76" t="s">
        <v>38</v>
      </c>
      <c r="BR35" s="76" t="s">
        <v>38</v>
      </c>
      <c r="BS35" s="47"/>
      <c r="BT35" s="176"/>
      <c r="BU35" s="75" t="s">
        <v>31</v>
      </c>
      <c r="BV35" s="76" t="s">
        <v>38</v>
      </c>
      <c r="BW35" s="76" t="s">
        <v>38</v>
      </c>
      <c r="BX35" s="76" t="s">
        <v>38</v>
      </c>
      <c r="BY35" s="188"/>
      <c r="BZ35" s="173"/>
      <c r="CA35" s="176"/>
      <c r="CB35" s="75" t="s">
        <v>31</v>
      </c>
      <c r="CC35" s="76" t="s">
        <v>38</v>
      </c>
      <c r="CD35" s="134" t="s">
        <v>39</v>
      </c>
      <c r="CE35" s="76" t="s">
        <v>38</v>
      </c>
      <c r="CF35" s="47"/>
      <c r="CG35" s="176"/>
      <c r="CH35" s="75" t="s">
        <v>31</v>
      </c>
      <c r="CI35" s="76" t="s">
        <v>38</v>
      </c>
      <c r="CJ35" s="76" t="s">
        <v>38</v>
      </c>
      <c r="CK35" s="76" t="s">
        <v>38</v>
      </c>
      <c r="CL35" s="47"/>
      <c r="CM35" s="176"/>
      <c r="CN35" s="75" t="s">
        <v>31</v>
      </c>
      <c r="CO35" s="76" t="s">
        <v>38</v>
      </c>
      <c r="CP35" s="76" t="s">
        <v>38</v>
      </c>
      <c r="CQ35" s="76" t="s">
        <v>38</v>
      </c>
      <c r="CR35" s="170"/>
      <c r="CS35" s="173"/>
      <c r="CT35" s="176"/>
      <c r="CU35" s="75" t="s">
        <v>31</v>
      </c>
      <c r="CV35" s="76" t="s">
        <v>38</v>
      </c>
      <c r="CW35" s="134" t="s">
        <v>39</v>
      </c>
      <c r="CX35" s="76" t="s">
        <v>38</v>
      </c>
      <c r="CY35" s="47"/>
      <c r="CZ35" s="176"/>
      <c r="DA35" s="75" t="s">
        <v>31</v>
      </c>
      <c r="DB35" s="76" t="s">
        <v>38</v>
      </c>
      <c r="DC35" s="76" t="s">
        <v>38</v>
      </c>
      <c r="DD35" s="76" t="s">
        <v>38</v>
      </c>
      <c r="DE35" s="47"/>
      <c r="DF35" s="176"/>
      <c r="DG35" s="75" t="s">
        <v>31</v>
      </c>
      <c r="DH35" s="76" t="s">
        <v>38</v>
      </c>
      <c r="DI35" s="76" t="s">
        <v>38</v>
      </c>
      <c r="DJ35" s="76" t="s">
        <v>38</v>
      </c>
      <c r="DK35" s="185"/>
    </row>
    <row r="36" spans="1:115" ht="17.25" thickTop="1" thickBot="1" x14ac:dyDescent="0.3">
      <c r="A36" s="190"/>
      <c r="U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90"/>
      <c r="AN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89"/>
      <c r="BG36" s="180"/>
      <c r="BH36" s="177"/>
      <c r="BI36" s="127" t="s">
        <v>35</v>
      </c>
      <c r="BJ36" s="128" t="s">
        <v>38</v>
      </c>
      <c r="BK36" s="128" t="s">
        <v>38</v>
      </c>
      <c r="BL36" s="128" t="s">
        <v>38</v>
      </c>
      <c r="BM36" s="48"/>
      <c r="BN36" s="177"/>
      <c r="BO36" s="127" t="s">
        <v>35</v>
      </c>
      <c r="BP36" s="128" t="s">
        <v>38</v>
      </c>
      <c r="BQ36" s="128" t="s">
        <v>38</v>
      </c>
      <c r="BR36" s="128" t="s">
        <v>38</v>
      </c>
      <c r="BS36" s="48"/>
      <c r="BT36" s="177"/>
      <c r="BU36" s="127" t="s">
        <v>35</v>
      </c>
      <c r="BV36" s="128" t="s">
        <v>38</v>
      </c>
      <c r="BW36" s="128" t="s">
        <v>38</v>
      </c>
      <c r="BX36" s="128" t="s">
        <v>38</v>
      </c>
      <c r="BY36" s="189"/>
      <c r="BZ36" s="174"/>
      <c r="CA36" s="177"/>
      <c r="CB36" s="127" t="s">
        <v>35</v>
      </c>
      <c r="CC36" s="128" t="s">
        <v>38</v>
      </c>
      <c r="CD36" s="128" t="s">
        <v>38</v>
      </c>
      <c r="CE36" s="128" t="s">
        <v>38</v>
      </c>
      <c r="CF36" s="48"/>
      <c r="CG36" s="177"/>
      <c r="CH36" s="127" t="s">
        <v>35</v>
      </c>
      <c r="CI36" s="136" t="s">
        <v>39</v>
      </c>
      <c r="CJ36" s="128" t="s">
        <v>38</v>
      </c>
      <c r="CK36" s="128" t="s">
        <v>38</v>
      </c>
      <c r="CL36" s="48"/>
      <c r="CM36" s="177"/>
      <c r="CN36" s="127" t="s">
        <v>35</v>
      </c>
      <c r="CO36" s="128" t="s">
        <v>38</v>
      </c>
      <c r="CP36" s="128" t="s">
        <v>38</v>
      </c>
      <c r="CQ36" s="128" t="s">
        <v>38</v>
      </c>
      <c r="CR36" s="171"/>
      <c r="CS36" s="174"/>
      <c r="CT36" s="177"/>
      <c r="CU36" s="127" t="s">
        <v>35</v>
      </c>
      <c r="CV36" s="136" t="s">
        <v>39</v>
      </c>
      <c r="CW36" s="128" t="s">
        <v>38</v>
      </c>
      <c r="CX36" s="128" t="s">
        <v>38</v>
      </c>
      <c r="CY36" s="48"/>
      <c r="CZ36" s="177"/>
      <c r="DA36" s="127" t="s">
        <v>35</v>
      </c>
      <c r="DB36" s="141" t="s">
        <v>39</v>
      </c>
      <c r="DC36" s="128" t="s">
        <v>38</v>
      </c>
      <c r="DD36" s="128" t="s">
        <v>38</v>
      </c>
      <c r="DE36" s="48"/>
      <c r="DF36" s="177"/>
      <c r="DG36" s="127" t="s">
        <v>35</v>
      </c>
      <c r="DH36" s="128" t="s">
        <v>38</v>
      </c>
      <c r="DI36" s="128" t="s">
        <v>38</v>
      </c>
      <c r="DJ36" s="128" t="s">
        <v>38</v>
      </c>
      <c r="DK36" s="186"/>
    </row>
    <row r="37" spans="1:115" ht="15" customHeight="1" thickBot="1" x14ac:dyDescent="0.3">
      <c r="A37" s="190"/>
      <c r="B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U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90"/>
      <c r="AN37" s="123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G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Z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S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</row>
    <row r="38" spans="1:115" ht="17.25" customHeight="1" thickTop="1" thickBot="1" x14ac:dyDescent="0.3">
      <c r="A38" s="190"/>
      <c r="B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U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88"/>
      <c r="AN38" s="178" t="s">
        <v>30</v>
      </c>
      <c r="AO38" s="20"/>
      <c r="AP38" s="11"/>
      <c r="AQ38" s="175" t="s">
        <v>31</v>
      </c>
      <c r="AR38" s="175"/>
      <c r="AS38" s="175"/>
      <c r="AT38" s="46"/>
      <c r="AU38" s="11"/>
      <c r="AV38" s="11"/>
      <c r="AW38" s="175" t="s">
        <v>31</v>
      </c>
      <c r="AX38" s="175"/>
      <c r="AY38" s="175"/>
      <c r="AZ38" s="46"/>
      <c r="BA38" s="11"/>
      <c r="BB38" s="11"/>
      <c r="BC38" s="175" t="s">
        <v>31</v>
      </c>
      <c r="BD38" s="175"/>
      <c r="BE38" s="175"/>
      <c r="BF38" s="187" t="s">
        <v>76</v>
      </c>
      <c r="BG38" s="172" t="s">
        <v>40</v>
      </c>
      <c r="BH38" s="20"/>
      <c r="BI38" s="11"/>
      <c r="BJ38" s="175" t="s">
        <v>31</v>
      </c>
      <c r="BK38" s="175"/>
      <c r="BL38" s="175"/>
      <c r="BM38" s="46"/>
      <c r="BN38" s="11"/>
      <c r="BO38" s="11"/>
      <c r="BP38" s="175" t="s">
        <v>31</v>
      </c>
      <c r="BQ38" s="175"/>
      <c r="BR38" s="175"/>
      <c r="BS38" s="46"/>
      <c r="BT38" s="11"/>
      <c r="BU38" s="11"/>
      <c r="BV38" s="175" t="s">
        <v>31</v>
      </c>
      <c r="BW38" s="175"/>
      <c r="BX38" s="175"/>
      <c r="BY38" s="194" t="s">
        <v>43</v>
      </c>
      <c r="BZ38" s="14"/>
      <c r="CA38" s="20"/>
      <c r="CB38" s="11"/>
      <c r="CC38" s="175" t="s">
        <v>31</v>
      </c>
      <c r="CD38" s="175"/>
      <c r="CE38" s="175"/>
      <c r="CF38" s="46"/>
      <c r="CG38" s="11"/>
      <c r="CH38" s="11"/>
      <c r="CI38" s="175" t="s">
        <v>31</v>
      </c>
      <c r="CJ38" s="175"/>
      <c r="CK38" s="175"/>
      <c r="CL38" s="46"/>
      <c r="CM38" s="11"/>
      <c r="CN38" s="11"/>
      <c r="CO38" s="175" t="s">
        <v>31</v>
      </c>
      <c r="CP38" s="175"/>
      <c r="CQ38" s="175"/>
      <c r="CR38" s="194" t="s">
        <v>86</v>
      </c>
      <c r="CS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</row>
    <row r="39" spans="1:115" ht="17.25" thickTop="1" thickBot="1" x14ac:dyDescent="0.3">
      <c r="A39" s="190"/>
      <c r="B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U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88"/>
      <c r="AN39" s="179"/>
      <c r="AO39" s="21"/>
      <c r="AP39" s="71" t="s">
        <v>33</v>
      </c>
      <c r="AQ39" s="72" t="s">
        <v>34</v>
      </c>
      <c r="AR39" s="72" t="s">
        <v>31</v>
      </c>
      <c r="AS39" s="72" t="s">
        <v>35</v>
      </c>
      <c r="AT39" s="47"/>
      <c r="AV39" s="71" t="s">
        <v>33</v>
      </c>
      <c r="AW39" s="72" t="s">
        <v>34</v>
      </c>
      <c r="AX39" s="72" t="s">
        <v>31</v>
      </c>
      <c r="AY39" s="72" t="s">
        <v>35</v>
      </c>
      <c r="AZ39" s="47"/>
      <c r="BB39" s="71" t="s">
        <v>33</v>
      </c>
      <c r="BC39" s="72" t="s">
        <v>34</v>
      </c>
      <c r="BD39" s="72" t="s">
        <v>31</v>
      </c>
      <c r="BE39" s="72" t="s">
        <v>35</v>
      </c>
      <c r="BF39" s="188"/>
      <c r="BG39" s="173"/>
      <c r="BH39" s="21"/>
      <c r="BI39" s="71" t="s">
        <v>33</v>
      </c>
      <c r="BJ39" s="72" t="s">
        <v>34</v>
      </c>
      <c r="BK39" s="72" t="s">
        <v>31</v>
      </c>
      <c r="BL39" s="72" t="s">
        <v>35</v>
      </c>
      <c r="BM39" s="47"/>
      <c r="BO39" s="71" t="s">
        <v>33</v>
      </c>
      <c r="BP39" s="72" t="s">
        <v>34</v>
      </c>
      <c r="BQ39" s="72" t="s">
        <v>31</v>
      </c>
      <c r="BR39" s="72" t="s">
        <v>35</v>
      </c>
      <c r="BS39" s="47"/>
      <c r="BU39" s="71" t="s">
        <v>33</v>
      </c>
      <c r="BV39" s="72" t="s">
        <v>34</v>
      </c>
      <c r="BW39" s="72" t="s">
        <v>31</v>
      </c>
      <c r="BX39" s="72" t="s">
        <v>35</v>
      </c>
      <c r="BY39" s="185"/>
      <c r="BZ39" s="14"/>
      <c r="CA39" s="21"/>
      <c r="CB39" s="71" t="s">
        <v>33</v>
      </c>
      <c r="CC39" s="72" t="s">
        <v>34</v>
      </c>
      <c r="CD39" s="72" t="s">
        <v>31</v>
      </c>
      <c r="CE39" s="72" t="s">
        <v>35</v>
      </c>
      <c r="CF39" s="47"/>
      <c r="CH39" s="71" t="s">
        <v>33</v>
      </c>
      <c r="CI39" s="72" t="s">
        <v>34</v>
      </c>
      <c r="CJ39" s="72" t="s">
        <v>31</v>
      </c>
      <c r="CK39" s="72" t="s">
        <v>35</v>
      </c>
      <c r="CL39" s="47"/>
      <c r="CN39" s="71" t="s">
        <v>33</v>
      </c>
      <c r="CO39" s="72" t="s">
        <v>34</v>
      </c>
      <c r="CP39" s="72" t="s">
        <v>31</v>
      </c>
      <c r="CQ39" s="129" t="s">
        <v>35</v>
      </c>
      <c r="CR39" s="185"/>
      <c r="CS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</row>
    <row r="40" spans="1:115" ht="17.25" thickTop="1" thickBot="1" x14ac:dyDescent="0.3">
      <c r="A40" s="190"/>
      <c r="B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U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88"/>
      <c r="AN40" s="179"/>
      <c r="AO40" s="176" t="s">
        <v>36</v>
      </c>
      <c r="AP40" s="73" t="s">
        <v>34</v>
      </c>
      <c r="AQ40" s="135" t="s">
        <v>37</v>
      </c>
      <c r="AR40" s="74" t="s">
        <v>38</v>
      </c>
      <c r="AS40" s="74" t="s">
        <v>38</v>
      </c>
      <c r="AT40" s="47"/>
      <c r="AU40" s="176" t="s">
        <v>36</v>
      </c>
      <c r="AV40" s="73" t="s">
        <v>34</v>
      </c>
      <c r="AW40" s="133" t="s">
        <v>37</v>
      </c>
      <c r="AX40" s="74" t="s">
        <v>38</v>
      </c>
      <c r="AY40" s="74" t="s">
        <v>38</v>
      </c>
      <c r="AZ40" s="47"/>
      <c r="BA40" s="176" t="s">
        <v>36</v>
      </c>
      <c r="BB40" s="73" t="s">
        <v>34</v>
      </c>
      <c r="BC40" s="74" t="s">
        <v>38</v>
      </c>
      <c r="BD40" s="74" t="s">
        <v>38</v>
      </c>
      <c r="BE40" s="74" t="s">
        <v>38</v>
      </c>
      <c r="BF40" s="188"/>
      <c r="BG40" s="173"/>
      <c r="BH40" s="176" t="s">
        <v>36</v>
      </c>
      <c r="BI40" s="73" t="s">
        <v>34</v>
      </c>
      <c r="BJ40" s="135" t="s">
        <v>37</v>
      </c>
      <c r="BK40" s="74" t="s">
        <v>38</v>
      </c>
      <c r="BL40" s="74" t="s">
        <v>38</v>
      </c>
      <c r="BM40" s="47"/>
      <c r="BN40" s="176" t="s">
        <v>36</v>
      </c>
      <c r="BO40" s="73" t="s">
        <v>34</v>
      </c>
      <c r="BP40" s="166" t="s">
        <v>37</v>
      </c>
      <c r="BQ40" s="74" t="s">
        <v>38</v>
      </c>
      <c r="BR40" s="138" t="s">
        <v>39</v>
      </c>
      <c r="BS40" s="47"/>
      <c r="BT40" s="176" t="s">
        <v>36</v>
      </c>
      <c r="BU40" s="73" t="s">
        <v>34</v>
      </c>
      <c r="BV40" s="74" t="s">
        <v>38</v>
      </c>
      <c r="BW40" s="74" t="s">
        <v>38</v>
      </c>
      <c r="BX40" s="74" t="s">
        <v>38</v>
      </c>
      <c r="BY40" s="185"/>
      <c r="BZ40" s="14"/>
      <c r="CA40" s="176" t="s">
        <v>36</v>
      </c>
      <c r="CB40" s="73" t="s">
        <v>34</v>
      </c>
      <c r="CC40" s="135" t="s">
        <v>37</v>
      </c>
      <c r="CD40" s="74" t="s">
        <v>38</v>
      </c>
      <c r="CE40" s="74" t="s">
        <v>38</v>
      </c>
      <c r="CF40" s="47"/>
      <c r="CG40" s="176" t="s">
        <v>36</v>
      </c>
      <c r="CH40" s="73" t="s">
        <v>34</v>
      </c>
      <c r="CI40" s="167" t="s">
        <v>39</v>
      </c>
      <c r="CJ40" s="74" t="s">
        <v>38</v>
      </c>
      <c r="CK40" s="138" t="s">
        <v>39</v>
      </c>
      <c r="CL40" s="47"/>
      <c r="CM40" s="176" t="s">
        <v>36</v>
      </c>
      <c r="CN40" s="73" t="s">
        <v>34</v>
      </c>
      <c r="CO40" s="74" t="s">
        <v>38</v>
      </c>
      <c r="CP40" s="74" t="s">
        <v>38</v>
      </c>
      <c r="CQ40" s="130" t="s">
        <v>38</v>
      </c>
      <c r="CR40" s="185"/>
      <c r="CS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</row>
    <row r="41" spans="1:115" ht="17.25" thickTop="1" thickBot="1" x14ac:dyDescent="0.3">
      <c r="A41" s="190"/>
      <c r="B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U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88"/>
      <c r="AN41" s="179"/>
      <c r="AO41" s="176"/>
      <c r="AP41" s="75" t="s">
        <v>31</v>
      </c>
      <c r="AQ41" s="76" t="s">
        <v>38</v>
      </c>
      <c r="AR41" s="134" t="s">
        <v>39</v>
      </c>
      <c r="AS41" s="76" t="s">
        <v>38</v>
      </c>
      <c r="AT41" s="47"/>
      <c r="AU41" s="176"/>
      <c r="AV41" s="75" t="s">
        <v>31</v>
      </c>
      <c r="AW41" s="76" t="s">
        <v>38</v>
      </c>
      <c r="AX41" s="76" t="s">
        <v>38</v>
      </c>
      <c r="AY41" s="76" t="s">
        <v>38</v>
      </c>
      <c r="AZ41" s="47"/>
      <c r="BA41" s="176"/>
      <c r="BB41" s="75" t="s">
        <v>31</v>
      </c>
      <c r="BC41" s="76" t="s">
        <v>38</v>
      </c>
      <c r="BD41" s="76" t="s">
        <v>38</v>
      </c>
      <c r="BE41" s="76" t="s">
        <v>38</v>
      </c>
      <c r="BF41" s="188"/>
      <c r="BG41" s="173"/>
      <c r="BH41" s="176"/>
      <c r="BI41" s="75" t="s">
        <v>31</v>
      </c>
      <c r="BJ41" s="76" t="s">
        <v>38</v>
      </c>
      <c r="BK41" s="134" t="s">
        <v>39</v>
      </c>
      <c r="BL41" s="76" t="s">
        <v>38</v>
      </c>
      <c r="BM41" s="47"/>
      <c r="BN41" s="176"/>
      <c r="BO41" s="75" t="s">
        <v>31</v>
      </c>
      <c r="BP41" s="76" t="s">
        <v>38</v>
      </c>
      <c r="BQ41" s="76" t="s">
        <v>38</v>
      </c>
      <c r="BR41" s="76" t="s">
        <v>38</v>
      </c>
      <c r="BS41" s="47"/>
      <c r="BT41" s="176"/>
      <c r="BU41" s="75" t="s">
        <v>31</v>
      </c>
      <c r="BV41" s="76" t="s">
        <v>38</v>
      </c>
      <c r="BW41" s="76" t="s">
        <v>38</v>
      </c>
      <c r="BX41" s="76" t="s">
        <v>38</v>
      </c>
      <c r="BY41" s="185"/>
      <c r="BZ41" s="14"/>
      <c r="CA41" s="176"/>
      <c r="CB41" s="75" t="s">
        <v>31</v>
      </c>
      <c r="CC41" s="76" t="s">
        <v>38</v>
      </c>
      <c r="CD41" s="134" t="s">
        <v>39</v>
      </c>
      <c r="CE41" s="76" t="s">
        <v>38</v>
      </c>
      <c r="CF41" s="47"/>
      <c r="CG41" s="176"/>
      <c r="CH41" s="75" t="s">
        <v>31</v>
      </c>
      <c r="CI41" s="76" t="s">
        <v>38</v>
      </c>
      <c r="CJ41" s="76" t="s">
        <v>38</v>
      </c>
      <c r="CK41" s="76" t="s">
        <v>38</v>
      </c>
      <c r="CL41" s="47"/>
      <c r="CM41" s="176"/>
      <c r="CN41" s="75" t="s">
        <v>31</v>
      </c>
      <c r="CO41" s="76" t="s">
        <v>38</v>
      </c>
      <c r="CP41" s="76" t="s">
        <v>38</v>
      </c>
      <c r="CQ41" s="131" t="s">
        <v>38</v>
      </c>
      <c r="CR41" s="185"/>
      <c r="CS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</row>
    <row r="42" spans="1:115" ht="17.25" thickTop="1" thickBot="1" x14ac:dyDescent="0.3">
      <c r="A42" s="190"/>
      <c r="B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U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89"/>
      <c r="AN42" s="180"/>
      <c r="AO42" s="177"/>
      <c r="AP42" s="127" t="s">
        <v>35</v>
      </c>
      <c r="AQ42" s="128" t="s">
        <v>38</v>
      </c>
      <c r="AR42" s="128" t="s">
        <v>38</v>
      </c>
      <c r="AS42" s="128" t="s">
        <v>38</v>
      </c>
      <c r="AT42" s="48"/>
      <c r="AU42" s="177"/>
      <c r="AV42" s="127" t="s">
        <v>35</v>
      </c>
      <c r="AW42" s="128" t="s">
        <v>38</v>
      </c>
      <c r="AX42" s="128" t="s">
        <v>38</v>
      </c>
      <c r="AY42" s="128" t="s">
        <v>38</v>
      </c>
      <c r="AZ42" s="48"/>
      <c r="BA42" s="177"/>
      <c r="BB42" s="127" t="s">
        <v>35</v>
      </c>
      <c r="BC42" s="128" t="s">
        <v>38</v>
      </c>
      <c r="BD42" s="128" t="s">
        <v>38</v>
      </c>
      <c r="BE42" s="128" t="s">
        <v>38</v>
      </c>
      <c r="BF42" s="189"/>
      <c r="BG42" s="174"/>
      <c r="BH42" s="177"/>
      <c r="BI42" s="127" t="s">
        <v>35</v>
      </c>
      <c r="BJ42" s="128" t="s">
        <v>38</v>
      </c>
      <c r="BK42" s="128" t="s">
        <v>38</v>
      </c>
      <c r="BL42" s="128" t="s">
        <v>38</v>
      </c>
      <c r="BM42" s="48"/>
      <c r="BN42" s="177"/>
      <c r="BO42" s="127" t="s">
        <v>35</v>
      </c>
      <c r="BP42" s="136" t="s">
        <v>39</v>
      </c>
      <c r="BQ42" s="128" t="s">
        <v>38</v>
      </c>
      <c r="BR42" s="128" t="s">
        <v>38</v>
      </c>
      <c r="BS42" s="48"/>
      <c r="BT42" s="177"/>
      <c r="BU42" s="127" t="s">
        <v>35</v>
      </c>
      <c r="BV42" s="128" t="s">
        <v>38</v>
      </c>
      <c r="BW42" s="128" t="s">
        <v>38</v>
      </c>
      <c r="BX42" s="128" t="s">
        <v>38</v>
      </c>
      <c r="BY42" s="186"/>
      <c r="BZ42" s="14"/>
      <c r="CA42" s="177"/>
      <c r="CB42" s="127" t="s">
        <v>35</v>
      </c>
      <c r="CC42" s="128" t="s">
        <v>38</v>
      </c>
      <c r="CD42" s="128" t="s">
        <v>38</v>
      </c>
      <c r="CE42" s="128" t="s">
        <v>38</v>
      </c>
      <c r="CF42" s="48"/>
      <c r="CG42" s="177"/>
      <c r="CH42" s="127" t="s">
        <v>35</v>
      </c>
      <c r="CI42" s="136" t="s">
        <v>39</v>
      </c>
      <c r="CJ42" s="128" t="s">
        <v>38</v>
      </c>
      <c r="CK42" s="128" t="s">
        <v>38</v>
      </c>
      <c r="CL42" s="48"/>
      <c r="CM42" s="177"/>
      <c r="CN42" s="127" t="s">
        <v>35</v>
      </c>
      <c r="CO42" s="128" t="s">
        <v>38</v>
      </c>
      <c r="CP42" s="128" t="s">
        <v>38</v>
      </c>
      <c r="CQ42" s="132" t="s">
        <v>38</v>
      </c>
      <c r="CR42" s="186"/>
      <c r="CS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</row>
    <row r="43" spans="1:115" ht="15" customHeight="1" thickBot="1" x14ac:dyDescent="0.3">
      <c r="A43" s="190"/>
      <c r="B43" s="12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U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N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G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Z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S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</row>
    <row r="44" spans="1:115" ht="17.25" customHeight="1" thickTop="1" thickBot="1" x14ac:dyDescent="0.3">
      <c r="A44" s="188"/>
      <c r="B44" s="178" t="s">
        <v>30</v>
      </c>
      <c r="C44" s="20"/>
      <c r="D44" s="11"/>
      <c r="E44" s="175" t="s">
        <v>31</v>
      </c>
      <c r="F44" s="175"/>
      <c r="G44" s="175"/>
      <c r="H44" s="46"/>
      <c r="I44" s="11"/>
      <c r="J44" s="11"/>
      <c r="K44" s="175" t="s">
        <v>31</v>
      </c>
      <c r="L44" s="175"/>
      <c r="M44" s="175"/>
      <c r="N44" s="46"/>
      <c r="O44" s="11"/>
      <c r="P44" s="11"/>
      <c r="Q44" s="175" t="s">
        <v>31</v>
      </c>
      <c r="R44" s="175"/>
      <c r="S44" s="175"/>
      <c r="T44" s="187" t="s">
        <v>65</v>
      </c>
      <c r="U44" s="172" t="s">
        <v>40</v>
      </c>
      <c r="V44" s="20"/>
      <c r="W44" s="11"/>
      <c r="X44" s="175" t="s">
        <v>31</v>
      </c>
      <c r="Y44" s="175"/>
      <c r="Z44" s="175"/>
      <c r="AA44" s="46"/>
      <c r="AB44" s="11"/>
      <c r="AC44" s="11"/>
      <c r="AD44" s="175" t="s">
        <v>31</v>
      </c>
      <c r="AE44" s="175"/>
      <c r="AF44" s="175"/>
      <c r="AG44" s="46"/>
      <c r="AH44" s="11"/>
      <c r="AI44" s="11"/>
      <c r="AJ44" s="175" t="s">
        <v>31</v>
      </c>
      <c r="AK44" s="175"/>
      <c r="AL44" s="175"/>
      <c r="AM44" s="187" t="s">
        <v>63</v>
      </c>
      <c r="AN44" s="172" t="s">
        <v>40</v>
      </c>
      <c r="AO44" s="20"/>
      <c r="AP44" s="11"/>
      <c r="AQ44" s="175" t="s">
        <v>31</v>
      </c>
      <c r="AR44" s="175"/>
      <c r="AS44" s="175"/>
      <c r="AT44" s="46"/>
      <c r="AU44" s="11"/>
      <c r="AV44" s="11"/>
      <c r="AW44" s="175" t="s">
        <v>31</v>
      </c>
      <c r="AX44" s="175"/>
      <c r="AY44" s="175"/>
      <c r="AZ44" s="46"/>
      <c r="BA44" s="11"/>
      <c r="BB44" s="11"/>
      <c r="BC44" s="175" t="s">
        <v>31</v>
      </c>
      <c r="BD44" s="175"/>
      <c r="BE44" s="175"/>
      <c r="BF44" s="187" t="s">
        <v>64</v>
      </c>
      <c r="BG44" s="178" t="s">
        <v>30</v>
      </c>
      <c r="BH44" s="20"/>
      <c r="BI44" s="11"/>
      <c r="BJ44" s="175" t="s">
        <v>31</v>
      </c>
      <c r="BK44" s="175"/>
      <c r="BL44" s="175"/>
      <c r="BM44" s="46"/>
      <c r="BN44" s="11"/>
      <c r="BO44" s="11"/>
      <c r="BP44" s="175" t="s">
        <v>31</v>
      </c>
      <c r="BQ44" s="175"/>
      <c r="BR44" s="175"/>
      <c r="BS44" s="46"/>
      <c r="BT44" s="11"/>
      <c r="BU44" s="11"/>
      <c r="BV44" s="175" t="s">
        <v>31</v>
      </c>
      <c r="BW44" s="175"/>
      <c r="BX44" s="175"/>
      <c r="BY44" s="184" t="s">
        <v>45</v>
      </c>
      <c r="BZ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S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</row>
    <row r="45" spans="1:115" ht="17.25" thickTop="1" thickBot="1" x14ac:dyDescent="0.3">
      <c r="A45" s="188"/>
      <c r="B45" s="179"/>
      <c r="C45" s="21"/>
      <c r="D45" s="16" t="s">
        <v>33</v>
      </c>
      <c r="E45" s="13" t="s">
        <v>34</v>
      </c>
      <c r="F45" s="13" t="s">
        <v>31</v>
      </c>
      <c r="G45" s="13" t="s">
        <v>35</v>
      </c>
      <c r="H45" s="47"/>
      <c r="J45" s="16" t="s">
        <v>33</v>
      </c>
      <c r="K45" s="13" t="s">
        <v>34</v>
      </c>
      <c r="L45" s="13" t="s">
        <v>31</v>
      </c>
      <c r="M45" s="13" t="s">
        <v>35</v>
      </c>
      <c r="N45" s="47"/>
      <c r="P45" s="16" t="s">
        <v>33</v>
      </c>
      <c r="Q45" s="13" t="s">
        <v>34</v>
      </c>
      <c r="R45" s="13" t="s">
        <v>31</v>
      </c>
      <c r="S45" s="13" t="s">
        <v>35</v>
      </c>
      <c r="T45" s="188"/>
      <c r="U45" s="173"/>
      <c r="V45" s="21"/>
      <c r="W45" s="71" t="s">
        <v>33</v>
      </c>
      <c r="X45" s="72" t="s">
        <v>34</v>
      </c>
      <c r="Y45" s="72" t="s">
        <v>31</v>
      </c>
      <c r="Z45" s="72" t="s">
        <v>35</v>
      </c>
      <c r="AA45" s="47"/>
      <c r="AC45" s="71" t="s">
        <v>33</v>
      </c>
      <c r="AD45" s="72" t="s">
        <v>34</v>
      </c>
      <c r="AE45" s="72" t="s">
        <v>31</v>
      </c>
      <c r="AF45" s="72" t="s">
        <v>35</v>
      </c>
      <c r="AG45" s="47"/>
      <c r="AI45" s="71" t="s">
        <v>33</v>
      </c>
      <c r="AJ45" s="72" t="s">
        <v>34</v>
      </c>
      <c r="AK45" s="72" t="s">
        <v>31</v>
      </c>
      <c r="AL45" s="72" t="s">
        <v>35</v>
      </c>
      <c r="AM45" s="188"/>
      <c r="AN45" s="173"/>
      <c r="AO45" s="21"/>
      <c r="AP45" s="71" t="s">
        <v>33</v>
      </c>
      <c r="AQ45" s="72" t="s">
        <v>34</v>
      </c>
      <c r="AR45" s="72" t="s">
        <v>31</v>
      </c>
      <c r="AS45" s="72" t="s">
        <v>35</v>
      </c>
      <c r="AT45" s="47"/>
      <c r="AV45" s="71" t="s">
        <v>33</v>
      </c>
      <c r="AW45" s="72" t="s">
        <v>34</v>
      </c>
      <c r="AX45" s="72" t="s">
        <v>31</v>
      </c>
      <c r="AY45" s="72" t="s">
        <v>35</v>
      </c>
      <c r="AZ45" s="47"/>
      <c r="BB45" s="71" t="s">
        <v>33</v>
      </c>
      <c r="BC45" s="72" t="s">
        <v>34</v>
      </c>
      <c r="BD45" s="72" t="s">
        <v>31</v>
      </c>
      <c r="BE45" s="72" t="s">
        <v>35</v>
      </c>
      <c r="BF45" s="188"/>
      <c r="BG45" s="179"/>
      <c r="BH45" s="21"/>
      <c r="BI45" s="71" t="s">
        <v>33</v>
      </c>
      <c r="BJ45" s="72" t="s">
        <v>34</v>
      </c>
      <c r="BK45" s="72" t="s">
        <v>31</v>
      </c>
      <c r="BL45" s="72" t="s">
        <v>35</v>
      </c>
      <c r="BM45" s="47"/>
      <c r="BO45" s="71" t="s">
        <v>33</v>
      </c>
      <c r="BP45" s="72" t="s">
        <v>34</v>
      </c>
      <c r="BQ45" s="72" t="s">
        <v>31</v>
      </c>
      <c r="BR45" s="72" t="s">
        <v>35</v>
      </c>
      <c r="BS45" s="47"/>
      <c r="BU45" s="71" t="s">
        <v>33</v>
      </c>
      <c r="BV45" s="72" t="s">
        <v>34</v>
      </c>
      <c r="BW45" s="72" t="s">
        <v>31</v>
      </c>
      <c r="BX45" s="129" t="s">
        <v>35</v>
      </c>
      <c r="BY45" s="185"/>
      <c r="BZ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S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</row>
    <row r="46" spans="1:115" ht="17.25" thickTop="1" thickBot="1" x14ac:dyDescent="0.3">
      <c r="A46" s="188"/>
      <c r="B46" s="179"/>
      <c r="C46" s="176" t="s">
        <v>36</v>
      </c>
      <c r="D46" s="13" t="s">
        <v>34</v>
      </c>
      <c r="E46" s="13" t="s">
        <v>38</v>
      </c>
      <c r="F46" s="13" t="s">
        <v>38</v>
      </c>
      <c r="G46" s="13" t="s">
        <v>38</v>
      </c>
      <c r="H46" s="47"/>
      <c r="I46" s="176" t="s">
        <v>36</v>
      </c>
      <c r="J46" s="13" t="s">
        <v>34</v>
      </c>
      <c r="K46" s="13" t="s">
        <v>38</v>
      </c>
      <c r="L46" s="13" t="s">
        <v>38</v>
      </c>
      <c r="M46" s="13" t="s">
        <v>38</v>
      </c>
      <c r="N46" s="47"/>
      <c r="O46" s="176" t="s">
        <v>36</v>
      </c>
      <c r="P46" s="13" t="s">
        <v>34</v>
      </c>
      <c r="Q46" s="13" t="s">
        <v>38</v>
      </c>
      <c r="R46" s="13" t="s">
        <v>38</v>
      </c>
      <c r="S46" s="13" t="s">
        <v>38</v>
      </c>
      <c r="T46" s="188"/>
      <c r="U46" s="173"/>
      <c r="V46" s="176" t="s">
        <v>36</v>
      </c>
      <c r="W46" s="73" t="s">
        <v>34</v>
      </c>
      <c r="X46" s="133" t="s">
        <v>39</v>
      </c>
      <c r="Y46" s="74" t="s">
        <v>38</v>
      </c>
      <c r="Z46" s="74" t="s">
        <v>38</v>
      </c>
      <c r="AA46" s="47"/>
      <c r="AB46" s="176" t="s">
        <v>36</v>
      </c>
      <c r="AC46" s="73" t="s">
        <v>34</v>
      </c>
      <c r="AD46" s="74" t="s">
        <v>38</v>
      </c>
      <c r="AE46" s="74" t="s">
        <v>38</v>
      </c>
      <c r="AF46" s="74" t="s">
        <v>38</v>
      </c>
      <c r="AG46" s="47"/>
      <c r="AH46" s="176" t="s">
        <v>36</v>
      </c>
      <c r="AI46" s="73" t="s">
        <v>34</v>
      </c>
      <c r="AJ46" s="74" t="s">
        <v>38</v>
      </c>
      <c r="AK46" s="74" t="s">
        <v>38</v>
      </c>
      <c r="AL46" s="74" t="s">
        <v>38</v>
      </c>
      <c r="AM46" s="188"/>
      <c r="AN46" s="173"/>
      <c r="AO46" s="176" t="s">
        <v>36</v>
      </c>
      <c r="AP46" s="73" t="s">
        <v>34</v>
      </c>
      <c r="AQ46" s="135" t="s">
        <v>39</v>
      </c>
      <c r="AR46" s="74" t="s">
        <v>38</v>
      </c>
      <c r="AS46" s="133" t="s">
        <v>39</v>
      </c>
      <c r="AT46" s="47"/>
      <c r="AU46" s="176" t="s">
        <v>36</v>
      </c>
      <c r="AV46" s="73" t="s">
        <v>34</v>
      </c>
      <c r="AW46" s="74" t="s">
        <v>38</v>
      </c>
      <c r="AX46" s="74" t="s">
        <v>38</v>
      </c>
      <c r="AY46" s="74" t="s">
        <v>38</v>
      </c>
      <c r="AZ46" s="47"/>
      <c r="BA46" s="176" t="s">
        <v>36</v>
      </c>
      <c r="BB46" s="73" t="s">
        <v>34</v>
      </c>
      <c r="BC46" s="74" t="s">
        <v>38</v>
      </c>
      <c r="BD46" s="74" t="s">
        <v>38</v>
      </c>
      <c r="BE46" s="74" t="s">
        <v>38</v>
      </c>
      <c r="BF46" s="188"/>
      <c r="BG46" s="179"/>
      <c r="BH46" s="176" t="s">
        <v>36</v>
      </c>
      <c r="BI46" s="73" t="s">
        <v>34</v>
      </c>
      <c r="BJ46" s="135" t="s">
        <v>39</v>
      </c>
      <c r="BK46" s="74" t="s">
        <v>38</v>
      </c>
      <c r="BL46" s="135" t="s">
        <v>39</v>
      </c>
      <c r="BM46" s="47"/>
      <c r="BN46" s="176" t="s">
        <v>36</v>
      </c>
      <c r="BO46" s="73" t="s">
        <v>34</v>
      </c>
      <c r="BP46" s="74" t="s">
        <v>38</v>
      </c>
      <c r="BQ46" s="74" t="s">
        <v>38</v>
      </c>
      <c r="BR46" s="74" t="s">
        <v>38</v>
      </c>
      <c r="BS46" s="47"/>
      <c r="BT46" s="176" t="s">
        <v>36</v>
      </c>
      <c r="BU46" s="73" t="s">
        <v>34</v>
      </c>
      <c r="BV46" s="74" t="s">
        <v>38</v>
      </c>
      <c r="BW46" s="74" t="s">
        <v>38</v>
      </c>
      <c r="BX46" s="130" t="s">
        <v>38</v>
      </c>
      <c r="BY46" s="185"/>
      <c r="BZ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S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</row>
    <row r="47" spans="1:115" ht="17.25" thickTop="1" thickBot="1" x14ac:dyDescent="0.3">
      <c r="A47" s="188"/>
      <c r="B47" s="179"/>
      <c r="C47" s="176"/>
      <c r="D47" s="13" t="s">
        <v>31</v>
      </c>
      <c r="E47" s="13" t="s">
        <v>38</v>
      </c>
      <c r="F47" s="69" t="s">
        <v>37</v>
      </c>
      <c r="G47" s="13" t="s">
        <v>38</v>
      </c>
      <c r="H47" s="47"/>
      <c r="I47" s="176"/>
      <c r="J47" s="13" t="s">
        <v>31</v>
      </c>
      <c r="K47" s="13" t="s">
        <v>38</v>
      </c>
      <c r="L47" s="13" t="s">
        <v>38</v>
      </c>
      <c r="M47" s="13" t="s">
        <v>38</v>
      </c>
      <c r="N47" s="47"/>
      <c r="O47" s="176"/>
      <c r="P47" s="13" t="s">
        <v>31</v>
      </c>
      <c r="Q47" s="13" t="s">
        <v>38</v>
      </c>
      <c r="R47" s="13" t="s">
        <v>38</v>
      </c>
      <c r="S47" s="13" t="s">
        <v>38</v>
      </c>
      <c r="T47" s="188"/>
      <c r="U47" s="173"/>
      <c r="V47" s="176"/>
      <c r="W47" s="75" t="s">
        <v>31</v>
      </c>
      <c r="X47" s="76" t="s">
        <v>38</v>
      </c>
      <c r="Y47" s="134" t="s">
        <v>37</v>
      </c>
      <c r="Z47" s="76" t="s">
        <v>38</v>
      </c>
      <c r="AA47" s="47"/>
      <c r="AB47" s="176"/>
      <c r="AC47" s="75" t="s">
        <v>31</v>
      </c>
      <c r="AD47" s="76" t="s">
        <v>38</v>
      </c>
      <c r="AE47" s="76" t="s">
        <v>38</v>
      </c>
      <c r="AF47" s="76" t="s">
        <v>38</v>
      </c>
      <c r="AG47" s="47"/>
      <c r="AH47" s="176"/>
      <c r="AI47" s="75" t="s">
        <v>31</v>
      </c>
      <c r="AJ47" s="76" t="s">
        <v>38</v>
      </c>
      <c r="AK47" s="76" t="s">
        <v>38</v>
      </c>
      <c r="AL47" s="76" t="s">
        <v>38</v>
      </c>
      <c r="AM47" s="188"/>
      <c r="AN47" s="173"/>
      <c r="AO47" s="176"/>
      <c r="AP47" s="75" t="s">
        <v>31</v>
      </c>
      <c r="AQ47" s="76" t="s">
        <v>38</v>
      </c>
      <c r="AR47" s="134" t="s">
        <v>37</v>
      </c>
      <c r="AS47" s="76" t="s">
        <v>38</v>
      </c>
      <c r="AT47" s="47"/>
      <c r="AU47" s="176"/>
      <c r="AV47" s="75" t="s">
        <v>31</v>
      </c>
      <c r="AW47" s="76" t="s">
        <v>38</v>
      </c>
      <c r="AX47" s="76" t="s">
        <v>38</v>
      </c>
      <c r="AY47" s="76" t="s">
        <v>38</v>
      </c>
      <c r="AZ47" s="47"/>
      <c r="BA47" s="176"/>
      <c r="BB47" s="75" t="s">
        <v>31</v>
      </c>
      <c r="BC47" s="76" t="s">
        <v>38</v>
      </c>
      <c r="BD47" s="76" t="s">
        <v>38</v>
      </c>
      <c r="BE47" s="76" t="s">
        <v>38</v>
      </c>
      <c r="BF47" s="188"/>
      <c r="BG47" s="179"/>
      <c r="BH47" s="176"/>
      <c r="BI47" s="75" t="s">
        <v>31</v>
      </c>
      <c r="BJ47" s="76" t="s">
        <v>38</v>
      </c>
      <c r="BK47" s="134" t="s">
        <v>37</v>
      </c>
      <c r="BL47" s="76" t="s">
        <v>38</v>
      </c>
      <c r="BM47" s="47"/>
      <c r="BN47" s="176"/>
      <c r="BO47" s="75" t="s">
        <v>31</v>
      </c>
      <c r="BP47" s="76" t="s">
        <v>38</v>
      </c>
      <c r="BQ47" s="76" t="s">
        <v>38</v>
      </c>
      <c r="BR47" s="76" t="s">
        <v>38</v>
      </c>
      <c r="BS47" s="47"/>
      <c r="BT47" s="176"/>
      <c r="BU47" s="75" t="s">
        <v>31</v>
      </c>
      <c r="BV47" s="76" t="s">
        <v>38</v>
      </c>
      <c r="BW47" s="76" t="s">
        <v>38</v>
      </c>
      <c r="BX47" s="131" t="s">
        <v>38</v>
      </c>
      <c r="BY47" s="185"/>
      <c r="BZ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S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</row>
    <row r="48" spans="1:115" ht="17.25" thickTop="1" thickBot="1" x14ac:dyDescent="0.3">
      <c r="A48" s="189"/>
      <c r="B48" s="180"/>
      <c r="C48" s="177"/>
      <c r="D48" s="13" t="s">
        <v>35</v>
      </c>
      <c r="E48" s="13" t="s">
        <v>38</v>
      </c>
      <c r="F48" s="13" t="s">
        <v>38</v>
      </c>
      <c r="G48" s="13" t="s">
        <v>38</v>
      </c>
      <c r="H48" s="48"/>
      <c r="I48" s="177"/>
      <c r="J48" s="13" t="s">
        <v>35</v>
      </c>
      <c r="K48" s="13" t="s">
        <v>38</v>
      </c>
      <c r="L48" s="13" t="s">
        <v>38</v>
      </c>
      <c r="M48" s="13" t="s">
        <v>38</v>
      </c>
      <c r="N48" s="48"/>
      <c r="O48" s="177"/>
      <c r="P48" s="13" t="s">
        <v>35</v>
      </c>
      <c r="Q48" s="13" t="s">
        <v>38</v>
      </c>
      <c r="R48" s="13" t="s">
        <v>38</v>
      </c>
      <c r="S48" s="13" t="s">
        <v>38</v>
      </c>
      <c r="T48" s="188"/>
      <c r="U48" s="174"/>
      <c r="V48" s="177"/>
      <c r="W48" s="127" t="s">
        <v>35</v>
      </c>
      <c r="X48" s="128" t="s">
        <v>38</v>
      </c>
      <c r="Y48" s="128" t="s">
        <v>38</v>
      </c>
      <c r="Z48" s="128" t="s">
        <v>38</v>
      </c>
      <c r="AA48" s="48"/>
      <c r="AB48" s="177"/>
      <c r="AC48" s="127" t="s">
        <v>35</v>
      </c>
      <c r="AD48" s="128" t="s">
        <v>38</v>
      </c>
      <c r="AE48" s="128" t="s">
        <v>38</v>
      </c>
      <c r="AF48" s="128" t="s">
        <v>38</v>
      </c>
      <c r="AG48" s="48"/>
      <c r="AH48" s="177"/>
      <c r="AI48" s="127" t="s">
        <v>35</v>
      </c>
      <c r="AJ48" s="128" t="s">
        <v>38</v>
      </c>
      <c r="AK48" s="128" t="s">
        <v>38</v>
      </c>
      <c r="AL48" s="128" t="s">
        <v>38</v>
      </c>
      <c r="AM48" s="188"/>
      <c r="AN48" s="174"/>
      <c r="AO48" s="177"/>
      <c r="AP48" s="127" t="s">
        <v>35</v>
      </c>
      <c r="AQ48" s="128" t="s">
        <v>38</v>
      </c>
      <c r="AR48" s="128" t="s">
        <v>38</v>
      </c>
      <c r="AS48" s="128" t="s">
        <v>38</v>
      </c>
      <c r="AT48" s="48"/>
      <c r="AU48" s="177"/>
      <c r="AV48" s="127" t="s">
        <v>35</v>
      </c>
      <c r="AW48" s="128" t="s">
        <v>38</v>
      </c>
      <c r="AX48" s="128" t="s">
        <v>38</v>
      </c>
      <c r="AY48" s="128" t="s">
        <v>38</v>
      </c>
      <c r="AZ48" s="48"/>
      <c r="BA48" s="177"/>
      <c r="BB48" s="127" t="s">
        <v>35</v>
      </c>
      <c r="BC48" s="128" t="s">
        <v>38</v>
      </c>
      <c r="BD48" s="128" t="s">
        <v>38</v>
      </c>
      <c r="BE48" s="128" t="s">
        <v>38</v>
      </c>
      <c r="BF48" s="189"/>
      <c r="BG48" s="180"/>
      <c r="BH48" s="177"/>
      <c r="BI48" s="127" t="s">
        <v>35</v>
      </c>
      <c r="BJ48" s="136" t="s">
        <v>37</v>
      </c>
      <c r="BK48" s="128" t="s">
        <v>38</v>
      </c>
      <c r="BL48" s="128" t="s">
        <v>38</v>
      </c>
      <c r="BM48" s="48"/>
      <c r="BN48" s="177"/>
      <c r="BO48" s="127" t="s">
        <v>35</v>
      </c>
      <c r="BP48" s="128" t="s">
        <v>38</v>
      </c>
      <c r="BQ48" s="128" t="s">
        <v>38</v>
      </c>
      <c r="BR48" s="128" t="s">
        <v>38</v>
      </c>
      <c r="BS48" s="48"/>
      <c r="BT48" s="177"/>
      <c r="BU48" s="127" t="s">
        <v>35</v>
      </c>
      <c r="BV48" s="128" t="s">
        <v>38</v>
      </c>
      <c r="BW48" s="128" t="s">
        <v>38</v>
      </c>
      <c r="BX48" s="132" t="s">
        <v>38</v>
      </c>
      <c r="BY48" s="203"/>
      <c r="BZ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S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</row>
    <row r="49" spans="1:115" ht="15" customHeight="1" thickBot="1" x14ac:dyDescent="0.3">
      <c r="A49" s="14"/>
      <c r="B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90"/>
      <c r="U49" s="122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90"/>
      <c r="AN49" s="137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G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Z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S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</row>
    <row r="50" spans="1:115" ht="17.25" customHeight="1" thickTop="1" thickBot="1" x14ac:dyDescent="0.3">
      <c r="A50" s="14"/>
      <c r="B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90"/>
      <c r="U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88"/>
      <c r="AN50" s="178" t="s">
        <v>30</v>
      </c>
      <c r="AO50" s="20"/>
      <c r="AP50" s="11"/>
      <c r="AQ50" s="175" t="s">
        <v>31</v>
      </c>
      <c r="AR50" s="175"/>
      <c r="AS50" s="175"/>
      <c r="AT50" s="46"/>
      <c r="AU50" s="11"/>
      <c r="AV50" s="11"/>
      <c r="AW50" s="175" t="s">
        <v>31</v>
      </c>
      <c r="AX50" s="175"/>
      <c r="AY50" s="175"/>
      <c r="AZ50" s="46"/>
      <c r="BA50" s="11"/>
      <c r="BB50" s="11"/>
      <c r="BC50" s="175" t="s">
        <v>31</v>
      </c>
      <c r="BD50" s="175"/>
      <c r="BE50" s="175"/>
      <c r="BF50" s="187" t="s">
        <v>64</v>
      </c>
      <c r="BG50" s="172" t="s">
        <v>40</v>
      </c>
      <c r="BH50" s="20"/>
      <c r="BI50" s="11"/>
      <c r="BJ50" s="175" t="s">
        <v>31</v>
      </c>
      <c r="BK50" s="175"/>
      <c r="BL50" s="175"/>
      <c r="BM50" s="46"/>
      <c r="BN50" s="11"/>
      <c r="BO50" s="11"/>
      <c r="BP50" s="175" t="s">
        <v>31</v>
      </c>
      <c r="BQ50" s="175"/>
      <c r="BR50" s="175"/>
      <c r="BS50" s="46"/>
      <c r="BT50" s="11"/>
      <c r="BU50" s="11"/>
      <c r="BV50" s="175" t="s">
        <v>31</v>
      </c>
      <c r="BW50" s="175"/>
      <c r="BX50" s="175"/>
      <c r="BY50" s="184" t="s">
        <v>73</v>
      </c>
      <c r="BZ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S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</row>
    <row r="51" spans="1:115" ht="17.25" thickTop="1" thickBot="1" x14ac:dyDescent="0.3">
      <c r="A51" s="14"/>
      <c r="B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90"/>
      <c r="U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88"/>
      <c r="AN51" s="179"/>
      <c r="AO51" s="21"/>
      <c r="AP51" s="71" t="s">
        <v>33</v>
      </c>
      <c r="AQ51" s="72" t="s">
        <v>34</v>
      </c>
      <c r="AR51" s="72" t="s">
        <v>31</v>
      </c>
      <c r="AS51" s="72" t="s">
        <v>35</v>
      </c>
      <c r="AT51" s="47"/>
      <c r="AV51" s="71" t="s">
        <v>33</v>
      </c>
      <c r="AW51" s="72" t="s">
        <v>34</v>
      </c>
      <c r="AX51" s="72" t="s">
        <v>31</v>
      </c>
      <c r="AY51" s="72" t="s">
        <v>35</v>
      </c>
      <c r="AZ51" s="47"/>
      <c r="BB51" s="71" t="s">
        <v>33</v>
      </c>
      <c r="BC51" s="72" t="s">
        <v>34</v>
      </c>
      <c r="BD51" s="72" t="s">
        <v>31</v>
      </c>
      <c r="BE51" s="72" t="s">
        <v>35</v>
      </c>
      <c r="BF51" s="188"/>
      <c r="BG51" s="173"/>
      <c r="BH51" s="21"/>
      <c r="BI51" s="71" t="s">
        <v>33</v>
      </c>
      <c r="BJ51" s="72" t="s">
        <v>34</v>
      </c>
      <c r="BK51" s="72" t="s">
        <v>31</v>
      </c>
      <c r="BL51" s="72" t="s">
        <v>35</v>
      </c>
      <c r="BM51" s="47"/>
      <c r="BO51" s="71" t="s">
        <v>33</v>
      </c>
      <c r="BP51" s="72" t="s">
        <v>34</v>
      </c>
      <c r="BQ51" s="72" t="s">
        <v>31</v>
      </c>
      <c r="BR51" s="72" t="s">
        <v>35</v>
      </c>
      <c r="BS51" s="47"/>
      <c r="BU51" s="71" t="s">
        <v>33</v>
      </c>
      <c r="BV51" s="72" t="s">
        <v>34</v>
      </c>
      <c r="BW51" s="72" t="s">
        <v>31</v>
      </c>
      <c r="BX51" s="129" t="s">
        <v>35</v>
      </c>
      <c r="BY51" s="185"/>
      <c r="BZ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S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</row>
    <row r="52" spans="1:115" ht="17.25" thickTop="1" thickBot="1" x14ac:dyDescent="0.3">
      <c r="A52" s="14"/>
      <c r="B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90"/>
      <c r="U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88"/>
      <c r="AN52" s="179"/>
      <c r="AO52" s="176" t="s">
        <v>36</v>
      </c>
      <c r="AP52" s="73" t="s">
        <v>34</v>
      </c>
      <c r="AQ52" s="135" t="s">
        <v>39</v>
      </c>
      <c r="AR52" s="74" t="s">
        <v>38</v>
      </c>
      <c r="AS52" s="133" t="s">
        <v>37</v>
      </c>
      <c r="AT52" s="47"/>
      <c r="AU52" s="176" t="s">
        <v>36</v>
      </c>
      <c r="AV52" s="73" t="s">
        <v>34</v>
      </c>
      <c r="AW52" s="74" t="s">
        <v>38</v>
      </c>
      <c r="AX52" s="74" t="s">
        <v>38</v>
      </c>
      <c r="AY52" s="74" t="s">
        <v>38</v>
      </c>
      <c r="AZ52" s="47"/>
      <c r="BA52" s="176" t="s">
        <v>36</v>
      </c>
      <c r="BB52" s="73" t="s">
        <v>34</v>
      </c>
      <c r="BC52" s="74" t="s">
        <v>38</v>
      </c>
      <c r="BD52" s="74" t="s">
        <v>38</v>
      </c>
      <c r="BE52" s="74" t="s">
        <v>38</v>
      </c>
      <c r="BF52" s="188"/>
      <c r="BG52" s="173"/>
      <c r="BH52" s="176" t="s">
        <v>36</v>
      </c>
      <c r="BI52" s="73" t="s">
        <v>34</v>
      </c>
      <c r="BJ52" s="135" t="s">
        <v>39</v>
      </c>
      <c r="BK52" s="74" t="s">
        <v>38</v>
      </c>
      <c r="BL52" s="135" t="s">
        <v>37</v>
      </c>
      <c r="BM52" s="47"/>
      <c r="BN52" s="176" t="s">
        <v>36</v>
      </c>
      <c r="BO52" s="73" t="s">
        <v>34</v>
      </c>
      <c r="BP52" s="74" t="s">
        <v>38</v>
      </c>
      <c r="BQ52" s="74" t="s">
        <v>38</v>
      </c>
      <c r="BR52" s="74" t="s">
        <v>38</v>
      </c>
      <c r="BS52" s="47"/>
      <c r="BT52" s="176" t="s">
        <v>36</v>
      </c>
      <c r="BU52" s="73" t="s">
        <v>34</v>
      </c>
      <c r="BV52" s="74" t="s">
        <v>38</v>
      </c>
      <c r="BW52" s="74" t="s">
        <v>38</v>
      </c>
      <c r="BX52" s="130" t="s">
        <v>38</v>
      </c>
      <c r="BY52" s="185"/>
      <c r="BZ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S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</row>
    <row r="53" spans="1:115" ht="17.25" thickTop="1" thickBot="1" x14ac:dyDescent="0.3">
      <c r="A53" s="14"/>
      <c r="B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90"/>
      <c r="U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88"/>
      <c r="AN53" s="179"/>
      <c r="AO53" s="176"/>
      <c r="AP53" s="75" t="s">
        <v>31</v>
      </c>
      <c r="AQ53" s="76" t="s">
        <v>38</v>
      </c>
      <c r="AR53" s="134" t="s">
        <v>37</v>
      </c>
      <c r="AS53" s="76" t="s">
        <v>38</v>
      </c>
      <c r="AT53" s="47"/>
      <c r="AU53" s="176"/>
      <c r="AV53" s="75" t="s">
        <v>31</v>
      </c>
      <c r="AW53" s="76" t="s">
        <v>38</v>
      </c>
      <c r="AX53" s="76" t="s">
        <v>38</v>
      </c>
      <c r="AY53" s="76" t="s">
        <v>38</v>
      </c>
      <c r="AZ53" s="47"/>
      <c r="BA53" s="176"/>
      <c r="BB53" s="75" t="s">
        <v>31</v>
      </c>
      <c r="BC53" s="76" t="s">
        <v>38</v>
      </c>
      <c r="BD53" s="76" t="s">
        <v>38</v>
      </c>
      <c r="BE53" s="76" t="s">
        <v>38</v>
      </c>
      <c r="BF53" s="188"/>
      <c r="BG53" s="173"/>
      <c r="BH53" s="176"/>
      <c r="BI53" s="75" t="s">
        <v>31</v>
      </c>
      <c r="BJ53" s="76" t="s">
        <v>38</v>
      </c>
      <c r="BK53" s="134" t="s">
        <v>37</v>
      </c>
      <c r="BL53" s="76" t="s">
        <v>38</v>
      </c>
      <c r="BM53" s="47"/>
      <c r="BN53" s="176"/>
      <c r="BO53" s="75" t="s">
        <v>31</v>
      </c>
      <c r="BP53" s="76" t="s">
        <v>38</v>
      </c>
      <c r="BQ53" s="76" t="s">
        <v>38</v>
      </c>
      <c r="BR53" s="76" t="s">
        <v>38</v>
      </c>
      <c r="BS53" s="47"/>
      <c r="BT53" s="176"/>
      <c r="BU53" s="75" t="s">
        <v>31</v>
      </c>
      <c r="BV53" s="76" t="s">
        <v>38</v>
      </c>
      <c r="BW53" s="76" t="s">
        <v>38</v>
      </c>
      <c r="BX53" s="131" t="s">
        <v>38</v>
      </c>
      <c r="BY53" s="185"/>
      <c r="BZ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S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</row>
    <row r="54" spans="1:115" ht="17.25" thickTop="1" thickBot="1" x14ac:dyDescent="0.3">
      <c r="A54" s="14"/>
      <c r="B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90"/>
      <c r="U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89"/>
      <c r="AN54" s="180"/>
      <c r="AO54" s="177"/>
      <c r="AP54" s="127" t="s">
        <v>35</v>
      </c>
      <c r="AQ54" s="128" t="s">
        <v>38</v>
      </c>
      <c r="AR54" s="128" t="s">
        <v>38</v>
      </c>
      <c r="AS54" s="128" t="s">
        <v>38</v>
      </c>
      <c r="AT54" s="48"/>
      <c r="AU54" s="177"/>
      <c r="AV54" s="127" t="s">
        <v>35</v>
      </c>
      <c r="AW54" s="128" t="s">
        <v>38</v>
      </c>
      <c r="AX54" s="128" t="s">
        <v>38</v>
      </c>
      <c r="AY54" s="128" t="s">
        <v>38</v>
      </c>
      <c r="AZ54" s="48"/>
      <c r="BA54" s="177"/>
      <c r="BB54" s="127" t="s">
        <v>35</v>
      </c>
      <c r="BC54" s="128" t="s">
        <v>38</v>
      </c>
      <c r="BD54" s="128" t="s">
        <v>38</v>
      </c>
      <c r="BE54" s="128" t="s">
        <v>38</v>
      </c>
      <c r="BF54" s="189"/>
      <c r="BG54" s="174"/>
      <c r="BH54" s="177"/>
      <c r="BI54" s="127" t="s">
        <v>35</v>
      </c>
      <c r="BJ54" s="136" t="s">
        <v>39</v>
      </c>
      <c r="BK54" s="128" t="s">
        <v>38</v>
      </c>
      <c r="BL54" s="128" t="s">
        <v>38</v>
      </c>
      <c r="BM54" s="48"/>
      <c r="BN54" s="177"/>
      <c r="BO54" s="127" t="s">
        <v>35</v>
      </c>
      <c r="BP54" s="128" t="s">
        <v>38</v>
      </c>
      <c r="BQ54" s="128" t="s">
        <v>38</v>
      </c>
      <c r="BR54" s="128" t="s">
        <v>38</v>
      </c>
      <c r="BS54" s="48"/>
      <c r="BT54" s="177"/>
      <c r="BU54" s="127" t="s">
        <v>35</v>
      </c>
      <c r="BV54" s="128" t="s">
        <v>38</v>
      </c>
      <c r="BW54" s="128" t="s">
        <v>38</v>
      </c>
      <c r="BX54" s="132" t="s">
        <v>38</v>
      </c>
      <c r="BY54" s="203"/>
      <c r="BZ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S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</row>
    <row r="55" spans="1:115" ht="15" customHeight="1" thickBot="1" x14ac:dyDescent="0.3">
      <c r="A55" s="14"/>
      <c r="B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90"/>
      <c r="U55" s="12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N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G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Z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S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</row>
    <row r="56" spans="1:115" ht="17.25" customHeight="1" thickTop="1" thickBot="1" x14ac:dyDescent="0.3">
      <c r="A56" s="14"/>
      <c r="B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88"/>
      <c r="U56" s="178" t="s">
        <v>30</v>
      </c>
      <c r="V56" s="20"/>
      <c r="W56" s="11"/>
      <c r="X56" s="175" t="s">
        <v>31</v>
      </c>
      <c r="Y56" s="175"/>
      <c r="Z56" s="175"/>
      <c r="AA56" s="46"/>
      <c r="AB56" s="11"/>
      <c r="AC56" s="11"/>
      <c r="AD56" s="175" t="s">
        <v>31</v>
      </c>
      <c r="AE56" s="175"/>
      <c r="AF56" s="175"/>
      <c r="AG56" s="46"/>
      <c r="AH56" s="11"/>
      <c r="AI56" s="11"/>
      <c r="AJ56" s="175" t="s">
        <v>31</v>
      </c>
      <c r="AK56" s="175"/>
      <c r="AL56" s="175"/>
      <c r="AM56" s="187" t="s">
        <v>68</v>
      </c>
      <c r="AN56" s="172" t="s">
        <v>40</v>
      </c>
      <c r="AO56" s="20"/>
      <c r="AP56" s="11"/>
      <c r="AQ56" s="175" t="s">
        <v>31</v>
      </c>
      <c r="AR56" s="175"/>
      <c r="AS56" s="175"/>
      <c r="AT56" s="46"/>
      <c r="AU56" s="11"/>
      <c r="AV56" s="11"/>
      <c r="AW56" s="175" t="s">
        <v>31</v>
      </c>
      <c r="AX56" s="175"/>
      <c r="AY56" s="175"/>
      <c r="AZ56" s="46"/>
      <c r="BA56" s="11"/>
      <c r="BB56" s="11"/>
      <c r="BC56" s="175" t="s">
        <v>31</v>
      </c>
      <c r="BD56" s="175"/>
      <c r="BE56" s="175"/>
      <c r="BF56" s="187" t="s">
        <v>71</v>
      </c>
      <c r="BG56" s="172" t="s">
        <v>40</v>
      </c>
      <c r="BH56" s="20"/>
      <c r="BI56" s="11"/>
      <c r="BJ56" s="175" t="s">
        <v>31</v>
      </c>
      <c r="BK56" s="175"/>
      <c r="BL56" s="175"/>
      <c r="BM56" s="46"/>
      <c r="BN56" s="11"/>
      <c r="BO56" s="11"/>
      <c r="BP56" s="175" t="s">
        <v>31</v>
      </c>
      <c r="BQ56" s="175"/>
      <c r="BR56" s="175"/>
      <c r="BS56" s="46"/>
      <c r="BT56" s="11"/>
      <c r="BU56" s="11"/>
      <c r="BV56" s="175" t="s">
        <v>31</v>
      </c>
      <c r="BW56" s="175"/>
      <c r="BX56" s="175"/>
      <c r="BY56" s="187" t="s">
        <v>76</v>
      </c>
      <c r="BZ56" s="178" t="s">
        <v>30</v>
      </c>
      <c r="CA56" s="20"/>
      <c r="CB56" s="11"/>
      <c r="CC56" s="175" t="s">
        <v>31</v>
      </c>
      <c r="CD56" s="175"/>
      <c r="CE56" s="175"/>
      <c r="CF56" s="46"/>
      <c r="CG56" s="11"/>
      <c r="CH56" s="11"/>
      <c r="CI56" s="175" t="s">
        <v>31</v>
      </c>
      <c r="CJ56" s="175"/>
      <c r="CK56" s="175"/>
      <c r="CL56" s="46"/>
      <c r="CM56" s="11"/>
      <c r="CN56" s="11"/>
      <c r="CO56" s="175" t="s">
        <v>31</v>
      </c>
      <c r="CP56" s="175"/>
      <c r="CQ56" s="175"/>
      <c r="CR56" s="169" t="s">
        <v>87</v>
      </c>
      <c r="CS56" s="172" t="s">
        <v>40</v>
      </c>
      <c r="CT56" s="20"/>
      <c r="CU56" s="11"/>
      <c r="CV56" s="175" t="s">
        <v>31</v>
      </c>
      <c r="CW56" s="175"/>
      <c r="CX56" s="175"/>
      <c r="CY56" s="46"/>
      <c r="CZ56" s="11"/>
      <c r="DA56" s="11"/>
      <c r="DB56" s="175" t="s">
        <v>31</v>
      </c>
      <c r="DC56" s="175"/>
      <c r="DD56" s="175"/>
      <c r="DE56" s="46"/>
      <c r="DF56" s="11"/>
      <c r="DG56" s="11"/>
      <c r="DH56" s="175" t="s">
        <v>31</v>
      </c>
      <c r="DI56" s="175"/>
      <c r="DJ56" s="175"/>
      <c r="DK56" s="184" t="s">
        <v>42</v>
      </c>
    </row>
    <row r="57" spans="1:115" ht="17.25" thickTop="1" thickBot="1" x14ac:dyDescent="0.3">
      <c r="A57" s="14"/>
      <c r="B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88"/>
      <c r="U57" s="179"/>
      <c r="V57" s="21"/>
      <c r="W57" s="71" t="s">
        <v>33</v>
      </c>
      <c r="X57" s="72" t="s">
        <v>34</v>
      </c>
      <c r="Y57" s="72" t="s">
        <v>31</v>
      </c>
      <c r="Z57" s="72" t="s">
        <v>35</v>
      </c>
      <c r="AA57" s="47"/>
      <c r="AC57" s="71" t="s">
        <v>33</v>
      </c>
      <c r="AD57" s="72" t="s">
        <v>34</v>
      </c>
      <c r="AE57" s="72" t="s">
        <v>31</v>
      </c>
      <c r="AF57" s="72" t="s">
        <v>35</v>
      </c>
      <c r="AG57" s="47"/>
      <c r="AI57" s="71" t="s">
        <v>33</v>
      </c>
      <c r="AJ57" s="72" t="s">
        <v>34</v>
      </c>
      <c r="AK57" s="72" t="s">
        <v>31</v>
      </c>
      <c r="AL57" s="72" t="s">
        <v>35</v>
      </c>
      <c r="AM57" s="188"/>
      <c r="AN57" s="173"/>
      <c r="AO57" s="21"/>
      <c r="AP57" s="71" t="s">
        <v>33</v>
      </c>
      <c r="AQ57" s="72" t="s">
        <v>34</v>
      </c>
      <c r="AR57" s="72" t="s">
        <v>31</v>
      </c>
      <c r="AS57" s="72" t="s">
        <v>35</v>
      </c>
      <c r="AT57" s="47"/>
      <c r="AV57" s="71" t="s">
        <v>33</v>
      </c>
      <c r="AW57" s="72" t="s">
        <v>34</v>
      </c>
      <c r="AX57" s="72" t="s">
        <v>31</v>
      </c>
      <c r="AY57" s="72" t="s">
        <v>35</v>
      </c>
      <c r="AZ57" s="47"/>
      <c r="BB57" s="71" t="s">
        <v>33</v>
      </c>
      <c r="BC57" s="72" t="s">
        <v>34</v>
      </c>
      <c r="BD57" s="72" t="s">
        <v>31</v>
      </c>
      <c r="BE57" s="72" t="s">
        <v>35</v>
      </c>
      <c r="BF57" s="188"/>
      <c r="BG57" s="173"/>
      <c r="BH57" s="21"/>
      <c r="BI57" s="71" t="s">
        <v>33</v>
      </c>
      <c r="BJ57" s="72" t="s">
        <v>34</v>
      </c>
      <c r="BK57" s="72" t="s">
        <v>31</v>
      </c>
      <c r="BL57" s="72" t="s">
        <v>35</v>
      </c>
      <c r="BM57" s="47"/>
      <c r="BO57" s="71" t="s">
        <v>33</v>
      </c>
      <c r="BP57" s="72" t="s">
        <v>34</v>
      </c>
      <c r="BQ57" s="72" t="s">
        <v>31</v>
      </c>
      <c r="BR57" s="72" t="s">
        <v>35</v>
      </c>
      <c r="BS57" s="47"/>
      <c r="BU57" s="71" t="s">
        <v>33</v>
      </c>
      <c r="BV57" s="72" t="s">
        <v>34</v>
      </c>
      <c r="BW57" s="72" t="s">
        <v>31</v>
      </c>
      <c r="BX57" s="72" t="s">
        <v>35</v>
      </c>
      <c r="BY57" s="188"/>
      <c r="BZ57" s="179"/>
      <c r="CA57" s="21"/>
      <c r="CB57" s="71" t="s">
        <v>33</v>
      </c>
      <c r="CC57" s="72" t="s">
        <v>34</v>
      </c>
      <c r="CD57" s="72" t="s">
        <v>31</v>
      </c>
      <c r="CE57" s="72" t="s">
        <v>35</v>
      </c>
      <c r="CF57" s="47"/>
      <c r="CH57" s="71" t="s">
        <v>33</v>
      </c>
      <c r="CI57" s="72" t="s">
        <v>34</v>
      </c>
      <c r="CJ57" s="72" t="s">
        <v>31</v>
      </c>
      <c r="CK57" s="72" t="s">
        <v>35</v>
      </c>
      <c r="CL57" s="47"/>
      <c r="CN57" s="71" t="s">
        <v>33</v>
      </c>
      <c r="CO57" s="72" t="s">
        <v>34</v>
      </c>
      <c r="CP57" s="72" t="s">
        <v>31</v>
      </c>
      <c r="CQ57" s="72" t="s">
        <v>35</v>
      </c>
      <c r="CR57" s="170"/>
      <c r="CS57" s="173"/>
      <c r="CT57" s="21"/>
      <c r="CU57" s="71" t="s">
        <v>33</v>
      </c>
      <c r="CV57" s="72" t="s">
        <v>34</v>
      </c>
      <c r="CW57" s="72" t="s">
        <v>31</v>
      </c>
      <c r="CX57" s="72" t="s">
        <v>35</v>
      </c>
      <c r="CY57" s="47"/>
      <c r="DA57" s="71" t="s">
        <v>33</v>
      </c>
      <c r="DB57" s="72" t="s">
        <v>34</v>
      </c>
      <c r="DC57" s="72" t="s">
        <v>31</v>
      </c>
      <c r="DD57" s="72" t="s">
        <v>35</v>
      </c>
      <c r="DE57" s="47"/>
      <c r="DG57" s="71" t="s">
        <v>33</v>
      </c>
      <c r="DH57" s="72" t="s">
        <v>34</v>
      </c>
      <c r="DI57" s="72" t="s">
        <v>31</v>
      </c>
      <c r="DJ57" s="72" t="s">
        <v>35</v>
      </c>
      <c r="DK57" s="185"/>
    </row>
    <row r="58" spans="1:115" ht="17.25" thickTop="1" thickBot="1" x14ac:dyDescent="0.3">
      <c r="A58" s="14"/>
      <c r="B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88"/>
      <c r="U58" s="179"/>
      <c r="V58" s="176" t="s">
        <v>36</v>
      </c>
      <c r="W58" s="73" t="s">
        <v>34</v>
      </c>
      <c r="X58" s="133" t="s">
        <v>37</v>
      </c>
      <c r="Y58" s="74" t="s">
        <v>38</v>
      </c>
      <c r="Z58" s="74" t="s">
        <v>38</v>
      </c>
      <c r="AA58" s="47"/>
      <c r="AB58" s="176" t="s">
        <v>36</v>
      </c>
      <c r="AC58" s="73" t="s">
        <v>34</v>
      </c>
      <c r="AD58" s="74" t="s">
        <v>38</v>
      </c>
      <c r="AE58" s="74" t="s">
        <v>38</v>
      </c>
      <c r="AF58" s="74" t="s">
        <v>38</v>
      </c>
      <c r="AG58" s="47"/>
      <c r="AH58" s="176" t="s">
        <v>36</v>
      </c>
      <c r="AI58" s="73" t="s">
        <v>34</v>
      </c>
      <c r="AJ58" s="74" t="s">
        <v>38</v>
      </c>
      <c r="AK58" s="74" t="s">
        <v>38</v>
      </c>
      <c r="AL58" s="74" t="s">
        <v>38</v>
      </c>
      <c r="AM58" s="188"/>
      <c r="AN58" s="173"/>
      <c r="AO58" s="176" t="s">
        <v>36</v>
      </c>
      <c r="AP58" s="73" t="s">
        <v>34</v>
      </c>
      <c r="AQ58" s="135" t="s">
        <v>37</v>
      </c>
      <c r="AR58" s="74" t="s">
        <v>38</v>
      </c>
      <c r="AS58" s="74" t="s">
        <v>38</v>
      </c>
      <c r="AT58" s="47"/>
      <c r="AU58" s="176" t="s">
        <v>36</v>
      </c>
      <c r="AV58" s="73" t="s">
        <v>34</v>
      </c>
      <c r="AW58" s="133" t="s">
        <v>39</v>
      </c>
      <c r="AX58" s="74" t="s">
        <v>38</v>
      </c>
      <c r="AY58" s="74" t="s">
        <v>38</v>
      </c>
      <c r="AZ58" s="47"/>
      <c r="BA58" s="176" t="s">
        <v>36</v>
      </c>
      <c r="BB58" s="73" t="s">
        <v>34</v>
      </c>
      <c r="BC58" s="74" t="s">
        <v>38</v>
      </c>
      <c r="BD58" s="74" t="s">
        <v>38</v>
      </c>
      <c r="BE58" s="74" t="s">
        <v>38</v>
      </c>
      <c r="BF58" s="188"/>
      <c r="BG58" s="173"/>
      <c r="BH58" s="176" t="s">
        <v>36</v>
      </c>
      <c r="BI58" s="73" t="s">
        <v>34</v>
      </c>
      <c r="BJ58" s="135" t="s">
        <v>37</v>
      </c>
      <c r="BK58" s="74" t="s">
        <v>38</v>
      </c>
      <c r="BL58" s="74" t="s">
        <v>38</v>
      </c>
      <c r="BM58" s="47"/>
      <c r="BN58" s="176" t="s">
        <v>36</v>
      </c>
      <c r="BO58" s="73" t="s">
        <v>34</v>
      </c>
      <c r="BP58" s="135" t="s">
        <v>39</v>
      </c>
      <c r="BQ58" s="74" t="s">
        <v>38</v>
      </c>
      <c r="BR58" s="138" t="s">
        <v>39</v>
      </c>
      <c r="BS58" s="47"/>
      <c r="BT58" s="176" t="s">
        <v>36</v>
      </c>
      <c r="BU58" s="73" t="s">
        <v>34</v>
      </c>
      <c r="BV58" s="74" t="s">
        <v>38</v>
      </c>
      <c r="BW58" s="74" t="s">
        <v>38</v>
      </c>
      <c r="BX58" s="74" t="s">
        <v>38</v>
      </c>
      <c r="BY58" s="188"/>
      <c r="BZ58" s="179"/>
      <c r="CA58" s="176" t="s">
        <v>36</v>
      </c>
      <c r="CB58" s="73" t="s">
        <v>34</v>
      </c>
      <c r="CC58" s="135" t="s">
        <v>37</v>
      </c>
      <c r="CD58" s="74" t="s">
        <v>38</v>
      </c>
      <c r="CE58" s="74" t="s">
        <v>38</v>
      </c>
      <c r="CF58" s="47"/>
      <c r="CG58" s="176" t="s">
        <v>36</v>
      </c>
      <c r="CH58" s="73" t="s">
        <v>34</v>
      </c>
      <c r="CI58" s="135" t="s">
        <v>39</v>
      </c>
      <c r="CJ58" s="74" t="s">
        <v>38</v>
      </c>
      <c r="CK58" s="135" t="s">
        <v>39</v>
      </c>
      <c r="CL58" s="47"/>
      <c r="CM58" s="176" t="s">
        <v>36</v>
      </c>
      <c r="CN58" s="73" t="s">
        <v>34</v>
      </c>
      <c r="CO58" s="74" t="s">
        <v>38</v>
      </c>
      <c r="CP58" s="74" t="s">
        <v>38</v>
      </c>
      <c r="CQ58" s="74" t="s">
        <v>38</v>
      </c>
      <c r="CR58" s="170"/>
      <c r="CS58" s="173"/>
      <c r="CT58" s="176" t="s">
        <v>36</v>
      </c>
      <c r="CU58" s="73" t="s">
        <v>34</v>
      </c>
      <c r="CV58" s="135" t="s">
        <v>37</v>
      </c>
      <c r="CW58" s="74" t="s">
        <v>38</v>
      </c>
      <c r="CX58" s="138" t="s">
        <v>39</v>
      </c>
      <c r="CY58" s="47"/>
      <c r="CZ58" s="176" t="s">
        <v>36</v>
      </c>
      <c r="DA58" s="73" t="s">
        <v>34</v>
      </c>
      <c r="DB58" s="135" t="s">
        <v>39</v>
      </c>
      <c r="DC58" s="74" t="s">
        <v>38</v>
      </c>
      <c r="DD58" s="135" t="s">
        <v>39</v>
      </c>
      <c r="DE58" s="47"/>
      <c r="DF58" s="176" t="s">
        <v>36</v>
      </c>
      <c r="DG58" s="73" t="s">
        <v>34</v>
      </c>
      <c r="DH58" s="74" t="s">
        <v>38</v>
      </c>
      <c r="DI58" s="74" t="s">
        <v>38</v>
      </c>
      <c r="DJ58" s="74" t="s">
        <v>38</v>
      </c>
      <c r="DK58" s="185"/>
    </row>
    <row r="59" spans="1:115" ht="17.25" thickTop="1" thickBot="1" x14ac:dyDescent="0.3">
      <c r="A59" s="14"/>
      <c r="B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88"/>
      <c r="U59" s="179"/>
      <c r="V59" s="176"/>
      <c r="W59" s="75" t="s">
        <v>31</v>
      </c>
      <c r="X59" s="76" t="s">
        <v>38</v>
      </c>
      <c r="Y59" s="134" t="s">
        <v>37</v>
      </c>
      <c r="Z59" s="76" t="s">
        <v>38</v>
      </c>
      <c r="AA59" s="47"/>
      <c r="AB59" s="176"/>
      <c r="AC59" s="75" t="s">
        <v>31</v>
      </c>
      <c r="AD59" s="76" t="s">
        <v>38</v>
      </c>
      <c r="AE59" s="76" t="s">
        <v>38</v>
      </c>
      <c r="AF59" s="76" t="s">
        <v>38</v>
      </c>
      <c r="AG59" s="47"/>
      <c r="AH59" s="176"/>
      <c r="AI59" s="75" t="s">
        <v>31</v>
      </c>
      <c r="AJ59" s="76" t="s">
        <v>38</v>
      </c>
      <c r="AK59" s="76" t="s">
        <v>38</v>
      </c>
      <c r="AL59" s="76" t="s">
        <v>38</v>
      </c>
      <c r="AM59" s="188"/>
      <c r="AN59" s="173"/>
      <c r="AO59" s="176"/>
      <c r="AP59" s="75" t="s">
        <v>31</v>
      </c>
      <c r="AQ59" s="76" t="s">
        <v>38</v>
      </c>
      <c r="AR59" s="134" t="s">
        <v>37</v>
      </c>
      <c r="AS59" s="76" t="s">
        <v>38</v>
      </c>
      <c r="AT59" s="47"/>
      <c r="AU59" s="176"/>
      <c r="AV59" s="75" t="s">
        <v>31</v>
      </c>
      <c r="AW59" s="76" t="s">
        <v>38</v>
      </c>
      <c r="AX59" s="76" t="s">
        <v>38</v>
      </c>
      <c r="AY59" s="76" t="s">
        <v>38</v>
      </c>
      <c r="AZ59" s="47"/>
      <c r="BA59" s="176"/>
      <c r="BB59" s="75" t="s">
        <v>31</v>
      </c>
      <c r="BC59" s="76" t="s">
        <v>38</v>
      </c>
      <c r="BD59" s="76" t="s">
        <v>38</v>
      </c>
      <c r="BE59" s="76" t="s">
        <v>38</v>
      </c>
      <c r="BF59" s="188"/>
      <c r="BG59" s="173"/>
      <c r="BH59" s="176"/>
      <c r="BI59" s="75" t="s">
        <v>31</v>
      </c>
      <c r="BJ59" s="76" t="s">
        <v>38</v>
      </c>
      <c r="BK59" s="134" t="s">
        <v>37</v>
      </c>
      <c r="BL59" s="76" t="s">
        <v>38</v>
      </c>
      <c r="BM59" s="47"/>
      <c r="BN59" s="176"/>
      <c r="BO59" s="75" t="s">
        <v>31</v>
      </c>
      <c r="BP59" s="76" t="s">
        <v>38</v>
      </c>
      <c r="BQ59" s="76" t="s">
        <v>38</v>
      </c>
      <c r="BR59" s="76" t="s">
        <v>38</v>
      </c>
      <c r="BS59" s="47"/>
      <c r="BT59" s="176"/>
      <c r="BU59" s="75" t="s">
        <v>31</v>
      </c>
      <c r="BV59" s="76" t="s">
        <v>38</v>
      </c>
      <c r="BW59" s="76" t="s">
        <v>38</v>
      </c>
      <c r="BX59" s="76" t="s">
        <v>38</v>
      </c>
      <c r="BY59" s="188"/>
      <c r="BZ59" s="179"/>
      <c r="CA59" s="176"/>
      <c r="CB59" s="75" t="s">
        <v>31</v>
      </c>
      <c r="CC59" s="76" t="s">
        <v>38</v>
      </c>
      <c r="CD59" s="134" t="s">
        <v>37</v>
      </c>
      <c r="CE59" s="76" t="s">
        <v>38</v>
      </c>
      <c r="CF59" s="47"/>
      <c r="CG59" s="176"/>
      <c r="CH59" s="75" t="s">
        <v>31</v>
      </c>
      <c r="CI59" s="76" t="s">
        <v>38</v>
      </c>
      <c r="CJ59" s="76" t="s">
        <v>38</v>
      </c>
      <c r="CK59" s="76" t="s">
        <v>38</v>
      </c>
      <c r="CL59" s="47"/>
      <c r="CM59" s="176"/>
      <c r="CN59" s="75" t="s">
        <v>31</v>
      </c>
      <c r="CO59" s="76" t="s">
        <v>38</v>
      </c>
      <c r="CP59" s="76" t="s">
        <v>38</v>
      </c>
      <c r="CQ59" s="76" t="s">
        <v>38</v>
      </c>
      <c r="CR59" s="170"/>
      <c r="CS59" s="173"/>
      <c r="CT59" s="176"/>
      <c r="CU59" s="75" t="s">
        <v>31</v>
      </c>
      <c r="CV59" s="76" t="s">
        <v>38</v>
      </c>
      <c r="CW59" s="134" t="s">
        <v>37</v>
      </c>
      <c r="CX59" s="76" t="s">
        <v>38</v>
      </c>
      <c r="CY59" s="47"/>
      <c r="CZ59" s="176"/>
      <c r="DA59" s="75" t="s">
        <v>31</v>
      </c>
      <c r="DB59" s="76" t="s">
        <v>38</v>
      </c>
      <c r="DC59" s="76" t="s">
        <v>38</v>
      </c>
      <c r="DD59" s="76" t="s">
        <v>38</v>
      </c>
      <c r="DE59" s="47"/>
      <c r="DF59" s="176"/>
      <c r="DG59" s="75" t="s">
        <v>31</v>
      </c>
      <c r="DH59" s="76" t="s">
        <v>38</v>
      </c>
      <c r="DI59" s="76" t="s">
        <v>38</v>
      </c>
      <c r="DJ59" s="76" t="s">
        <v>38</v>
      </c>
      <c r="DK59" s="185"/>
    </row>
    <row r="60" spans="1:115" ht="17.25" thickTop="1" thickBot="1" x14ac:dyDescent="0.3">
      <c r="A60" s="14"/>
      <c r="B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89"/>
      <c r="U60" s="180"/>
      <c r="V60" s="177"/>
      <c r="W60" s="127" t="s">
        <v>35</v>
      </c>
      <c r="X60" s="128" t="s">
        <v>38</v>
      </c>
      <c r="Y60" s="128" t="s">
        <v>38</v>
      </c>
      <c r="Z60" s="128" t="s">
        <v>38</v>
      </c>
      <c r="AA60" s="48"/>
      <c r="AB60" s="177"/>
      <c r="AC60" s="127" t="s">
        <v>35</v>
      </c>
      <c r="AD60" s="128" t="s">
        <v>38</v>
      </c>
      <c r="AE60" s="128" t="s">
        <v>38</v>
      </c>
      <c r="AF60" s="128" t="s">
        <v>38</v>
      </c>
      <c r="AG60" s="48"/>
      <c r="AH60" s="177"/>
      <c r="AI60" s="127" t="s">
        <v>35</v>
      </c>
      <c r="AJ60" s="128" t="s">
        <v>38</v>
      </c>
      <c r="AK60" s="128" t="s">
        <v>38</v>
      </c>
      <c r="AL60" s="128" t="s">
        <v>38</v>
      </c>
      <c r="AM60" s="188"/>
      <c r="AN60" s="174"/>
      <c r="AO60" s="177"/>
      <c r="AP60" s="127" t="s">
        <v>35</v>
      </c>
      <c r="AQ60" s="128" t="s">
        <v>38</v>
      </c>
      <c r="AR60" s="128" t="s">
        <v>38</v>
      </c>
      <c r="AS60" s="128" t="s">
        <v>38</v>
      </c>
      <c r="AT60" s="48"/>
      <c r="AU60" s="177"/>
      <c r="AV60" s="127" t="s">
        <v>35</v>
      </c>
      <c r="AW60" s="128" t="s">
        <v>38</v>
      </c>
      <c r="AX60" s="128" t="s">
        <v>38</v>
      </c>
      <c r="AY60" s="128" t="s">
        <v>38</v>
      </c>
      <c r="AZ60" s="48"/>
      <c r="BA60" s="177"/>
      <c r="BB60" s="127" t="s">
        <v>35</v>
      </c>
      <c r="BC60" s="128" t="s">
        <v>38</v>
      </c>
      <c r="BD60" s="128" t="s">
        <v>38</v>
      </c>
      <c r="BE60" s="128" t="s">
        <v>38</v>
      </c>
      <c r="BF60" s="188"/>
      <c r="BG60" s="174"/>
      <c r="BH60" s="177"/>
      <c r="BI60" s="127" t="s">
        <v>35</v>
      </c>
      <c r="BJ60" s="128" t="s">
        <v>38</v>
      </c>
      <c r="BK60" s="128" t="s">
        <v>38</v>
      </c>
      <c r="BL60" s="128" t="s">
        <v>38</v>
      </c>
      <c r="BM60" s="48"/>
      <c r="BN60" s="177"/>
      <c r="BO60" s="127" t="s">
        <v>35</v>
      </c>
      <c r="BP60" s="128" t="s">
        <v>38</v>
      </c>
      <c r="BQ60" s="128" t="s">
        <v>38</v>
      </c>
      <c r="BR60" s="128" t="s">
        <v>38</v>
      </c>
      <c r="BS60" s="48"/>
      <c r="BT60" s="177"/>
      <c r="BU60" s="127" t="s">
        <v>35</v>
      </c>
      <c r="BV60" s="128" t="s">
        <v>38</v>
      </c>
      <c r="BW60" s="128" t="s">
        <v>38</v>
      </c>
      <c r="BX60" s="128" t="s">
        <v>38</v>
      </c>
      <c r="BY60" s="189"/>
      <c r="BZ60" s="180"/>
      <c r="CA60" s="177"/>
      <c r="CB60" s="127" t="s">
        <v>35</v>
      </c>
      <c r="CC60" s="128" t="s">
        <v>38</v>
      </c>
      <c r="CD60" s="128" t="s">
        <v>38</v>
      </c>
      <c r="CE60" s="128" t="s">
        <v>38</v>
      </c>
      <c r="CF60" s="48"/>
      <c r="CG60" s="177"/>
      <c r="CH60" s="127" t="s">
        <v>35</v>
      </c>
      <c r="CI60" s="136" t="s">
        <v>37</v>
      </c>
      <c r="CJ60" s="128" t="s">
        <v>38</v>
      </c>
      <c r="CK60" s="128" t="s">
        <v>38</v>
      </c>
      <c r="CL60" s="48"/>
      <c r="CM60" s="177"/>
      <c r="CN60" s="127" t="s">
        <v>35</v>
      </c>
      <c r="CO60" s="128" t="s">
        <v>38</v>
      </c>
      <c r="CP60" s="128" t="s">
        <v>38</v>
      </c>
      <c r="CQ60" s="128" t="s">
        <v>38</v>
      </c>
      <c r="CR60" s="170"/>
      <c r="CS60" s="174"/>
      <c r="CT60" s="177"/>
      <c r="CU60" s="127" t="s">
        <v>35</v>
      </c>
      <c r="CV60" s="136" t="s">
        <v>39</v>
      </c>
      <c r="CW60" s="128" t="s">
        <v>38</v>
      </c>
      <c r="CX60" s="128" t="s">
        <v>38</v>
      </c>
      <c r="CY60" s="48"/>
      <c r="CZ60" s="177"/>
      <c r="DA60" s="127" t="s">
        <v>35</v>
      </c>
      <c r="DB60" s="141" t="s">
        <v>37</v>
      </c>
      <c r="DC60" s="128" t="s">
        <v>38</v>
      </c>
      <c r="DD60" s="128" t="s">
        <v>38</v>
      </c>
      <c r="DE60" s="48"/>
      <c r="DF60" s="177"/>
      <c r="DG60" s="127" t="s">
        <v>35</v>
      </c>
      <c r="DH60" s="128" t="s">
        <v>38</v>
      </c>
      <c r="DI60" s="128" t="s">
        <v>38</v>
      </c>
      <c r="DJ60" s="128" t="s">
        <v>38</v>
      </c>
      <c r="DK60" s="186"/>
    </row>
    <row r="61" spans="1:115" ht="15" customHeight="1" thickBot="1" x14ac:dyDescent="0.3">
      <c r="A61" s="14"/>
      <c r="B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70"/>
      <c r="U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90"/>
      <c r="AN61" s="122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90"/>
      <c r="BG61" s="137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0"/>
      <c r="BZ61" s="137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68"/>
      <c r="CR61" s="170"/>
      <c r="CS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</row>
    <row r="62" spans="1:115" ht="17.25" customHeight="1" thickTop="1" thickBot="1" x14ac:dyDescent="0.3">
      <c r="A62" s="14"/>
      <c r="B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70"/>
      <c r="U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90"/>
      <c r="AN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88"/>
      <c r="BG62" s="178" t="s">
        <v>30</v>
      </c>
      <c r="BH62" s="20"/>
      <c r="BI62" s="11"/>
      <c r="BJ62" s="175" t="s">
        <v>31</v>
      </c>
      <c r="BK62" s="175"/>
      <c r="BL62" s="175"/>
      <c r="BM62" s="46"/>
      <c r="BN62" s="11"/>
      <c r="BO62" s="11"/>
      <c r="BP62" s="175" t="s">
        <v>31</v>
      </c>
      <c r="BQ62" s="175"/>
      <c r="BR62" s="175"/>
      <c r="BS62" s="46"/>
      <c r="BT62" s="11"/>
      <c r="BU62" s="11"/>
      <c r="BV62" s="175" t="s">
        <v>31</v>
      </c>
      <c r="BW62" s="175"/>
      <c r="BX62" s="175"/>
      <c r="BY62" s="187" t="s">
        <v>76</v>
      </c>
      <c r="BZ62" s="172" t="s">
        <v>40</v>
      </c>
      <c r="CA62" s="20"/>
      <c r="CB62" s="11"/>
      <c r="CC62" s="175" t="s">
        <v>31</v>
      </c>
      <c r="CD62" s="175"/>
      <c r="CE62" s="175"/>
      <c r="CF62" s="46"/>
      <c r="CG62" s="11"/>
      <c r="CH62" s="11"/>
      <c r="CI62" s="175" t="s">
        <v>31</v>
      </c>
      <c r="CJ62" s="175"/>
      <c r="CK62" s="175"/>
      <c r="CL62" s="46"/>
      <c r="CM62" s="11"/>
      <c r="CN62" s="11"/>
      <c r="CO62" s="175" t="s">
        <v>31</v>
      </c>
      <c r="CP62" s="175"/>
      <c r="CQ62" s="175"/>
      <c r="CR62" s="170"/>
      <c r="CS62" s="172" t="s">
        <v>40</v>
      </c>
      <c r="CT62" s="20"/>
      <c r="CU62" s="11"/>
      <c r="CV62" s="175" t="s">
        <v>31</v>
      </c>
      <c r="CW62" s="175"/>
      <c r="CX62" s="175"/>
      <c r="CY62" s="46"/>
      <c r="CZ62" s="11"/>
      <c r="DA62" s="11"/>
      <c r="DB62" s="175" t="s">
        <v>31</v>
      </c>
      <c r="DC62" s="175"/>
      <c r="DD62" s="175"/>
      <c r="DE62" s="46"/>
      <c r="DF62" s="11"/>
      <c r="DG62" s="11"/>
      <c r="DH62" s="175" t="s">
        <v>31</v>
      </c>
      <c r="DI62" s="175"/>
      <c r="DJ62" s="175"/>
      <c r="DK62" s="184" t="s">
        <v>81</v>
      </c>
    </row>
    <row r="63" spans="1:115" ht="17.25" thickTop="1" thickBot="1" x14ac:dyDescent="0.3">
      <c r="A63" s="14"/>
      <c r="B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70"/>
      <c r="U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90"/>
      <c r="AN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88"/>
      <c r="BG63" s="179"/>
      <c r="BH63" s="21"/>
      <c r="BI63" s="71" t="s">
        <v>33</v>
      </c>
      <c r="BJ63" s="72" t="s">
        <v>34</v>
      </c>
      <c r="BK63" s="72" t="s">
        <v>31</v>
      </c>
      <c r="BL63" s="72" t="s">
        <v>35</v>
      </c>
      <c r="BM63" s="47"/>
      <c r="BO63" s="71" t="s">
        <v>33</v>
      </c>
      <c r="BP63" s="72" t="s">
        <v>34</v>
      </c>
      <c r="BQ63" s="72" t="s">
        <v>31</v>
      </c>
      <c r="BR63" s="72" t="s">
        <v>35</v>
      </c>
      <c r="BS63" s="47"/>
      <c r="BU63" s="71" t="s">
        <v>33</v>
      </c>
      <c r="BV63" s="72" t="s">
        <v>34</v>
      </c>
      <c r="BW63" s="72" t="s">
        <v>31</v>
      </c>
      <c r="BX63" s="72" t="s">
        <v>35</v>
      </c>
      <c r="BY63" s="188"/>
      <c r="BZ63" s="173"/>
      <c r="CA63" s="21"/>
      <c r="CB63" s="71" t="s">
        <v>33</v>
      </c>
      <c r="CC63" s="72" t="s">
        <v>34</v>
      </c>
      <c r="CD63" s="72" t="s">
        <v>31</v>
      </c>
      <c r="CE63" s="72" t="s">
        <v>35</v>
      </c>
      <c r="CF63" s="47"/>
      <c r="CH63" s="71" t="s">
        <v>33</v>
      </c>
      <c r="CI63" s="72" t="s">
        <v>34</v>
      </c>
      <c r="CJ63" s="72" t="s">
        <v>31</v>
      </c>
      <c r="CK63" s="72" t="s">
        <v>35</v>
      </c>
      <c r="CL63" s="47"/>
      <c r="CN63" s="71" t="s">
        <v>33</v>
      </c>
      <c r="CO63" s="72" t="s">
        <v>34</v>
      </c>
      <c r="CP63" s="72" t="s">
        <v>31</v>
      </c>
      <c r="CQ63" s="72" t="s">
        <v>35</v>
      </c>
      <c r="CR63" s="170"/>
      <c r="CS63" s="173"/>
      <c r="CT63" s="21"/>
      <c r="CU63" s="71" t="s">
        <v>33</v>
      </c>
      <c r="CV63" s="72" t="s">
        <v>34</v>
      </c>
      <c r="CW63" s="72" t="s">
        <v>31</v>
      </c>
      <c r="CX63" s="72" t="s">
        <v>35</v>
      </c>
      <c r="CY63" s="47"/>
      <c r="DA63" s="71" t="s">
        <v>33</v>
      </c>
      <c r="DB63" s="72" t="s">
        <v>34</v>
      </c>
      <c r="DC63" s="72" t="s">
        <v>31</v>
      </c>
      <c r="DD63" s="72" t="s">
        <v>35</v>
      </c>
      <c r="DE63" s="47"/>
      <c r="DG63" s="71" t="s">
        <v>33</v>
      </c>
      <c r="DH63" s="72" t="s">
        <v>34</v>
      </c>
      <c r="DI63" s="72" t="s">
        <v>31</v>
      </c>
      <c r="DJ63" s="72" t="s">
        <v>35</v>
      </c>
      <c r="DK63" s="185"/>
    </row>
    <row r="64" spans="1:115" ht="17.25" thickTop="1" thickBot="1" x14ac:dyDescent="0.3">
      <c r="A64" s="14"/>
      <c r="B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70"/>
      <c r="U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90"/>
      <c r="AN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88"/>
      <c r="BG64" s="179"/>
      <c r="BH64" s="176" t="s">
        <v>36</v>
      </c>
      <c r="BI64" s="73" t="s">
        <v>34</v>
      </c>
      <c r="BJ64" s="135" t="s">
        <v>37</v>
      </c>
      <c r="BK64" s="74" t="s">
        <v>38</v>
      </c>
      <c r="BL64" s="74" t="s">
        <v>38</v>
      </c>
      <c r="BM64" s="47"/>
      <c r="BN64" s="176" t="s">
        <v>36</v>
      </c>
      <c r="BO64" s="73" t="s">
        <v>34</v>
      </c>
      <c r="BP64" s="135" t="s">
        <v>39</v>
      </c>
      <c r="BQ64" s="74" t="s">
        <v>38</v>
      </c>
      <c r="BR64" s="138" t="s">
        <v>37</v>
      </c>
      <c r="BS64" s="47"/>
      <c r="BT64" s="176" t="s">
        <v>36</v>
      </c>
      <c r="BU64" s="73" t="s">
        <v>34</v>
      </c>
      <c r="BV64" s="74" t="s">
        <v>38</v>
      </c>
      <c r="BW64" s="74" t="s">
        <v>38</v>
      </c>
      <c r="BX64" s="74" t="s">
        <v>38</v>
      </c>
      <c r="BY64" s="188"/>
      <c r="BZ64" s="173"/>
      <c r="CA64" s="176" t="s">
        <v>36</v>
      </c>
      <c r="CB64" s="73" t="s">
        <v>34</v>
      </c>
      <c r="CC64" s="135" t="s">
        <v>37</v>
      </c>
      <c r="CD64" s="74" t="s">
        <v>38</v>
      </c>
      <c r="CE64" s="74" t="s">
        <v>38</v>
      </c>
      <c r="CF64" s="47"/>
      <c r="CG64" s="176" t="s">
        <v>36</v>
      </c>
      <c r="CH64" s="73" t="s">
        <v>34</v>
      </c>
      <c r="CI64" s="135" t="s">
        <v>39</v>
      </c>
      <c r="CJ64" s="74" t="s">
        <v>38</v>
      </c>
      <c r="CK64" s="135" t="s">
        <v>37</v>
      </c>
      <c r="CL64" s="47"/>
      <c r="CM64" s="176" t="s">
        <v>36</v>
      </c>
      <c r="CN64" s="73" t="s">
        <v>34</v>
      </c>
      <c r="CO64" s="74" t="s">
        <v>38</v>
      </c>
      <c r="CP64" s="74" t="s">
        <v>38</v>
      </c>
      <c r="CQ64" s="74" t="s">
        <v>38</v>
      </c>
      <c r="CR64" s="170"/>
      <c r="CS64" s="173"/>
      <c r="CT64" s="176" t="s">
        <v>36</v>
      </c>
      <c r="CU64" s="73" t="s">
        <v>34</v>
      </c>
      <c r="CV64" s="135" t="s">
        <v>37</v>
      </c>
      <c r="CW64" s="74" t="s">
        <v>38</v>
      </c>
      <c r="CX64" s="138" t="s">
        <v>39</v>
      </c>
      <c r="CY64" s="47"/>
      <c r="CZ64" s="176" t="s">
        <v>36</v>
      </c>
      <c r="DA64" s="73" t="s">
        <v>34</v>
      </c>
      <c r="DB64" s="135" t="s">
        <v>39</v>
      </c>
      <c r="DC64" s="74" t="s">
        <v>38</v>
      </c>
      <c r="DD64" s="135" t="s">
        <v>37</v>
      </c>
      <c r="DE64" s="47"/>
      <c r="DF64" s="176" t="s">
        <v>36</v>
      </c>
      <c r="DG64" s="73" t="s">
        <v>34</v>
      </c>
      <c r="DH64" s="74" t="s">
        <v>38</v>
      </c>
      <c r="DI64" s="74" t="s">
        <v>38</v>
      </c>
      <c r="DJ64" s="74" t="s">
        <v>38</v>
      </c>
      <c r="DK64" s="185"/>
    </row>
    <row r="65" spans="1:115" ht="17.25" thickTop="1" thickBot="1" x14ac:dyDescent="0.3">
      <c r="A65" s="14"/>
      <c r="B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70"/>
      <c r="U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90"/>
      <c r="AN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88"/>
      <c r="BG65" s="179"/>
      <c r="BH65" s="176"/>
      <c r="BI65" s="75" t="s">
        <v>31</v>
      </c>
      <c r="BJ65" s="76" t="s">
        <v>38</v>
      </c>
      <c r="BK65" s="134" t="s">
        <v>37</v>
      </c>
      <c r="BL65" s="76" t="s">
        <v>38</v>
      </c>
      <c r="BM65" s="47"/>
      <c r="BN65" s="176"/>
      <c r="BO65" s="75" t="s">
        <v>31</v>
      </c>
      <c r="BP65" s="76" t="s">
        <v>38</v>
      </c>
      <c r="BQ65" s="76" t="s">
        <v>38</v>
      </c>
      <c r="BR65" s="76" t="s">
        <v>38</v>
      </c>
      <c r="BS65" s="47"/>
      <c r="BT65" s="176"/>
      <c r="BU65" s="75" t="s">
        <v>31</v>
      </c>
      <c r="BV65" s="76" t="s">
        <v>38</v>
      </c>
      <c r="BW65" s="76" t="s">
        <v>38</v>
      </c>
      <c r="BX65" s="76" t="s">
        <v>38</v>
      </c>
      <c r="BY65" s="188"/>
      <c r="BZ65" s="173"/>
      <c r="CA65" s="176"/>
      <c r="CB65" s="75" t="s">
        <v>31</v>
      </c>
      <c r="CC65" s="76" t="s">
        <v>38</v>
      </c>
      <c r="CD65" s="134" t="s">
        <v>37</v>
      </c>
      <c r="CE65" s="76" t="s">
        <v>38</v>
      </c>
      <c r="CF65" s="47"/>
      <c r="CG65" s="176"/>
      <c r="CH65" s="75" t="s">
        <v>31</v>
      </c>
      <c r="CI65" s="76" t="s">
        <v>38</v>
      </c>
      <c r="CJ65" s="76" t="s">
        <v>38</v>
      </c>
      <c r="CK65" s="76" t="s">
        <v>38</v>
      </c>
      <c r="CL65" s="47"/>
      <c r="CM65" s="176"/>
      <c r="CN65" s="75" t="s">
        <v>31</v>
      </c>
      <c r="CO65" s="76" t="s">
        <v>38</v>
      </c>
      <c r="CP65" s="76" t="s">
        <v>38</v>
      </c>
      <c r="CQ65" s="76" t="s">
        <v>38</v>
      </c>
      <c r="CR65" s="170"/>
      <c r="CS65" s="173"/>
      <c r="CT65" s="176"/>
      <c r="CU65" s="75" t="s">
        <v>31</v>
      </c>
      <c r="CV65" s="76" t="s">
        <v>38</v>
      </c>
      <c r="CW65" s="134" t="s">
        <v>37</v>
      </c>
      <c r="CX65" s="76" t="s">
        <v>38</v>
      </c>
      <c r="CY65" s="47"/>
      <c r="CZ65" s="176"/>
      <c r="DA65" s="75" t="s">
        <v>31</v>
      </c>
      <c r="DB65" s="76" t="s">
        <v>38</v>
      </c>
      <c r="DC65" s="76" t="s">
        <v>38</v>
      </c>
      <c r="DD65" s="76" t="s">
        <v>38</v>
      </c>
      <c r="DE65" s="47"/>
      <c r="DF65" s="176"/>
      <c r="DG65" s="75" t="s">
        <v>31</v>
      </c>
      <c r="DH65" s="76" t="s">
        <v>38</v>
      </c>
      <c r="DI65" s="76" t="s">
        <v>38</v>
      </c>
      <c r="DJ65" s="76" t="s">
        <v>38</v>
      </c>
      <c r="DK65" s="185"/>
    </row>
    <row r="66" spans="1:115" ht="17.25" thickTop="1" thickBot="1" x14ac:dyDescent="0.3">
      <c r="A66" s="14"/>
      <c r="B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70"/>
      <c r="U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90"/>
      <c r="AN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89"/>
      <c r="BG66" s="180"/>
      <c r="BH66" s="177"/>
      <c r="BI66" s="127" t="s">
        <v>35</v>
      </c>
      <c r="BJ66" s="128" t="s">
        <v>38</v>
      </c>
      <c r="BK66" s="128" t="s">
        <v>38</v>
      </c>
      <c r="BL66" s="128" t="s">
        <v>38</v>
      </c>
      <c r="BM66" s="48"/>
      <c r="BN66" s="177"/>
      <c r="BO66" s="127" t="s">
        <v>35</v>
      </c>
      <c r="BP66" s="128" t="s">
        <v>38</v>
      </c>
      <c r="BQ66" s="128" t="s">
        <v>38</v>
      </c>
      <c r="BR66" s="128" t="s">
        <v>38</v>
      </c>
      <c r="BS66" s="48"/>
      <c r="BT66" s="177"/>
      <c r="BU66" s="127" t="s">
        <v>35</v>
      </c>
      <c r="BV66" s="128" t="s">
        <v>38</v>
      </c>
      <c r="BW66" s="128" t="s">
        <v>38</v>
      </c>
      <c r="BX66" s="128" t="s">
        <v>38</v>
      </c>
      <c r="BY66" s="189"/>
      <c r="BZ66" s="174"/>
      <c r="CA66" s="177"/>
      <c r="CB66" s="127" t="s">
        <v>35</v>
      </c>
      <c r="CC66" s="128" t="s">
        <v>38</v>
      </c>
      <c r="CD66" s="128" t="s">
        <v>38</v>
      </c>
      <c r="CE66" s="128" t="s">
        <v>38</v>
      </c>
      <c r="CF66" s="48"/>
      <c r="CG66" s="177"/>
      <c r="CH66" s="127" t="s">
        <v>35</v>
      </c>
      <c r="CI66" s="136" t="s">
        <v>39</v>
      </c>
      <c r="CJ66" s="128" t="s">
        <v>38</v>
      </c>
      <c r="CK66" s="128" t="s">
        <v>38</v>
      </c>
      <c r="CL66" s="48"/>
      <c r="CM66" s="177"/>
      <c r="CN66" s="127" t="s">
        <v>35</v>
      </c>
      <c r="CO66" s="128" t="s">
        <v>38</v>
      </c>
      <c r="CP66" s="128" t="s">
        <v>38</v>
      </c>
      <c r="CQ66" s="128" t="s">
        <v>38</v>
      </c>
      <c r="CR66" s="170"/>
      <c r="CS66" s="174"/>
      <c r="CT66" s="177"/>
      <c r="CU66" s="127" t="s">
        <v>35</v>
      </c>
      <c r="CV66" s="136" t="s">
        <v>39</v>
      </c>
      <c r="CW66" s="128" t="s">
        <v>38</v>
      </c>
      <c r="CX66" s="128" t="s">
        <v>38</v>
      </c>
      <c r="CY66" s="48"/>
      <c r="CZ66" s="177"/>
      <c r="DA66" s="127" t="s">
        <v>35</v>
      </c>
      <c r="DB66" s="141" t="s">
        <v>39</v>
      </c>
      <c r="DC66" s="128" t="s">
        <v>38</v>
      </c>
      <c r="DD66" s="128" t="s">
        <v>38</v>
      </c>
      <c r="DE66" s="48"/>
      <c r="DF66" s="177"/>
      <c r="DG66" s="127" t="s">
        <v>35</v>
      </c>
      <c r="DH66" s="128" t="s">
        <v>38</v>
      </c>
      <c r="DI66" s="128" t="s">
        <v>38</v>
      </c>
      <c r="DJ66" s="128" t="s">
        <v>38</v>
      </c>
      <c r="DK66" s="186"/>
    </row>
    <row r="67" spans="1:115" ht="15" customHeight="1" thickBot="1" x14ac:dyDescent="0.3">
      <c r="A67" s="14"/>
      <c r="B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70"/>
      <c r="U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90"/>
      <c r="AN67" s="123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G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Z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68"/>
      <c r="CR67" s="170"/>
      <c r="CS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</row>
    <row r="68" spans="1:115" ht="16.5" customHeight="1" thickTop="1" thickBot="1" x14ac:dyDescent="0.3">
      <c r="A68" s="14"/>
      <c r="B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70"/>
      <c r="U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88"/>
      <c r="AN68" s="178" t="s">
        <v>30</v>
      </c>
      <c r="AO68" s="20"/>
      <c r="AP68" s="11"/>
      <c r="AQ68" s="175" t="s">
        <v>31</v>
      </c>
      <c r="AR68" s="175"/>
      <c r="AS68" s="175"/>
      <c r="AT68" s="46"/>
      <c r="AU68" s="11"/>
      <c r="AV68" s="11"/>
      <c r="AW68" s="175" t="s">
        <v>31</v>
      </c>
      <c r="AX68" s="175"/>
      <c r="AY68" s="175"/>
      <c r="AZ68" s="46"/>
      <c r="BA68" s="11"/>
      <c r="BB68" s="11"/>
      <c r="BC68" s="175" t="s">
        <v>31</v>
      </c>
      <c r="BD68" s="175"/>
      <c r="BE68" s="175"/>
      <c r="BF68" s="187" t="s">
        <v>75</v>
      </c>
      <c r="BG68" s="172" t="s">
        <v>40</v>
      </c>
      <c r="BH68" s="20"/>
      <c r="BI68" s="11"/>
      <c r="BJ68" s="175" t="s">
        <v>31</v>
      </c>
      <c r="BK68" s="175"/>
      <c r="BL68" s="175"/>
      <c r="BM68" s="46"/>
      <c r="BN68" s="11"/>
      <c r="BO68" s="11"/>
      <c r="BP68" s="175" t="s">
        <v>31</v>
      </c>
      <c r="BQ68" s="175"/>
      <c r="BR68" s="175"/>
      <c r="BS68" s="46"/>
      <c r="BT68" s="11"/>
      <c r="BU68" s="11"/>
      <c r="BV68" s="175" t="s">
        <v>31</v>
      </c>
      <c r="BW68" s="175"/>
      <c r="BX68" s="175"/>
      <c r="BY68" s="187" t="s">
        <v>77</v>
      </c>
      <c r="BZ68" s="172" t="s">
        <v>40</v>
      </c>
      <c r="CA68" s="20"/>
      <c r="CB68" s="11"/>
      <c r="CC68" s="175" t="s">
        <v>31</v>
      </c>
      <c r="CD68" s="175"/>
      <c r="CE68" s="175"/>
      <c r="CF68" s="46"/>
      <c r="CG68" s="11"/>
      <c r="CH68" s="11"/>
      <c r="CI68" s="175" t="s">
        <v>31</v>
      </c>
      <c r="CJ68" s="175"/>
      <c r="CK68" s="175"/>
      <c r="CL68" s="46"/>
      <c r="CM68" s="11"/>
      <c r="CN68" s="11"/>
      <c r="CO68" s="175" t="s">
        <v>31</v>
      </c>
      <c r="CP68" s="175"/>
      <c r="CQ68" s="175"/>
      <c r="CR68" s="170"/>
      <c r="CS68" s="172" t="s">
        <v>40</v>
      </c>
      <c r="CT68" s="20"/>
      <c r="CU68" s="11"/>
      <c r="CV68" s="175" t="s">
        <v>31</v>
      </c>
      <c r="CW68" s="175"/>
      <c r="CX68" s="175"/>
      <c r="CY68" s="46"/>
      <c r="CZ68" s="11"/>
      <c r="DA68" s="11"/>
      <c r="DB68" s="175" t="s">
        <v>31</v>
      </c>
      <c r="DC68" s="175"/>
      <c r="DD68" s="175"/>
      <c r="DE68" s="46"/>
      <c r="DF68" s="11"/>
      <c r="DG68" s="11"/>
      <c r="DH68" s="175" t="s">
        <v>31</v>
      </c>
      <c r="DI68" s="175"/>
      <c r="DJ68" s="175"/>
      <c r="DK68" s="181" t="s">
        <v>32</v>
      </c>
    </row>
    <row r="69" spans="1:115" ht="17.25" thickTop="1" thickBot="1" x14ac:dyDescent="0.3">
      <c r="A69" s="14"/>
      <c r="B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70"/>
      <c r="U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88"/>
      <c r="AN69" s="179"/>
      <c r="AO69" s="21"/>
      <c r="AP69" s="71" t="s">
        <v>33</v>
      </c>
      <c r="AQ69" s="72" t="s">
        <v>34</v>
      </c>
      <c r="AR69" s="72" t="s">
        <v>31</v>
      </c>
      <c r="AS69" s="72" t="s">
        <v>35</v>
      </c>
      <c r="AT69" s="47"/>
      <c r="AV69" s="71" t="s">
        <v>33</v>
      </c>
      <c r="AW69" s="72" t="s">
        <v>34</v>
      </c>
      <c r="AX69" s="72" t="s">
        <v>31</v>
      </c>
      <c r="AY69" s="72" t="s">
        <v>35</v>
      </c>
      <c r="AZ69" s="47"/>
      <c r="BB69" s="71" t="s">
        <v>33</v>
      </c>
      <c r="BC69" s="72" t="s">
        <v>34</v>
      </c>
      <c r="BD69" s="72" t="s">
        <v>31</v>
      </c>
      <c r="BE69" s="72" t="s">
        <v>35</v>
      </c>
      <c r="BF69" s="188"/>
      <c r="BG69" s="173"/>
      <c r="BH69" s="21"/>
      <c r="BI69" s="71" t="s">
        <v>33</v>
      </c>
      <c r="BJ69" s="72" t="s">
        <v>34</v>
      </c>
      <c r="BK69" s="72" t="s">
        <v>31</v>
      </c>
      <c r="BL69" s="72" t="s">
        <v>35</v>
      </c>
      <c r="BM69" s="47"/>
      <c r="BO69" s="71" t="s">
        <v>33</v>
      </c>
      <c r="BP69" s="72" t="s">
        <v>34</v>
      </c>
      <c r="BQ69" s="72" t="s">
        <v>31</v>
      </c>
      <c r="BR69" s="72" t="s">
        <v>35</v>
      </c>
      <c r="BS69" s="47"/>
      <c r="BU69" s="71" t="s">
        <v>33</v>
      </c>
      <c r="BV69" s="72" t="s">
        <v>34</v>
      </c>
      <c r="BW69" s="72" t="s">
        <v>31</v>
      </c>
      <c r="BX69" s="72" t="s">
        <v>35</v>
      </c>
      <c r="BY69" s="188"/>
      <c r="BZ69" s="173"/>
      <c r="CA69" s="21"/>
      <c r="CB69" s="71" t="s">
        <v>33</v>
      </c>
      <c r="CC69" s="72" t="s">
        <v>34</v>
      </c>
      <c r="CD69" s="72" t="s">
        <v>31</v>
      </c>
      <c r="CE69" s="72" t="s">
        <v>35</v>
      </c>
      <c r="CF69" s="47"/>
      <c r="CH69" s="71" t="s">
        <v>33</v>
      </c>
      <c r="CI69" s="72" t="s">
        <v>34</v>
      </c>
      <c r="CJ69" s="72" t="s">
        <v>31</v>
      </c>
      <c r="CK69" s="72" t="s">
        <v>35</v>
      </c>
      <c r="CL69" s="47"/>
      <c r="CN69" s="71" t="s">
        <v>33</v>
      </c>
      <c r="CO69" s="72" t="s">
        <v>34</v>
      </c>
      <c r="CP69" s="72" t="s">
        <v>31</v>
      </c>
      <c r="CQ69" s="72" t="s">
        <v>35</v>
      </c>
      <c r="CR69" s="170"/>
      <c r="CS69" s="173"/>
      <c r="CT69" s="21"/>
      <c r="CU69" s="71" t="s">
        <v>33</v>
      </c>
      <c r="CV69" s="72" t="s">
        <v>34</v>
      </c>
      <c r="CW69" s="72" t="s">
        <v>31</v>
      </c>
      <c r="CX69" s="72" t="s">
        <v>35</v>
      </c>
      <c r="CY69" s="47"/>
      <c r="DA69" s="71" t="s">
        <v>33</v>
      </c>
      <c r="DB69" s="72" t="s">
        <v>34</v>
      </c>
      <c r="DC69" s="72" t="s">
        <v>31</v>
      </c>
      <c r="DD69" s="72" t="s">
        <v>35</v>
      </c>
      <c r="DE69" s="47"/>
      <c r="DG69" s="71" t="s">
        <v>33</v>
      </c>
      <c r="DH69" s="72" t="s">
        <v>34</v>
      </c>
      <c r="DI69" s="72" t="s">
        <v>31</v>
      </c>
      <c r="DJ69" s="72" t="s">
        <v>35</v>
      </c>
      <c r="DK69" s="182"/>
    </row>
    <row r="70" spans="1:115" ht="17.25" thickTop="1" thickBot="1" x14ac:dyDescent="0.3">
      <c r="A70" s="14"/>
      <c r="B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70"/>
      <c r="U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88"/>
      <c r="AN70" s="179"/>
      <c r="AO70" s="176" t="s">
        <v>36</v>
      </c>
      <c r="AP70" s="73" t="s">
        <v>34</v>
      </c>
      <c r="AQ70" s="135" t="s">
        <v>37</v>
      </c>
      <c r="AR70" s="74" t="s">
        <v>38</v>
      </c>
      <c r="AS70" s="74" t="s">
        <v>38</v>
      </c>
      <c r="AT70" s="47"/>
      <c r="AU70" s="176" t="s">
        <v>36</v>
      </c>
      <c r="AV70" s="73" t="s">
        <v>34</v>
      </c>
      <c r="AW70" s="133" t="s">
        <v>37</v>
      </c>
      <c r="AX70" s="74" t="s">
        <v>38</v>
      </c>
      <c r="AY70" s="74" t="s">
        <v>38</v>
      </c>
      <c r="AZ70" s="47"/>
      <c r="BA70" s="176" t="s">
        <v>36</v>
      </c>
      <c r="BB70" s="73" t="s">
        <v>34</v>
      </c>
      <c r="BC70" s="74" t="s">
        <v>38</v>
      </c>
      <c r="BD70" s="74" t="s">
        <v>38</v>
      </c>
      <c r="BE70" s="74" t="s">
        <v>38</v>
      </c>
      <c r="BF70" s="188"/>
      <c r="BG70" s="173"/>
      <c r="BH70" s="176" t="s">
        <v>36</v>
      </c>
      <c r="BI70" s="73" t="s">
        <v>34</v>
      </c>
      <c r="BJ70" s="135" t="s">
        <v>37</v>
      </c>
      <c r="BK70" s="74" t="s">
        <v>38</v>
      </c>
      <c r="BL70" s="74" t="s">
        <v>38</v>
      </c>
      <c r="BM70" s="47"/>
      <c r="BN70" s="176" t="s">
        <v>36</v>
      </c>
      <c r="BO70" s="73" t="s">
        <v>34</v>
      </c>
      <c r="BP70" s="135" t="s">
        <v>37</v>
      </c>
      <c r="BQ70" s="74" t="s">
        <v>38</v>
      </c>
      <c r="BR70" s="74" t="s">
        <v>38</v>
      </c>
      <c r="BS70" s="47"/>
      <c r="BT70" s="176" t="s">
        <v>36</v>
      </c>
      <c r="BU70" s="73" t="s">
        <v>34</v>
      </c>
      <c r="BV70" s="76" t="s">
        <v>38</v>
      </c>
      <c r="BW70" s="74" t="s">
        <v>38</v>
      </c>
      <c r="BX70" s="138" t="s">
        <v>39</v>
      </c>
      <c r="BY70" s="188"/>
      <c r="BZ70" s="173"/>
      <c r="CA70" s="176" t="s">
        <v>36</v>
      </c>
      <c r="CB70" s="73" t="s">
        <v>34</v>
      </c>
      <c r="CC70" s="135" t="s">
        <v>37</v>
      </c>
      <c r="CD70" s="74" t="s">
        <v>38</v>
      </c>
      <c r="CE70" s="74" t="s">
        <v>38</v>
      </c>
      <c r="CF70" s="47"/>
      <c r="CG70" s="176" t="s">
        <v>36</v>
      </c>
      <c r="CH70" s="73" t="s">
        <v>34</v>
      </c>
      <c r="CI70" s="163" t="s">
        <v>38</v>
      </c>
      <c r="CJ70" s="74" t="s">
        <v>38</v>
      </c>
      <c r="CK70" s="163" t="s">
        <v>39</v>
      </c>
      <c r="CL70" s="47"/>
      <c r="CM70" s="176" t="s">
        <v>36</v>
      </c>
      <c r="CN70" s="73" t="s">
        <v>34</v>
      </c>
      <c r="CO70" s="135" t="s">
        <v>38</v>
      </c>
      <c r="CP70" s="74" t="s">
        <v>38</v>
      </c>
      <c r="CQ70" s="135" t="s">
        <v>39</v>
      </c>
      <c r="CR70" s="170"/>
      <c r="CS70" s="173"/>
      <c r="CT70" s="176" t="s">
        <v>36</v>
      </c>
      <c r="CU70" s="73" t="s">
        <v>34</v>
      </c>
      <c r="CV70" s="135" t="s">
        <v>37</v>
      </c>
      <c r="CW70" s="74" t="s">
        <v>38</v>
      </c>
      <c r="CX70" s="138" t="s">
        <v>39</v>
      </c>
      <c r="CY70" s="47"/>
      <c r="CZ70" s="176" t="s">
        <v>36</v>
      </c>
      <c r="DA70" s="73" t="s">
        <v>34</v>
      </c>
      <c r="DB70" s="135" t="s">
        <v>38</v>
      </c>
      <c r="DC70" s="74" t="s">
        <v>38</v>
      </c>
      <c r="DD70" s="135" t="s">
        <v>39</v>
      </c>
      <c r="DE70" s="47"/>
      <c r="DF70" s="176" t="s">
        <v>36</v>
      </c>
      <c r="DG70" s="73" t="s">
        <v>34</v>
      </c>
      <c r="DH70" s="135" t="s">
        <v>38</v>
      </c>
      <c r="DI70" s="74" t="s">
        <v>38</v>
      </c>
      <c r="DJ70" s="135" t="s">
        <v>39</v>
      </c>
      <c r="DK70" s="182"/>
    </row>
    <row r="71" spans="1:115" ht="17.25" thickTop="1" thickBot="1" x14ac:dyDescent="0.3">
      <c r="A71" s="14"/>
      <c r="B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70"/>
      <c r="U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88"/>
      <c r="AN71" s="179"/>
      <c r="AO71" s="176"/>
      <c r="AP71" s="75" t="s">
        <v>31</v>
      </c>
      <c r="AQ71" s="76" t="s">
        <v>38</v>
      </c>
      <c r="AR71" s="134" t="s">
        <v>37</v>
      </c>
      <c r="AS71" s="76" t="s">
        <v>38</v>
      </c>
      <c r="AT71" s="47"/>
      <c r="AU71" s="176"/>
      <c r="AV71" s="75" t="s">
        <v>31</v>
      </c>
      <c r="AW71" s="76" t="s">
        <v>38</v>
      </c>
      <c r="AX71" s="76" t="s">
        <v>38</v>
      </c>
      <c r="AY71" s="76" t="s">
        <v>38</v>
      </c>
      <c r="AZ71" s="47"/>
      <c r="BA71" s="176"/>
      <c r="BB71" s="75" t="s">
        <v>31</v>
      </c>
      <c r="BC71" s="76" t="s">
        <v>38</v>
      </c>
      <c r="BD71" s="76" t="s">
        <v>38</v>
      </c>
      <c r="BE71" s="76" t="s">
        <v>38</v>
      </c>
      <c r="BF71" s="188"/>
      <c r="BG71" s="173"/>
      <c r="BH71" s="176"/>
      <c r="BI71" s="75" t="s">
        <v>31</v>
      </c>
      <c r="BJ71" s="76" t="s">
        <v>38</v>
      </c>
      <c r="BK71" s="134" t="s">
        <v>37</v>
      </c>
      <c r="BL71" s="76" t="s">
        <v>38</v>
      </c>
      <c r="BM71" s="47"/>
      <c r="BN71" s="176"/>
      <c r="BO71" s="75" t="s">
        <v>31</v>
      </c>
      <c r="BP71" s="76" t="s">
        <v>38</v>
      </c>
      <c r="BQ71" s="76" t="s">
        <v>38</v>
      </c>
      <c r="BR71" s="76" t="s">
        <v>38</v>
      </c>
      <c r="BS71" s="47"/>
      <c r="BT71" s="176"/>
      <c r="BU71" s="75" t="s">
        <v>31</v>
      </c>
      <c r="BV71" s="76" t="s">
        <v>38</v>
      </c>
      <c r="BW71" s="76" t="s">
        <v>38</v>
      </c>
      <c r="BX71" s="76" t="s">
        <v>38</v>
      </c>
      <c r="BY71" s="188"/>
      <c r="BZ71" s="173"/>
      <c r="CA71" s="176"/>
      <c r="CB71" s="75" t="s">
        <v>31</v>
      </c>
      <c r="CC71" s="76" t="s">
        <v>38</v>
      </c>
      <c r="CD71" s="134" t="s">
        <v>37</v>
      </c>
      <c r="CE71" s="76" t="s">
        <v>38</v>
      </c>
      <c r="CF71" s="47"/>
      <c r="CG71" s="176"/>
      <c r="CH71" s="75" t="s">
        <v>31</v>
      </c>
      <c r="CI71" s="76" t="s">
        <v>38</v>
      </c>
      <c r="CJ71" s="76" t="s">
        <v>38</v>
      </c>
      <c r="CK71" s="76" t="s">
        <v>38</v>
      </c>
      <c r="CL71" s="47"/>
      <c r="CM71" s="176"/>
      <c r="CN71" s="75" t="s">
        <v>31</v>
      </c>
      <c r="CO71" s="76" t="s">
        <v>38</v>
      </c>
      <c r="CP71" s="76" t="s">
        <v>38</v>
      </c>
      <c r="CQ71" s="76" t="s">
        <v>38</v>
      </c>
      <c r="CR71" s="170"/>
      <c r="CS71" s="173"/>
      <c r="CT71" s="176"/>
      <c r="CU71" s="75" t="s">
        <v>31</v>
      </c>
      <c r="CV71" s="76" t="s">
        <v>38</v>
      </c>
      <c r="CW71" s="134" t="s">
        <v>37</v>
      </c>
      <c r="CX71" s="76" t="s">
        <v>38</v>
      </c>
      <c r="CY71" s="47"/>
      <c r="CZ71" s="176"/>
      <c r="DA71" s="75" t="s">
        <v>31</v>
      </c>
      <c r="DB71" s="76" t="s">
        <v>38</v>
      </c>
      <c r="DC71" s="76" t="s">
        <v>38</v>
      </c>
      <c r="DD71" s="76" t="s">
        <v>38</v>
      </c>
      <c r="DE71" s="47"/>
      <c r="DF71" s="176"/>
      <c r="DG71" s="75" t="s">
        <v>31</v>
      </c>
      <c r="DH71" s="76" t="s">
        <v>38</v>
      </c>
      <c r="DI71" s="76" t="s">
        <v>38</v>
      </c>
      <c r="DJ71" s="76" t="s">
        <v>38</v>
      </c>
      <c r="DK71" s="182"/>
    </row>
    <row r="72" spans="1:115" ht="17.25" thickTop="1" thickBot="1" x14ac:dyDescent="0.3">
      <c r="A72" s="14"/>
      <c r="B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70"/>
      <c r="U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89"/>
      <c r="AN72" s="180"/>
      <c r="AO72" s="177"/>
      <c r="AP72" s="127" t="s">
        <v>35</v>
      </c>
      <c r="AQ72" s="128" t="s">
        <v>38</v>
      </c>
      <c r="AR72" s="128" t="s">
        <v>38</v>
      </c>
      <c r="AS72" s="128" t="s">
        <v>38</v>
      </c>
      <c r="AT72" s="48"/>
      <c r="AU72" s="177"/>
      <c r="AV72" s="127" t="s">
        <v>35</v>
      </c>
      <c r="AW72" s="128" t="s">
        <v>38</v>
      </c>
      <c r="AX72" s="128" t="s">
        <v>38</v>
      </c>
      <c r="AY72" s="128" t="s">
        <v>38</v>
      </c>
      <c r="AZ72" s="48"/>
      <c r="BA72" s="177"/>
      <c r="BB72" s="127" t="s">
        <v>35</v>
      </c>
      <c r="BC72" s="128" t="s">
        <v>38</v>
      </c>
      <c r="BD72" s="128" t="s">
        <v>38</v>
      </c>
      <c r="BE72" s="128" t="s">
        <v>38</v>
      </c>
      <c r="BF72" s="188"/>
      <c r="BG72" s="174"/>
      <c r="BH72" s="177"/>
      <c r="BI72" s="127" t="s">
        <v>35</v>
      </c>
      <c r="BJ72" s="128" t="s">
        <v>38</v>
      </c>
      <c r="BK72" s="128" t="s">
        <v>38</v>
      </c>
      <c r="BL72" s="128" t="s">
        <v>38</v>
      </c>
      <c r="BM72" s="48"/>
      <c r="BN72" s="177"/>
      <c r="BO72" s="127" t="s">
        <v>35</v>
      </c>
      <c r="BP72" s="128" t="s">
        <v>38</v>
      </c>
      <c r="BQ72" s="128" t="s">
        <v>38</v>
      </c>
      <c r="BR72" s="128" t="s">
        <v>38</v>
      </c>
      <c r="BS72" s="48"/>
      <c r="BT72" s="177"/>
      <c r="BU72" s="127" t="s">
        <v>35</v>
      </c>
      <c r="BV72" s="128" t="s">
        <v>38</v>
      </c>
      <c r="BW72" s="128" t="s">
        <v>38</v>
      </c>
      <c r="BX72" s="128" t="s">
        <v>38</v>
      </c>
      <c r="BY72" s="188"/>
      <c r="BZ72" s="174"/>
      <c r="CA72" s="177"/>
      <c r="CB72" s="127" t="s">
        <v>35</v>
      </c>
      <c r="CC72" s="128" t="s">
        <v>38</v>
      </c>
      <c r="CD72" s="128" t="s">
        <v>38</v>
      </c>
      <c r="CE72" s="128" t="s">
        <v>38</v>
      </c>
      <c r="CF72" s="48"/>
      <c r="CG72" s="177"/>
      <c r="CH72" s="127" t="s">
        <v>35</v>
      </c>
      <c r="CI72" s="165" t="s">
        <v>39</v>
      </c>
      <c r="CJ72" s="128" t="s">
        <v>38</v>
      </c>
      <c r="CK72" s="128" t="s">
        <v>38</v>
      </c>
      <c r="CL72" s="48"/>
      <c r="CM72" s="177"/>
      <c r="CN72" s="127" t="s">
        <v>35</v>
      </c>
      <c r="CO72" s="136" t="s">
        <v>39</v>
      </c>
      <c r="CP72" s="128" t="s">
        <v>38</v>
      </c>
      <c r="CQ72" s="128" t="s">
        <v>38</v>
      </c>
      <c r="CR72" s="171"/>
      <c r="CS72" s="174"/>
      <c r="CT72" s="177"/>
      <c r="CU72" s="136" t="s">
        <v>39</v>
      </c>
      <c r="CV72" s="128" t="s">
        <v>38</v>
      </c>
      <c r="CW72" s="128" t="s">
        <v>38</v>
      </c>
      <c r="CX72" s="128" t="s">
        <v>38</v>
      </c>
      <c r="CY72" s="48"/>
      <c r="CZ72" s="177"/>
      <c r="DA72" s="127" t="s">
        <v>35</v>
      </c>
      <c r="DB72" s="141" t="s">
        <v>39</v>
      </c>
      <c r="DC72" s="128" t="s">
        <v>38</v>
      </c>
      <c r="DD72" s="128" t="s">
        <v>38</v>
      </c>
      <c r="DE72" s="48"/>
      <c r="DF72" s="177"/>
      <c r="DG72" s="127" t="s">
        <v>35</v>
      </c>
      <c r="DH72" s="141" t="s">
        <v>39</v>
      </c>
      <c r="DI72" s="128" t="s">
        <v>38</v>
      </c>
      <c r="DJ72" s="128" t="s">
        <v>38</v>
      </c>
      <c r="DK72" s="183"/>
    </row>
    <row r="73" spans="1:115" ht="16.5" thickBot="1" x14ac:dyDescent="0.3">
      <c r="A73" s="14"/>
      <c r="B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U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N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90"/>
      <c r="BG73" s="143"/>
      <c r="BY73" s="190"/>
      <c r="BZ73" s="142"/>
      <c r="CS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5" ht="15" customHeight="1" thickTop="1" thickBot="1" x14ac:dyDescent="0.3">
      <c r="A74" s="14"/>
      <c r="B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U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N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90"/>
      <c r="BY74" s="188"/>
      <c r="BZ74" s="191" t="s">
        <v>30</v>
      </c>
      <c r="CA74" s="20"/>
      <c r="CB74" s="11"/>
      <c r="CC74" s="175" t="s">
        <v>31</v>
      </c>
      <c r="CD74" s="175"/>
      <c r="CE74" s="175"/>
      <c r="CF74" s="46"/>
      <c r="CG74" s="11"/>
      <c r="CH74" s="11"/>
      <c r="CI74" s="175" t="s">
        <v>31</v>
      </c>
      <c r="CJ74" s="175"/>
      <c r="CK74" s="175"/>
      <c r="CL74" s="46"/>
      <c r="CM74" s="11"/>
      <c r="CN74" s="11"/>
      <c r="CO74" s="175" t="s">
        <v>31</v>
      </c>
      <c r="CP74" s="175"/>
      <c r="CQ74" s="175"/>
      <c r="CR74" s="187" t="s">
        <v>74</v>
      </c>
      <c r="CS74" s="172" t="s">
        <v>40</v>
      </c>
      <c r="CT74" s="20"/>
      <c r="CU74" s="11"/>
      <c r="CV74" s="175" t="s">
        <v>31</v>
      </c>
      <c r="CW74" s="175"/>
      <c r="CX74" s="175"/>
      <c r="CY74" s="46"/>
      <c r="CZ74" s="11"/>
      <c r="DA74" s="11"/>
      <c r="DB74" s="175" t="s">
        <v>31</v>
      </c>
      <c r="DC74" s="175"/>
      <c r="DD74" s="175"/>
      <c r="DE74" s="46"/>
      <c r="DF74" s="11"/>
      <c r="DG74" s="11"/>
      <c r="DH74" s="175" t="s">
        <v>31</v>
      </c>
      <c r="DI74" s="175"/>
      <c r="DJ74" s="175"/>
      <c r="DK74" s="181" t="s">
        <v>41</v>
      </c>
    </row>
    <row r="75" spans="1:115" ht="15" customHeight="1" thickTop="1" thickBot="1" x14ac:dyDescent="0.3">
      <c r="A75" s="14"/>
      <c r="B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U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N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90"/>
      <c r="BY75" s="188"/>
      <c r="BZ75" s="192"/>
      <c r="CA75" s="21"/>
      <c r="CB75" s="71" t="s">
        <v>33</v>
      </c>
      <c r="CC75" s="72" t="s">
        <v>34</v>
      </c>
      <c r="CD75" s="72" t="s">
        <v>31</v>
      </c>
      <c r="CE75" s="72" t="s">
        <v>35</v>
      </c>
      <c r="CF75" s="47"/>
      <c r="CH75" s="71" t="s">
        <v>33</v>
      </c>
      <c r="CI75" s="72" t="s">
        <v>34</v>
      </c>
      <c r="CJ75" s="72" t="s">
        <v>31</v>
      </c>
      <c r="CK75" s="72" t="s">
        <v>35</v>
      </c>
      <c r="CL75" s="47"/>
      <c r="CN75" s="71" t="s">
        <v>33</v>
      </c>
      <c r="CO75" s="72" t="s">
        <v>34</v>
      </c>
      <c r="CP75" s="72" t="s">
        <v>31</v>
      </c>
      <c r="CQ75" s="72" t="s">
        <v>35</v>
      </c>
      <c r="CR75" s="188"/>
      <c r="CS75" s="173"/>
      <c r="CT75" s="21"/>
      <c r="CU75" s="71" t="s">
        <v>33</v>
      </c>
      <c r="CV75" s="72" t="s">
        <v>34</v>
      </c>
      <c r="CW75" s="72" t="s">
        <v>31</v>
      </c>
      <c r="CX75" s="72" t="s">
        <v>35</v>
      </c>
      <c r="CY75" s="47"/>
      <c r="DA75" s="71" t="s">
        <v>33</v>
      </c>
      <c r="DB75" s="72" t="s">
        <v>34</v>
      </c>
      <c r="DC75" s="72" t="s">
        <v>31</v>
      </c>
      <c r="DD75" s="72" t="s">
        <v>35</v>
      </c>
      <c r="DE75" s="47"/>
      <c r="DG75" s="71" t="s">
        <v>33</v>
      </c>
      <c r="DH75" s="72" t="s">
        <v>34</v>
      </c>
      <c r="DI75" s="72" t="s">
        <v>31</v>
      </c>
      <c r="DJ75" s="72" t="s">
        <v>35</v>
      </c>
      <c r="DK75" s="182"/>
    </row>
    <row r="76" spans="1:115" ht="15" customHeight="1" thickTop="1" thickBot="1" x14ac:dyDescent="0.3">
      <c r="A76" s="14"/>
      <c r="B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U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N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90"/>
      <c r="BY76" s="188"/>
      <c r="BZ76" s="192"/>
      <c r="CA76" s="176" t="s">
        <v>36</v>
      </c>
      <c r="CB76" s="73" t="s">
        <v>34</v>
      </c>
      <c r="CC76" s="135" t="s">
        <v>37</v>
      </c>
      <c r="CD76" s="74" t="s">
        <v>38</v>
      </c>
      <c r="CE76" s="74" t="s">
        <v>38</v>
      </c>
      <c r="CF76" s="47"/>
      <c r="CG76" s="176" t="s">
        <v>36</v>
      </c>
      <c r="CH76" s="73" t="s">
        <v>34</v>
      </c>
      <c r="CI76" s="135" t="s">
        <v>37</v>
      </c>
      <c r="CJ76" s="74" t="s">
        <v>38</v>
      </c>
      <c r="CK76" s="74" t="s">
        <v>38</v>
      </c>
      <c r="CL76" s="47"/>
      <c r="CM76" s="176" t="s">
        <v>36</v>
      </c>
      <c r="CN76" s="73" t="s">
        <v>34</v>
      </c>
      <c r="CO76" s="135" t="s">
        <v>38</v>
      </c>
      <c r="CP76" s="74" t="s">
        <v>38</v>
      </c>
      <c r="CQ76" s="135" t="s">
        <v>39</v>
      </c>
      <c r="CR76" s="188"/>
      <c r="CS76" s="173"/>
      <c r="CT76" s="176" t="s">
        <v>36</v>
      </c>
      <c r="CU76" s="73" t="s">
        <v>34</v>
      </c>
      <c r="CV76" s="135" t="s">
        <v>37</v>
      </c>
      <c r="CW76" s="74" t="s">
        <v>38</v>
      </c>
      <c r="CX76" s="225" t="s">
        <v>39</v>
      </c>
      <c r="CY76" s="47"/>
      <c r="CZ76" s="176" t="s">
        <v>36</v>
      </c>
      <c r="DA76" s="73" t="s">
        <v>34</v>
      </c>
      <c r="DB76" s="135" t="s">
        <v>37</v>
      </c>
      <c r="DC76" s="74" t="s">
        <v>38</v>
      </c>
      <c r="DD76" s="74" t="s">
        <v>38</v>
      </c>
      <c r="DE76" s="47"/>
      <c r="DF76" s="176" t="s">
        <v>36</v>
      </c>
      <c r="DG76" s="73" t="s">
        <v>34</v>
      </c>
      <c r="DH76" s="133" t="s">
        <v>39</v>
      </c>
      <c r="DI76" s="74" t="s">
        <v>38</v>
      </c>
      <c r="DJ76" s="135" t="s">
        <v>39</v>
      </c>
      <c r="DK76" s="182"/>
    </row>
    <row r="77" spans="1:115" ht="15" customHeight="1" thickTop="1" thickBot="1" x14ac:dyDescent="0.3">
      <c r="A77" s="14"/>
      <c r="B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U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N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90"/>
      <c r="BY77" s="188"/>
      <c r="BZ77" s="192"/>
      <c r="CA77" s="176"/>
      <c r="CB77" s="75" t="s">
        <v>31</v>
      </c>
      <c r="CC77" s="76" t="s">
        <v>38</v>
      </c>
      <c r="CD77" s="134" t="s">
        <v>37</v>
      </c>
      <c r="CE77" s="76" t="s">
        <v>38</v>
      </c>
      <c r="CF77" s="47"/>
      <c r="CG77" s="176"/>
      <c r="CH77" s="75" t="s">
        <v>31</v>
      </c>
      <c r="CI77" s="76" t="s">
        <v>38</v>
      </c>
      <c r="CJ77" s="76" t="s">
        <v>38</v>
      </c>
      <c r="CK77" s="76" t="s">
        <v>38</v>
      </c>
      <c r="CL77" s="47"/>
      <c r="CM77" s="176"/>
      <c r="CN77" s="75" t="s">
        <v>31</v>
      </c>
      <c r="CO77" s="76" t="s">
        <v>38</v>
      </c>
      <c r="CP77" s="76" t="s">
        <v>38</v>
      </c>
      <c r="CQ77" s="76" t="s">
        <v>38</v>
      </c>
      <c r="CR77" s="188"/>
      <c r="CS77" s="173"/>
      <c r="CT77" s="176"/>
      <c r="CU77" s="75" t="s">
        <v>31</v>
      </c>
      <c r="CV77" s="76" t="s">
        <v>38</v>
      </c>
      <c r="CW77" s="134" t="s">
        <v>37</v>
      </c>
      <c r="CX77" s="224" t="s">
        <v>38</v>
      </c>
      <c r="CY77" s="47"/>
      <c r="CZ77" s="176"/>
      <c r="DA77" s="75" t="s">
        <v>31</v>
      </c>
      <c r="DB77" s="76" t="s">
        <v>38</v>
      </c>
      <c r="DC77" s="76" t="s">
        <v>38</v>
      </c>
      <c r="DD77" s="76" t="s">
        <v>38</v>
      </c>
      <c r="DE77" s="47"/>
      <c r="DF77" s="176"/>
      <c r="DG77" s="75" t="s">
        <v>31</v>
      </c>
      <c r="DH77" s="76" t="s">
        <v>38</v>
      </c>
      <c r="DI77" s="76" t="s">
        <v>38</v>
      </c>
      <c r="DJ77" s="76" t="s">
        <v>38</v>
      </c>
      <c r="DK77" s="182"/>
    </row>
    <row r="78" spans="1:115" ht="15" customHeight="1" thickTop="1" thickBot="1" x14ac:dyDescent="0.3">
      <c r="A78" s="14"/>
      <c r="B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U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N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90"/>
      <c r="BY78" s="189"/>
      <c r="BZ78" s="193"/>
      <c r="CA78" s="177"/>
      <c r="CB78" s="127" t="s">
        <v>35</v>
      </c>
      <c r="CC78" s="128" t="s">
        <v>38</v>
      </c>
      <c r="CD78" s="128" t="s">
        <v>38</v>
      </c>
      <c r="CE78" s="128" t="s">
        <v>38</v>
      </c>
      <c r="CF78" s="48"/>
      <c r="CG78" s="177"/>
      <c r="CH78" s="127" t="s">
        <v>35</v>
      </c>
      <c r="CI78" s="128" t="s">
        <v>38</v>
      </c>
      <c r="CJ78" s="128" t="s">
        <v>38</v>
      </c>
      <c r="CK78" s="128" t="s">
        <v>38</v>
      </c>
      <c r="CL78" s="48"/>
      <c r="CM78" s="177"/>
      <c r="CN78" s="127" t="s">
        <v>35</v>
      </c>
      <c r="CO78" s="136" t="s">
        <v>37</v>
      </c>
      <c r="CP78" s="128" t="s">
        <v>38</v>
      </c>
      <c r="CQ78" s="128" t="s">
        <v>38</v>
      </c>
      <c r="CR78" s="189"/>
      <c r="CS78" s="174"/>
      <c r="CT78" s="177"/>
      <c r="CU78" s="127" t="s">
        <v>35</v>
      </c>
      <c r="CV78" s="227" t="s">
        <v>39</v>
      </c>
      <c r="CW78" s="226" t="s">
        <v>38</v>
      </c>
      <c r="CX78" s="128" t="s">
        <v>38</v>
      </c>
      <c r="CY78" s="48"/>
      <c r="CZ78" s="177"/>
      <c r="DA78" s="127" t="s">
        <v>35</v>
      </c>
      <c r="DB78" s="128" t="s">
        <v>38</v>
      </c>
      <c r="DC78" s="128" t="s">
        <v>38</v>
      </c>
      <c r="DD78" s="128" t="s">
        <v>38</v>
      </c>
      <c r="DE78" s="48"/>
      <c r="DF78" s="177"/>
      <c r="DG78" s="127" t="s">
        <v>35</v>
      </c>
      <c r="DH78" s="141" t="s">
        <v>37</v>
      </c>
      <c r="DI78" s="128" t="s">
        <v>38</v>
      </c>
      <c r="DJ78" s="128" t="s">
        <v>38</v>
      </c>
      <c r="DK78" s="183"/>
    </row>
    <row r="79" spans="1:115" ht="15" customHeight="1" thickBot="1" x14ac:dyDescent="0.3">
      <c r="A79" s="14"/>
      <c r="B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U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N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90"/>
      <c r="BG79" s="123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Z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70"/>
      <c r="CS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</row>
    <row r="80" spans="1:115" ht="15" customHeight="1" thickTop="1" thickBot="1" x14ac:dyDescent="0.3">
      <c r="A80" s="14"/>
      <c r="B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U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N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88"/>
      <c r="BG80" s="178" t="s">
        <v>30</v>
      </c>
      <c r="BH80" s="20"/>
      <c r="BI80" s="11"/>
      <c r="BJ80" s="175" t="s">
        <v>31</v>
      </c>
      <c r="BK80" s="175"/>
      <c r="BL80" s="175"/>
      <c r="BM80" s="46"/>
      <c r="BN80" s="11"/>
      <c r="BO80" s="11"/>
      <c r="BP80" s="175" t="s">
        <v>31</v>
      </c>
      <c r="BQ80" s="175"/>
      <c r="BR80" s="175"/>
      <c r="BS80" s="46"/>
      <c r="BT80" s="11"/>
      <c r="BU80" s="11"/>
      <c r="BV80" s="175" t="s">
        <v>31</v>
      </c>
      <c r="BW80" s="175"/>
      <c r="BX80" s="175"/>
      <c r="BY80" s="187" t="s">
        <v>77</v>
      </c>
      <c r="BZ80" s="191" t="s">
        <v>30</v>
      </c>
      <c r="CA80" s="20"/>
      <c r="CB80" s="11"/>
      <c r="CC80" s="175" t="s">
        <v>31</v>
      </c>
      <c r="CD80" s="175"/>
      <c r="CE80" s="175"/>
      <c r="CF80" s="46"/>
      <c r="CG80" s="11"/>
      <c r="CH80" s="11"/>
      <c r="CI80" s="175" t="s">
        <v>31</v>
      </c>
      <c r="CJ80" s="175"/>
      <c r="CK80" s="175"/>
      <c r="CL80" s="46"/>
      <c r="CM80" s="11"/>
      <c r="CN80" s="11"/>
      <c r="CO80" s="175" t="s">
        <v>31</v>
      </c>
      <c r="CP80" s="175"/>
      <c r="CQ80" s="175"/>
      <c r="CR80" s="187" t="s">
        <v>74</v>
      </c>
      <c r="CS80" s="172" t="s">
        <v>40</v>
      </c>
      <c r="CT80" s="20"/>
      <c r="CU80" s="11"/>
      <c r="CV80" s="175" t="s">
        <v>31</v>
      </c>
      <c r="CW80" s="175"/>
      <c r="CX80" s="175"/>
      <c r="CY80" s="46"/>
      <c r="CZ80" s="11"/>
      <c r="DA80" s="11"/>
      <c r="DB80" s="175" t="s">
        <v>31</v>
      </c>
      <c r="DC80" s="175"/>
      <c r="DD80" s="175"/>
      <c r="DE80" s="46"/>
      <c r="DF80" s="11"/>
      <c r="DG80" s="11"/>
      <c r="DH80" s="175" t="s">
        <v>31</v>
      </c>
      <c r="DI80" s="175"/>
      <c r="DJ80" s="175"/>
      <c r="DK80" s="181" t="s">
        <v>78</v>
      </c>
    </row>
    <row r="81" spans="1:115" ht="15" customHeight="1" thickTop="1" thickBot="1" x14ac:dyDescent="0.3">
      <c r="A81" s="14"/>
      <c r="B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U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N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88"/>
      <c r="BG81" s="179"/>
      <c r="BH81" s="21"/>
      <c r="BI81" s="71" t="s">
        <v>33</v>
      </c>
      <c r="BJ81" s="72" t="s">
        <v>34</v>
      </c>
      <c r="BK81" s="72" t="s">
        <v>31</v>
      </c>
      <c r="BL81" s="72" t="s">
        <v>35</v>
      </c>
      <c r="BM81" s="47"/>
      <c r="BO81" s="71" t="s">
        <v>33</v>
      </c>
      <c r="BP81" s="72" t="s">
        <v>34</v>
      </c>
      <c r="BQ81" s="72" t="s">
        <v>31</v>
      </c>
      <c r="BR81" s="72" t="s">
        <v>35</v>
      </c>
      <c r="BS81" s="47"/>
      <c r="BU81" s="71" t="s">
        <v>33</v>
      </c>
      <c r="BV81" s="72" t="s">
        <v>34</v>
      </c>
      <c r="BW81" s="72" t="s">
        <v>31</v>
      </c>
      <c r="BX81" s="72" t="s">
        <v>35</v>
      </c>
      <c r="BY81" s="188"/>
      <c r="BZ81" s="192"/>
      <c r="CA81" s="21"/>
      <c r="CB81" s="71" t="s">
        <v>33</v>
      </c>
      <c r="CC81" s="72" t="s">
        <v>34</v>
      </c>
      <c r="CD81" s="72" t="s">
        <v>31</v>
      </c>
      <c r="CE81" s="72" t="s">
        <v>35</v>
      </c>
      <c r="CF81" s="47"/>
      <c r="CH81" s="71" t="s">
        <v>33</v>
      </c>
      <c r="CI81" s="72" t="s">
        <v>34</v>
      </c>
      <c r="CJ81" s="72" t="s">
        <v>31</v>
      </c>
      <c r="CK81" s="72" t="s">
        <v>35</v>
      </c>
      <c r="CL81" s="47"/>
      <c r="CN81" s="71" t="s">
        <v>33</v>
      </c>
      <c r="CO81" s="72" t="s">
        <v>34</v>
      </c>
      <c r="CP81" s="72" t="s">
        <v>31</v>
      </c>
      <c r="CQ81" s="72" t="s">
        <v>35</v>
      </c>
      <c r="CR81" s="188"/>
      <c r="CS81" s="173"/>
      <c r="CT81" s="21"/>
      <c r="CU81" s="71" t="s">
        <v>33</v>
      </c>
      <c r="CV81" s="72" t="s">
        <v>34</v>
      </c>
      <c r="CW81" s="72" t="s">
        <v>31</v>
      </c>
      <c r="CX81" s="72" t="s">
        <v>35</v>
      </c>
      <c r="CY81" s="47"/>
      <c r="DA81" s="71" t="s">
        <v>33</v>
      </c>
      <c r="DB81" s="72" t="s">
        <v>34</v>
      </c>
      <c r="DC81" s="72" t="s">
        <v>31</v>
      </c>
      <c r="DD81" s="72" t="s">
        <v>35</v>
      </c>
      <c r="DE81" s="47"/>
      <c r="DG81" s="71" t="s">
        <v>33</v>
      </c>
      <c r="DH81" s="72" t="s">
        <v>34</v>
      </c>
      <c r="DI81" s="72" t="s">
        <v>31</v>
      </c>
      <c r="DJ81" s="72" t="s">
        <v>35</v>
      </c>
      <c r="DK81" s="182"/>
    </row>
    <row r="82" spans="1:115" ht="15" customHeight="1" thickTop="1" thickBot="1" x14ac:dyDescent="0.3">
      <c r="A82" s="14"/>
      <c r="B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U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N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88"/>
      <c r="BG82" s="179"/>
      <c r="BH82" s="176" t="s">
        <v>36</v>
      </c>
      <c r="BI82" s="73" t="s">
        <v>34</v>
      </c>
      <c r="BJ82" s="135" t="s">
        <v>37</v>
      </c>
      <c r="BK82" s="74" t="s">
        <v>38</v>
      </c>
      <c r="BL82" s="74" t="s">
        <v>38</v>
      </c>
      <c r="BM82" s="47"/>
      <c r="BN82" s="176" t="s">
        <v>36</v>
      </c>
      <c r="BO82" s="73" t="s">
        <v>34</v>
      </c>
      <c r="BP82" s="135" t="s">
        <v>37</v>
      </c>
      <c r="BQ82" s="74" t="s">
        <v>38</v>
      </c>
      <c r="BR82" s="74" t="s">
        <v>38</v>
      </c>
      <c r="BS82" s="47"/>
      <c r="BT82" s="176" t="s">
        <v>36</v>
      </c>
      <c r="BU82" s="73" t="s">
        <v>34</v>
      </c>
      <c r="BV82" s="76" t="s">
        <v>38</v>
      </c>
      <c r="BW82" s="74" t="s">
        <v>38</v>
      </c>
      <c r="BX82" s="138" t="s">
        <v>37</v>
      </c>
      <c r="BY82" s="188"/>
      <c r="BZ82" s="192"/>
      <c r="CA82" s="176" t="s">
        <v>36</v>
      </c>
      <c r="CB82" s="73" t="s">
        <v>34</v>
      </c>
      <c r="CC82" s="135" t="s">
        <v>37</v>
      </c>
      <c r="CD82" s="74" t="s">
        <v>38</v>
      </c>
      <c r="CE82" s="74" t="s">
        <v>38</v>
      </c>
      <c r="CF82" s="47"/>
      <c r="CG82" s="176" t="s">
        <v>36</v>
      </c>
      <c r="CH82" s="73" t="s">
        <v>34</v>
      </c>
      <c r="CI82" s="135" t="s">
        <v>37</v>
      </c>
      <c r="CJ82" s="74" t="s">
        <v>38</v>
      </c>
      <c r="CK82" s="74" t="s">
        <v>38</v>
      </c>
      <c r="CL82" s="47"/>
      <c r="CM82" s="176" t="s">
        <v>36</v>
      </c>
      <c r="CN82" s="73" t="s">
        <v>34</v>
      </c>
      <c r="CO82" s="135" t="s">
        <v>38</v>
      </c>
      <c r="CP82" s="74" t="s">
        <v>38</v>
      </c>
      <c r="CQ82" s="135" t="s">
        <v>37</v>
      </c>
      <c r="CR82" s="188"/>
      <c r="CS82" s="173"/>
      <c r="CT82" s="176" t="s">
        <v>36</v>
      </c>
      <c r="CU82" s="73" t="s">
        <v>34</v>
      </c>
      <c r="CV82" s="135" t="s">
        <v>37</v>
      </c>
      <c r="CW82" s="74" t="s">
        <v>38</v>
      </c>
      <c r="CX82" s="225" t="s">
        <v>39</v>
      </c>
      <c r="CY82" s="47"/>
      <c r="CZ82" s="176" t="s">
        <v>36</v>
      </c>
      <c r="DA82" s="73" t="s">
        <v>34</v>
      </c>
      <c r="DB82" s="135" t="s">
        <v>37</v>
      </c>
      <c r="DC82" s="74" t="s">
        <v>38</v>
      </c>
      <c r="DD82" s="74" t="s">
        <v>38</v>
      </c>
      <c r="DE82" s="47"/>
      <c r="DF82" s="176" t="s">
        <v>36</v>
      </c>
      <c r="DG82" s="73" t="s">
        <v>34</v>
      </c>
      <c r="DH82" s="133" t="s">
        <v>39</v>
      </c>
      <c r="DI82" s="74" t="s">
        <v>38</v>
      </c>
      <c r="DJ82" s="135" t="s">
        <v>37</v>
      </c>
      <c r="DK82" s="182"/>
    </row>
    <row r="83" spans="1:115" ht="15" customHeight="1" thickTop="1" thickBot="1" x14ac:dyDescent="0.3">
      <c r="A83" s="14"/>
      <c r="B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U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N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88"/>
      <c r="BG83" s="179"/>
      <c r="BH83" s="176"/>
      <c r="BI83" s="75" t="s">
        <v>31</v>
      </c>
      <c r="BJ83" s="76" t="s">
        <v>38</v>
      </c>
      <c r="BK83" s="134" t="s">
        <v>37</v>
      </c>
      <c r="BL83" s="76" t="s">
        <v>38</v>
      </c>
      <c r="BM83" s="47"/>
      <c r="BN83" s="176"/>
      <c r="BO83" s="75" t="s">
        <v>31</v>
      </c>
      <c r="BP83" s="76" t="s">
        <v>38</v>
      </c>
      <c r="BQ83" s="76" t="s">
        <v>38</v>
      </c>
      <c r="BR83" s="76" t="s">
        <v>38</v>
      </c>
      <c r="BS83" s="47"/>
      <c r="BT83" s="176"/>
      <c r="BU83" s="75" t="s">
        <v>31</v>
      </c>
      <c r="BV83" s="76" t="s">
        <v>38</v>
      </c>
      <c r="BW83" s="76" t="s">
        <v>38</v>
      </c>
      <c r="BX83" s="76" t="s">
        <v>38</v>
      </c>
      <c r="BY83" s="188"/>
      <c r="BZ83" s="192"/>
      <c r="CA83" s="176"/>
      <c r="CB83" s="75" t="s">
        <v>31</v>
      </c>
      <c r="CC83" s="76" t="s">
        <v>38</v>
      </c>
      <c r="CD83" s="134" t="s">
        <v>37</v>
      </c>
      <c r="CE83" s="76" t="s">
        <v>38</v>
      </c>
      <c r="CF83" s="47"/>
      <c r="CG83" s="176"/>
      <c r="CH83" s="75" t="s">
        <v>31</v>
      </c>
      <c r="CI83" s="76" t="s">
        <v>38</v>
      </c>
      <c r="CJ83" s="76" t="s">
        <v>38</v>
      </c>
      <c r="CK83" s="76" t="s">
        <v>38</v>
      </c>
      <c r="CL83" s="47"/>
      <c r="CM83" s="176"/>
      <c r="CN83" s="75" t="s">
        <v>31</v>
      </c>
      <c r="CO83" s="76" t="s">
        <v>38</v>
      </c>
      <c r="CP83" s="76" t="s">
        <v>38</v>
      </c>
      <c r="CQ83" s="76" t="s">
        <v>38</v>
      </c>
      <c r="CR83" s="188"/>
      <c r="CS83" s="173"/>
      <c r="CT83" s="176"/>
      <c r="CU83" s="75" t="s">
        <v>31</v>
      </c>
      <c r="CV83" s="76" t="s">
        <v>38</v>
      </c>
      <c r="CW83" s="134" t="s">
        <v>37</v>
      </c>
      <c r="CX83" s="76" t="s">
        <v>38</v>
      </c>
      <c r="CY83" s="47"/>
      <c r="CZ83" s="176"/>
      <c r="DA83" s="75" t="s">
        <v>31</v>
      </c>
      <c r="DB83" s="76" t="s">
        <v>38</v>
      </c>
      <c r="DC83" s="76" t="s">
        <v>38</v>
      </c>
      <c r="DD83" s="76" t="s">
        <v>38</v>
      </c>
      <c r="DE83" s="47"/>
      <c r="DF83" s="176"/>
      <c r="DG83" s="75" t="s">
        <v>31</v>
      </c>
      <c r="DH83" s="76" t="s">
        <v>38</v>
      </c>
      <c r="DI83" s="76" t="s">
        <v>38</v>
      </c>
      <c r="DJ83" s="76" t="s">
        <v>38</v>
      </c>
      <c r="DK83" s="182"/>
    </row>
    <row r="84" spans="1:115" ht="15" customHeight="1" thickTop="1" thickBot="1" x14ac:dyDescent="0.3">
      <c r="A84" s="14"/>
      <c r="B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U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N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89"/>
      <c r="BG84" s="180"/>
      <c r="BH84" s="177"/>
      <c r="BI84" s="127" t="s">
        <v>35</v>
      </c>
      <c r="BJ84" s="128" t="s">
        <v>38</v>
      </c>
      <c r="BK84" s="128" t="s">
        <v>38</v>
      </c>
      <c r="BL84" s="128" t="s">
        <v>38</v>
      </c>
      <c r="BM84" s="48"/>
      <c r="BN84" s="177"/>
      <c r="BO84" s="127" t="s">
        <v>35</v>
      </c>
      <c r="BP84" s="128" t="s">
        <v>38</v>
      </c>
      <c r="BQ84" s="128" t="s">
        <v>38</v>
      </c>
      <c r="BR84" s="128" t="s">
        <v>38</v>
      </c>
      <c r="BS84" s="48"/>
      <c r="BT84" s="177"/>
      <c r="BU84" s="127" t="s">
        <v>35</v>
      </c>
      <c r="BV84" s="128" t="s">
        <v>38</v>
      </c>
      <c r="BW84" s="128" t="s">
        <v>38</v>
      </c>
      <c r="BX84" s="128" t="s">
        <v>38</v>
      </c>
      <c r="BY84" s="189"/>
      <c r="BZ84" s="193"/>
      <c r="CA84" s="177"/>
      <c r="CB84" s="127" t="s">
        <v>35</v>
      </c>
      <c r="CC84" s="128" t="s">
        <v>38</v>
      </c>
      <c r="CD84" s="128" t="s">
        <v>38</v>
      </c>
      <c r="CE84" s="128" t="s">
        <v>38</v>
      </c>
      <c r="CF84" s="48"/>
      <c r="CG84" s="177"/>
      <c r="CH84" s="127" t="s">
        <v>35</v>
      </c>
      <c r="CI84" s="128" t="s">
        <v>38</v>
      </c>
      <c r="CJ84" s="128" t="s">
        <v>38</v>
      </c>
      <c r="CK84" s="128" t="s">
        <v>38</v>
      </c>
      <c r="CL84" s="48"/>
      <c r="CM84" s="177"/>
      <c r="CN84" s="127" t="s">
        <v>35</v>
      </c>
      <c r="CO84" s="136" t="s">
        <v>39</v>
      </c>
      <c r="CP84" s="128" t="s">
        <v>38</v>
      </c>
      <c r="CQ84" s="128" t="s">
        <v>38</v>
      </c>
      <c r="CR84" s="189"/>
      <c r="CS84" s="174"/>
      <c r="CT84" s="177"/>
      <c r="CU84" s="127" t="s">
        <v>35</v>
      </c>
      <c r="CV84" s="227" t="s">
        <v>39</v>
      </c>
      <c r="CW84" s="128" t="s">
        <v>38</v>
      </c>
      <c r="CX84" s="128" t="s">
        <v>38</v>
      </c>
      <c r="CY84" s="48"/>
      <c r="CZ84" s="177"/>
      <c r="DA84" s="127" t="s">
        <v>35</v>
      </c>
      <c r="DB84" s="128" t="s">
        <v>38</v>
      </c>
      <c r="DC84" s="128" t="s">
        <v>38</v>
      </c>
      <c r="DD84" s="128" t="s">
        <v>38</v>
      </c>
      <c r="DE84" s="48"/>
      <c r="DF84" s="177"/>
      <c r="DG84" s="127" t="s">
        <v>35</v>
      </c>
      <c r="DH84" s="141" t="s">
        <v>39</v>
      </c>
      <c r="DI84" s="128" t="s">
        <v>38</v>
      </c>
      <c r="DJ84" s="128" t="s">
        <v>38</v>
      </c>
      <c r="DK84" s="183"/>
    </row>
    <row r="85" spans="1:115" ht="15" customHeight="1" x14ac:dyDescent="0.25">
      <c r="A85" s="14"/>
      <c r="B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U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N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G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70"/>
      <c r="CS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</row>
    <row r="86" spans="1:115" ht="15" customHeight="1" x14ac:dyDescent="0.25">
      <c r="A86" s="14"/>
      <c r="B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U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N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G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70"/>
      <c r="BZ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S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</row>
    <row r="87" spans="1:115" ht="15" customHeight="1" x14ac:dyDescent="0.25">
      <c r="A87" s="14"/>
      <c r="B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U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N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G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70"/>
      <c r="BZ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S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</row>
    <row r="88" spans="1:115" ht="15" customHeight="1" x14ac:dyDescent="0.25">
      <c r="A88" s="14"/>
      <c r="B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U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N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Z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S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</row>
    <row r="89" spans="1:115" ht="15" customHeight="1" x14ac:dyDescent="0.25">
      <c r="A89" s="14"/>
      <c r="B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U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N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Z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S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</row>
    <row r="90" spans="1:115" ht="15" customHeight="1" x14ac:dyDescent="0.25">
      <c r="A90" s="14"/>
      <c r="B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U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N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Z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S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</row>
    <row r="91" spans="1:115" ht="15" customHeight="1" x14ac:dyDescent="0.25">
      <c r="A91" s="14"/>
      <c r="B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U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N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Z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S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</row>
    <row r="92" spans="1:115" ht="15" customHeight="1" x14ac:dyDescent="0.25">
      <c r="A92" s="14"/>
      <c r="B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U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N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Z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S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</row>
    <row r="93" spans="1:115" ht="15" customHeight="1" x14ac:dyDescent="0.25">
      <c r="A93" s="14"/>
      <c r="B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U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N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Z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S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</row>
    <row r="94" spans="1:115" ht="15" customHeight="1" x14ac:dyDescent="0.25">
      <c r="A94" s="14"/>
      <c r="B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U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N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Z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S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</row>
    <row r="95" spans="1:115" ht="15" customHeight="1" x14ac:dyDescent="0.25">
      <c r="A95" s="14"/>
      <c r="B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U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N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Z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S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</row>
    <row r="96" spans="1:115" ht="15" customHeight="1" x14ac:dyDescent="0.25">
      <c r="A96" s="14"/>
      <c r="B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U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N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Z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S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</row>
    <row r="97" spans="59:63" s="14" customFormat="1" ht="15" customHeight="1" x14ac:dyDescent="0.25">
      <c r="BG97" s="65"/>
      <c r="BI97" s="13"/>
      <c r="BJ97" s="13"/>
      <c r="BK97" s="13"/>
    </row>
    <row r="98" spans="59:63" s="14" customFormat="1" ht="15" customHeight="1" x14ac:dyDescent="0.25">
      <c r="BG98" s="65"/>
      <c r="BI98" s="13"/>
      <c r="BJ98" s="13"/>
      <c r="BK98" s="13"/>
    </row>
    <row r="99" spans="59:63" s="14" customFormat="1" ht="15" customHeight="1" x14ac:dyDescent="0.25"/>
    <row r="100" spans="59:63" s="14" customFormat="1" ht="15" customHeight="1" x14ac:dyDescent="0.25">
      <c r="BG100" s="65"/>
      <c r="BI100" s="13"/>
      <c r="BJ100" s="13"/>
      <c r="BK100" s="13"/>
    </row>
    <row r="101" spans="59:63" s="14" customFormat="1" ht="15" customHeight="1" x14ac:dyDescent="0.25">
      <c r="BG101" s="65"/>
      <c r="BI101" s="13"/>
      <c r="BJ101" s="13"/>
      <c r="BK101" s="13"/>
    </row>
    <row r="102" spans="59:63" s="14" customFormat="1" ht="15" customHeight="1" x14ac:dyDescent="0.25">
      <c r="BG102" s="65"/>
      <c r="BI102" s="13"/>
      <c r="BJ102" s="13"/>
      <c r="BK102" s="13"/>
    </row>
    <row r="103" spans="59:63" s="14" customFormat="1" ht="15" customHeight="1" x14ac:dyDescent="0.25">
      <c r="BG103" s="65"/>
      <c r="BI103" s="13"/>
      <c r="BJ103" s="13"/>
      <c r="BK103" s="13"/>
    </row>
    <row r="104" spans="59:63" s="14" customFormat="1" ht="15" customHeight="1" x14ac:dyDescent="0.25">
      <c r="BG104" s="65"/>
      <c r="BI104" s="13"/>
      <c r="BJ104" s="13"/>
      <c r="BK104" s="13"/>
    </row>
    <row r="105" spans="59:63" s="14" customFormat="1" ht="15" customHeight="1" x14ac:dyDescent="0.25">
      <c r="BG105" s="65"/>
      <c r="BI105" s="13"/>
      <c r="BJ105" s="13"/>
      <c r="BK105" s="13"/>
    </row>
    <row r="106" spans="59:63" s="14" customFormat="1" ht="15" customHeight="1" x14ac:dyDescent="0.25"/>
    <row r="107" spans="59:63" s="14" customFormat="1" ht="15" customHeight="1" x14ac:dyDescent="0.25"/>
    <row r="108" spans="59:63" s="14" customFormat="1" ht="15" customHeight="1" x14ac:dyDescent="0.25"/>
    <row r="109" spans="59:63" s="14" customFormat="1" ht="15" customHeight="1" x14ac:dyDescent="0.25"/>
    <row r="110" spans="59:63" s="14" customFormat="1" ht="15" customHeight="1" x14ac:dyDescent="0.25"/>
    <row r="111" spans="59:63" s="14" customFormat="1" ht="15" customHeight="1" x14ac:dyDescent="0.25"/>
    <row r="112" spans="59:63" s="14" customFormat="1" ht="15" customHeight="1" x14ac:dyDescent="0.25"/>
    <row r="113" spans="1:19" ht="15" customHeight="1" x14ac:dyDescent="0.25">
      <c r="A113" s="14"/>
      <c r="B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5" customHeight="1" x14ac:dyDescent="0.25">
      <c r="A114" s="14"/>
      <c r="B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5" customHeight="1" x14ac:dyDescent="0.25">
      <c r="A115" s="14"/>
      <c r="B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5" customHeight="1" x14ac:dyDescent="0.25">
      <c r="A116" s="14"/>
      <c r="B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</sheetData>
  <mergeCells count="333">
    <mergeCell ref="A2:A48"/>
    <mergeCell ref="AW2:AY2"/>
    <mergeCell ref="BC2:BE2"/>
    <mergeCell ref="AQ14:AS14"/>
    <mergeCell ref="U44:U48"/>
    <mergeCell ref="X44:Z44"/>
    <mergeCell ref="AD44:AF44"/>
    <mergeCell ref="AJ44:AL44"/>
    <mergeCell ref="V46:V48"/>
    <mergeCell ref="AB46:AB48"/>
    <mergeCell ref="AH46:AH48"/>
    <mergeCell ref="BC14:BE14"/>
    <mergeCell ref="AU28:AU30"/>
    <mergeCell ref="BA28:BA30"/>
    <mergeCell ref="AO40:AO42"/>
    <mergeCell ref="AU40:AU42"/>
    <mergeCell ref="AO52:AO54"/>
    <mergeCell ref="AU52:AU54"/>
    <mergeCell ref="BA52:BA54"/>
    <mergeCell ref="BF50:BF54"/>
    <mergeCell ref="BG50:BG54"/>
    <mergeCell ref="CC38:CE38"/>
    <mergeCell ref="CI38:CK38"/>
    <mergeCell ref="CO38:CQ38"/>
    <mergeCell ref="CR38:CR42"/>
    <mergeCell ref="CA40:CA42"/>
    <mergeCell ref="CG40:CG42"/>
    <mergeCell ref="CM40:CM42"/>
    <mergeCell ref="BY44:BY48"/>
    <mergeCell ref="BY50:BY54"/>
    <mergeCell ref="BH52:BH54"/>
    <mergeCell ref="BN52:BN54"/>
    <mergeCell ref="BT52:BT54"/>
    <mergeCell ref="AM44:AM54"/>
    <mergeCell ref="BG44:BG48"/>
    <mergeCell ref="BJ44:BL44"/>
    <mergeCell ref="BP44:BR44"/>
    <mergeCell ref="BV44:BX44"/>
    <mergeCell ref="BH46:BH48"/>
    <mergeCell ref="BN46:BN48"/>
    <mergeCell ref="BT46:BT48"/>
    <mergeCell ref="BF44:BF48"/>
    <mergeCell ref="AN44:AN48"/>
    <mergeCell ref="AQ44:AS44"/>
    <mergeCell ref="AW44:AY44"/>
    <mergeCell ref="BC44:BE44"/>
    <mergeCell ref="AO46:AO48"/>
    <mergeCell ref="AU46:AU48"/>
    <mergeCell ref="BA46:BA48"/>
    <mergeCell ref="AN50:AN54"/>
    <mergeCell ref="AQ50:AS50"/>
    <mergeCell ref="AW50:AY50"/>
    <mergeCell ref="BC50:BE50"/>
    <mergeCell ref="AW38:AY38"/>
    <mergeCell ref="AW14:AY14"/>
    <mergeCell ref="BC38:BE38"/>
    <mergeCell ref="BJ2:BL2"/>
    <mergeCell ref="BP2:BR2"/>
    <mergeCell ref="BV2:BX2"/>
    <mergeCell ref="BG8:BG12"/>
    <mergeCell ref="BG14:BG18"/>
    <mergeCell ref="BJ50:BL50"/>
    <mergeCell ref="BP50:BR50"/>
    <mergeCell ref="BV50:BX50"/>
    <mergeCell ref="BF2:BF12"/>
    <mergeCell ref="BF14:BF24"/>
    <mergeCell ref="AJ26:AL26"/>
    <mergeCell ref="V28:V30"/>
    <mergeCell ref="AB28:AB30"/>
    <mergeCell ref="AH28:AH30"/>
    <mergeCell ref="BA4:BA6"/>
    <mergeCell ref="AO16:AO18"/>
    <mergeCell ref="AU16:AU18"/>
    <mergeCell ref="BA16:BA18"/>
    <mergeCell ref="AN14:AN18"/>
    <mergeCell ref="AQ26:AS26"/>
    <mergeCell ref="AW26:AY26"/>
    <mergeCell ref="BC26:BE26"/>
    <mergeCell ref="AQ2:AS2"/>
    <mergeCell ref="C4:C6"/>
    <mergeCell ref="I4:I6"/>
    <mergeCell ref="O4:O6"/>
    <mergeCell ref="AU4:AU6"/>
    <mergeCell ref="AN2:AN6"/>
    <mergeCell ref="B2:B6"/>
    <mergeCell ref="E2:G2"/>
    <mergeCell ref="K2:M2"/>
    <mergeCell ref="Q2:S2"/>
    <mergeCell ref="AM2:AM18"/>
    <mergeCell ref="U2:U6"/>
    <mergeCell ref="X2:Z2"/>
    <mergeCell ref="AD2:AF2"/>
    <mergeCell ref="V4:V6"/>
    <mergeCell ref="AB4:AB6"/>
    <mergeCell ref="AH4:AH6"/>
    <mergeCell ref="AJ2:AL2"/>
    <mergeCell ref="AO4:AO6"/>
    <mergeCell ref="T2:T30"/>
    <mergeCell ref="BY8:BY12"/>
    <mergeCell ref="BH10:BH12"/>
    <mergeCell ref="BN10:BN12"/>
    <mergeCell ref="BT10:BT12"/>
    <mergeCell ref="B44:B48"/>
    <mergeCell ref="E44:G44"/>
    <mergeCell ref="K44:M44"/>
    <mergeCell ref="Q44:S44"/>
    <mergeCell ref="AO28:AO30"/>
    <mergeCell ref="C46:C48"/>
    <mergeCell ref="I46:I48"/>
    <mergeCell ref="O46:O48"/>
    <mergeCell ref="U26:U30"/>
    <mergeCell ref="X26:Z26"/>
    <mergeCell ref="AD26:AF26"/>
    <mergeCell ref="T44:T60"/>
    <mergeCell ref="BG20:BG24"/>
    <mergeCell ref="BJ20:BL20"/>
    <mergeCell ref="BP20:BR20"/>
    <mergeCell ref="BV20:BX20"/>
    <mergeCell ref="BY20:BY24"/>
    <mergeCell ref="BH22:BH24"/>
    <mergeCell ref="BN22:BN24"/>
    <mergeCell ref="BT22:BT24"/>
    <mergeCell ref="DK32:DK36"/>
    <mergeCell ref="DK26:DK30"/>
    <mergeCell ref="BG32:BG36"/>
    <mergeCell ref="BJ32:BL32"/>
    <mergeCell ref="BP32:BR32"/>
    <mergeCell ref="BV32:BX32"/>
    <mergeCell ref="BH34:BH36"/>
    <mergeCell ref="BG2:BG6"/>
    <mergeCell ref="BN34:BN36"/>
    <mergeCell ref="BT34:BT36"/>
    <mergeCell ref="BJ14:BL14"/>
    <mergeCell ref="BP14:BR14"/>
    <mergeCell ref="BV14:BX14"/>
    <mergeCell ref="BY14:BY18"/>
    <mergeCell ref="BH16:BH18"/>
    <mergeCell ref="BN16:BN18"/>
    <mergeCell ref="BT16:BT18"/>
    <mergeCell ref="BH4:BH6"/>
    <mergeCell ref="BN4:BN6"/>
    <mergeCell ref="BT4:BT6"/>
    <mergeCell ref="BY2:BY6"/>
    <mergeCell ref="BJ8:BL8"/>
    <mergeCell ref="BP8:BR8"/>
    <mergeCell ref="BV8:BX8"/>
    <mergeCell ref="BY38:BY42"/>
    <mergeCell ref="BF38:BF42"/>
    <mergeCell ref="AN38:AN42"/>
    <mergeCell ref="AM26:AM42"/>
    <mergeCell ref="BG38:BG42"/>
    <mergeCell ref="BJ38:BL38"/>
    <mergeCell ref="BP38:BR38"/>
    <mergeCell ref="BV38:BX38"/>
    <mergeCell ref="BH40:BH42"/>
    <mergeCell ref="BN40:BN42"/>
    <mergeCell ref="BT40:BT42"/>
    <mergeCell ref="BJ26:BL26"/>
    <mergeCell ref="BP26:BR26"/>
    <mergeCell ref="BV26:BX26"/>
    <mergeCell ref="BH28:BH30"/>
    <mergeCell ref="BN28:BN30"/>
    <mergeCell ref="BT28:BT30"/>
    <mergeCell ref="BY26:BY30"/>
    <mergeCell ref="BY32:BY36"/>
    <mergeCell ref="AN26:AN30"/>
    <mergeCell ref="BG26:BG30"/>
    <mergeCell ref="BF26:BF36"/>
    <mergeCell ref="BA40:BA42"/>
    <mergeCell ref="AQ38:AS38"/>
    <mergeCell ref="U56:U60"/>
    <mergeCell ref="X56:Z56"/>
    <mergeCell ref="AD56:AF56"/>
    <mergeCell ref="AJ56:AL56"/>
    <mergeCell ref="V58:V60"/>
    <mergeCell ref="AB58:AB60"/>
    <mergeCell ref="AH58:AH60"/>
    <mergeCell ref="AN56:AN60"/>
    <mergeCell ref="AM56:AM72"/>
    <mergeCell ref="AN68:AN72"/>
    <mergeCell ref="AQ56:AS56"/>
    <mergeCell ref="AW56:AY56"/>
    <mergeCell ref="BC56:BE56"/>
    <mergeCell ref="AO58:AO60"/>
    <mergeCell ref="AU58:AU60"/>
    <mergeCell ref="BA58:BA60"/>
    <mergeCell ref="BF56:BF66"/>
    <mergeCell ref="BG56:BG60"/>
    <mergeCell ref="BJ56:BL56"/>
    <mergeCell ref="AQ68:AS68"/>
    <mergeCell ref="AW68:AY68"/>
    <mergeCell ref="BC68:BE68"/>
    <mergeCell ref="AO70:AO72"/>
    <mergeCell ref="AU70:AU72"/>
    <mergeCell ref="BA70:BA72"/>
    <mergeCell ref="BZ68:BZ72"/>
    <mergeCell ref="CC68:CE68"/>
    <mergeCell ref="CA70:CA72"/>
    <mergeCell ref="BF68:BF84"/>
    <mergeCell ref="BG80:BG84"/>
    <mergeCell ref="BJ80:BL80"/>
    <mergeCell ref="BP80:BR80"/>
    <mergeCell ref="BV80:BX80"/>
    <mergeCell ref="BH82:BH84"/>
    <mergeCell ref="BN82:BN84"/>
    <mergeCell ref="BT82:BT84"/>
    <mergeCell ref="BZ74:BZ78"/>
    <mergeCell ref="BG68:BG72"/>
    <mergeCell ref="BJ68:BL68"/>
    <mergeCell ref="BP68:BR68"/>
    <mergeCell ref="BV68:BX68"/>
    <mergeCell ref="BH70:BH72"/>
    <mergeCell ref="BN70:BN72"/>
    <mergeCell ref="BP56:BR56"/>
    <mergeCell ref="BV56:BX56"/>
    <mergeCell ref="BH58:BH60"/>
    <mergeCell ref="BN58:BN60"/>
    <mergeCell ref="BT58:BT60"/>
    <mergeCell ref="BG62:BG66"/>
    <mergeCell ref="BJ62:BL62"/>
    <mergeCell ref="BP62:BR62"/>
    <mergeCell ref="BV62:BX62"/>
    <mergeCell ref="BH64:BH66"/>
    <mergeCell ref="BN64:BN66"/>
    <mergeCell ref="BT64:BT66"/>
    <mergeCell ref="BT70:BT72"/>
    <mergeCell ref="CI68:CK68"/>
    <mergeCell ref="CG70:CG72"/>
    <mergeCell ref="DK68:DK72"/>
    <mergeCell ref="CC74:CE74"/>
    <mergeCell ref="CI74:CK74"/>
    <mergeCell ref="CO74:CQ74"/>
    <mergeCell ref="CA76:CA78"/>
    <mergeCell ref="CG76:CG78"/>
    <mergeCell ref="CM76:CM78"/>
    <mergeCell ref="CA58:CA60"/>
    <mergeCell ref="CG58:CG60"/>
    <mergeCell ref="CM58:CM60"/>
    <mergeCell ref="BZ62:BZ66"/>
    <mergeCell ref="CC62:CE62"/>
    <mergeCell ref="CI62:CK62"/>
    <mergeCell ref="CO62:CQ62"/>
    <mergeCell ref="CA64:CA66"/>
    <mergeCell ref="CG64:CG66"/>
    <mergeCell ref="CM64:CM66"/>
    <mergeCell ref="DK56:DK60"/>
    <mergeCell ref="DK62:DK66"/>
    <mergeCell ref="CO68:CQ68"/>
    <mergeCell ref="CR74:CR78"/>
    <mergeCell ref="CR80:CR84"/>
    <mergeCell ref="BY80:BY84"/>
    <mergeCell ref="CS80:CS84"/>
    <mergeCell ref="CV80:CX80"/>
    <mergeCell ref="DB80:DD80"/>
    <mergeCell ref="BY56:BY60"/>
    <mergeCell ref="BY62:BY66"/>
    <mergeCell ref="BY68:BY78"/>
    <mergeCell ref="BZ80:BZ84"/>
    <mergeCell ref="CC80:CE80"/>
    <mergeCell ref="CI80:CK80"/>
    <mergeCell ref="CO80:CQ80"/>
    <mergeCell ref="CA82:CA84"/>
    <mergeCell ref="CG82:CG84"/>
    <mergeCell ref="CM82:CM84"/>
    <mergeCell ref="CM70:CM72"/>
    <mergeCell ref="BZ56:BZ60"/>
    <mergeCell ref="CC56:CE56"/>
    <mergeCell ref="CI56:CK56"/>
    <mergeCell ref="CO56:CQ56"/>
    <mergeCell ref="DH80:DJ80"/>
    <mergeCell ref="CT82:CT84"/>
    <mergeCell ref="CZ82:CZ84"/>
    <mergeCell ref="DF82:DF84"/>
    <mergeCell ref="DK74:DK78"/>
    <mergeCell ref="DK80:DK84"/>
    <mergeCell ref="CS74:CS78"/>
    <mergeCell ref="CV74:CX74"/>
    <mergeCell ref="DB74:DD74"/>
    <mergeCell ref="DH74:DJ74"/>
    <mergeCell ref="CT76:CT78"/>
    <mergeCell ref="CZ76:CZ78"/>
    <mergeCell ref="DF76:DF78"/>
    <mergeCell ref="BZ32:BZ36"/>
    <mergeCell ref="CC32:CE32"/>
    <mergeCell ref="CI32:CK32"/>
    <mergeCell ref="CO32:CQ32"/>
    <mergeCell ref="CA34:CA36"/>
    <mergeCell ref="CG34:CG36"/>
    <mergeCell ref="CM34:CM36"/>
    <mergeCell ref="BZ26:BZ30"/>
    <mergeCell ref="CC26:CE26"/>
    <mergeCell ref="CI26:CK26"/>
    <mergeCell ref="CO26:CQ26"/>
    <mergeCell ref="CA28:CA30"/>
    <mergeCell ref="CG28:CG30"/>
    <mergeCell ref="CM28:CM30"/>
    <mergeCell ref="CR56:CR72"/>
    <mergeCell ref="CS62:CS66"/>
    <mergeCell ref="CV62:CX62"/>
    <mergeCell ref="DB62:DD62"/>
    <mergeCell ref="DH62:DJ62"/>
    <mergeCell ref="CT64:CT66"/>
    <mergeCell ref="CZ64:CZ66"/>
    <mergeCell ref="DF64:DF66"/>
    <mergeCell ref="CS68:CS72"/>
    <mergeCell ref="CV68:CX68"/>
    <mergeCell ref="DB68:DD68"/>
    <mergeCell ref="DH68:DJ68"/>
    <mergeCell ref="CT70:CT72"/>
    <mergeCell ref="CZ70:CZ72"/>
    <mergeCell ref="DF70:DF72"/>
    <mergeCell ref="CS56:CS60"/>
    <mergeCell ref="CV56:CX56"/>
    <mergeCell ref="DB56:DD56"/>
    <mergeCell ref="DH56:DJ56"/>
    <mergeCell ref="CT58:CT60"/>
    <mergeCell ref="CZ58:CZ60"/>
    <mergeCell ref="DF58:DF60"/>
    <mergeCell ref="CR26:CR36"/>
    <mergeCell ref="CS26:CS30"/>
    <mergeCell ref="CV26:CX26"/>
    <mergeCell ref="DB26:DD26"/>
    <mergeCell ref="DH26:DJ26"/>
    <mergeCell ref="CT28:CT30"/>
    <mergeCell ref="CZ28:CZ30"/>
    <mergeCell ref="DF28:DF30"/>
    <mergeCell ref="CS32:CS36"/>
    <mergeCell ref="CV32:CX32"/>
    <mergeCell ref="DB32:DD32"/>
    <mergeCell ref="DH32:DJ32"/>
    <mergeCell ref="CT34:CT36"/>
    <mergeCell ref="CZ34:CZ36"/>
    <mergeCell ref="DF34:DF36"/>
  </mergeCells>
  <pageMargins left="0.7" right="0.7" top="0.75" bottom="0.75" header="0.3" footer="0.3"/>
  <pageSetup orientation="portrait"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B745-5279-49B4-9400-9ACC621830E3}">
  <dimension ref="A1:BD115"/>
  <sheetViews>
    <sheetView workbookViewId="0">
      <selection activeCell="D51" sqref="D51"/>
    </sheetView>
  </sheetViews>
  <sheetFormatPr defaultRowHeight="15.75" x14ac:dyDescent="0.25"/>
  <cols>
    <col min="1" max="1" width="20.5703125" style="14" customWidth="1"/>
    <col min="2" max="2" width="2.28515625" style="14" bestFit="1" customWidth="1"/>
    <col min="3" max="3" width="2.28515625" style="13" bestFit="1" customWidth="1"/>
    <col min="4" max="4" width="2.140625" style="13" bestFit="1" customWidth="1"/>
    <col min="5" max="5" width="2.28515625" style="13" bestFit="1" customWidth="1"/>
    <col min="6" max="6" width="2.140625" style="13" bestFit="1" customWidth="1"/>
    <col min="7" max="7" width="0.85546875" style="13" customWidth="1"/>
    <col min="8" max="9" width="2.28515625" style="13" bestFit="1" customWidth="1"/>
    <col min="10" max="10" width="2.140625" style="13" bestFit="1" customWidth="1"/>
    <col min="11" max="11" width="2.28515625" style="13" bestFit="1" customWidth="1"/>
    <col min="12" max="12" width="2.140625" style="13" bestFit="1" customWidth="1"/>
    <col min="13" max="13" width="0.85546875" style="13" customWidth="1"/>
    <col min="14" max="15" width="2.28515625" style="13" bestFit="1" customWidth="1"/>
    <col min="16" max="16" width="2.140625" style="13" bestFit="1" customWidth="1"/>
    <col min="17" max="17" width="2.28515625" style="13" bestFit="1" customWidth="1"/>
    <col min="18" max="18" width="2.140625" style="13" bestFit="1" customWidth="1"/>
    <col min="20" max="20" width="19.42578125" bestFit="1" customWidth="1"/>
    <col min="21" max="21" width="0.85546875" style="13" customWidth="1"/>
    <col min="22" max="30" width="2.28515625" customWidth="1"/>
    <col min="31" max="31" width="0.85546875" style="13" customWidth="1"/>
    <col min="32" max="40" width="2.28515625" customWidth="1"/>
    <col min="41" max="41" width="0.85546875" style="13" customWidth="1"/>
    <col min="42" max="50" width="2.28515625" customWidth="1"/>
    <col min="51" max="51" width="0.85546875" style="13" customWidth="1"/>
    <col min="53" max="53" width="19.42578125" bestFit="1" customWidth="1"/>
    <col min="54" max="54" width="16" bestFit="1" customWidth="1"/>
    <col min="55" max="55" width="17.140625" bestFit="1" customWidth="1"/>
    <col min="56" max="56" width="15.5703125" bestFit="1" customWidth="1"/>
  </cols>
  <sheetData>
    <row r="1" spans="1:56" ht="19.5" thickBot="1" x14ac:dyDescent="0.3"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V1" s="205" t="s">
        <v>48</v>
      </c>
      <c r="W1" s="205"/>
      <c r="X1" s="205"/>
      <c r="Y1" s="205"/>
      <c r="Z1" s="205"/>
      <c r="AA1" s="205"/>
      <c r="AB1" s="205"/>
      <c r="AC1" s="205"/>
      <c r="AD1" s="205"/>
      <c r="AF1" s="205" t="s">
        <v>49</v>
      </c>
      <c r="AG1" s="205"/>
      <c r="AH1" s="205"/>
      <c r="AI1" s="205"/>
      <c r="AJ1" s="205"/>
      <c r="AK1" s="205"/>
      <c r="AL1" s="205"/>
      <c r="AM1" s="205"/>
      <c r="AN1" s="205"/>
      <c r="AP1" s="205" t="s">
        <v>50</v>
      </c>
      <c r="AQ1" s="205"/>
      <c r="AR1" s="205"/>
      <c r="AS1" s="205"/>
      <c r="AT1" s="205"/>
      <c r="AU1" s="205"/>
      <c r="AV1" s="205"/>
      <c r="AW1" s="205"/>
      <c r="AX1" s="205"/>
      <c r="BB1" s="145" t="s">
        <v>48</v>
      </c>
      <c r="BC1" s="145" t="s">
        <v>49</v>
      </c>
      <c r="BD1" s="145" t="s">
        <v>50</v>
      </c>
    </row>
    <row r="2" spans="1:56" ht="20.25" thickTop="1" thickBot="1" x14ac:dyDescent="0.3">
      <c r="A2" s="194" t="str">
        <f>'Descision Matrix'!BY2</f>
        <v>A Overlaps B</v>
      </c>
      <c r="B2" s="10"/>
      <c r="C2" s="11"/>
      <c r="D2" s="175" t="s">
        <v>31</v>
      </c>
      <c r="E2" s="175">
        <v>0</v>
      </c>
      <c r="F2" s="175">
        <v>0</v>
      </c>
      <c r="G2" s="46">
        <f>'Descision Matrix'!BM2</f>
        <v>0</v>
      </c>
      <c r="H2" s="10"/>
      <c r="I2" s="11"/>
      <c r="J2" s="175" t="s">
        <v>31</v>
      </c>
      <c r="K2" s="175">
        <v>0</v>
      </c>
      <c r="L2" s="175">
        <v>0</v>
      </c>
      <c r="M2" s="46">
        <f>'Descision Matrix'!BS2</f>
        <v>0</v>
      </c>
      <c r="N2" s="10"/>
      <c r="O2" s="11"/>
      <c r="P2" s="175" t="s">
        <v>31</v>
      </c>
      <c r="Q2" s="175">
        <v>0</v>
      </c>
      <c r="R2" s="175">
        <v>0</v>
      </c>
      <c r="T2" s="144" t="str">
        <f>A2</f>
        <v>A Overlaps B</v>
      </c>
      <c r="U2" s="25"/>
      <c r="V2" s="26" t="str">
        <f>D4</f>
        <v>T</v>
      </c>
      <c r="W2" s="22" t="str">
        <f t="shared" ref="W2:X2" si="0">E4</f>
        <v>*</v>
      </c>
      <c r="X2" s="23" t="str">
        <f t="shared" si="0"/>
        <v>T</v>
      </c>
      <c r="Y2" s="22" t="str">
        <f>D5</f>
        <v>*</v>
      </c>
      <c r="Z2" s="22" t="str">
        <f t="shared" ref="Z2:AA2" si="1">E5</f>
        <v>*</v>
      </c>
      <c r="AA2" s="23" t="str">
        <f t="shared" si="1"/>
        <v>*</v>
      </c>
      <c r="AB2" s="22" t="str">
        <f>D6</f>
        <v>T</v>
      </c>
      <c r="AC2" s="22" t="str">
        <f t="shared" ref="AC2:AD2" si="2">E6</f>
        <v>*</v>
      </c>
      <c r="AD2" s="27" t="str">
        <f t="shared" si="2"/>
        <v>*</v>
      </c>
      <c r="AE2" s="25"/>
      <c r="AF2" s="26" t="str">
        <f>J4</f>
        <v>*</v>
      </c>
      <c r="AG2" s="22" t="str">
        <f t="shared" ref="AG2:AH2" si="3">K4</f>
        <v>*</v>
      </c>
      <c r="AH2" s="23" t="str">
        <f t="shared" si="3"/>
        <v>*</v>
      </c>
      <c r="AI2" s="22" t="str">
        <f>J5</f>
        <v>*</v>
      </c>
      <c r="AJ2" s="22" t="str">
        <f t="shared" ref="AJ2:AK2" si="4">K5</f>
        <v>*</v>
      </c>
      <c r="AK2" s="23" t="str">
        <f t="shared" si="4"/>
        <v>*</v>
      </c>
      <c r="AL2" s="22" t="str">
        <f>J6</f>
        <v>*</v>
      </c>
      <c r="AM2" s="22" t="str">
        <f t="shared" ref="AM2:AN2" si="5">K6</f>
        <v>*</v>
      </c>
      <c r="AN2" s="27" t="str">
        <f t="shared" si="5"/>
        <v>*</v>
      </c>
      <c r="AO2" s="25"/>
      <c r="AP2" s="26" t="str">
        <f>P4</f>
        <v>*</v>
      </c>
      <c r="AQ2" s="22" t="str">
        <f t="shared" ref="AQ2:AR2" si="6">Q4</f>
        <v>*</v>
      </c>
      <c r="AR2" s="23" t="str">
        <f t="shared" si="6"/>
        <v>*</v>
      </c>
      <c r="AS2" s="22" t="str">
        <f>P5</f>
        <v>*</v>
      </c>
      <c r="AT2" s="22" t="str">
        <f t="shared" ref="AT2:AU2" si="7">Q5</f>
        <v>*</v>
      </c>
      <c r="AU2" s="23" t="str">
        <f t="shared" si="7"/>
        <v>*</v>
      </c>
      <c r="AV2" s="22" t="str">
        <f>P6</f>
        <v>*</v>
      </c>
      <c r="AW2" s="22" t="str">
        <f t="shared" ref="AW2:AX2" si="8">Q6</f>
        <v>*</v>
      </c>
      <c r="AX2" s="27" t="str">
        <f t="shared" si="8"/>
        <v>*</v>
      </c>
      <c r="AY2" s="28"/>
      <c r="BA2" s="144" t="str">
        <f>T2</f>
        <v>A Overlaps B</v>
      </c>
      <c r="BB2" s="146" t="str">
        <f>CONCATENATE(V2,W2,X2,Y2,Z2,AA2,AB2,AC2,AD2)</f>
        <v>T*T***T**</v>
      </c>
      <c r="BC2" s="147" t="str">
        <f>CONCATENATE(AF2,AG2,AH2,AI2,AJ2,AK2,AL2,AM2,AN2)</f>
        <v>*********</v>
      </c>
      <c r="BD2" s="148" t="str">
        <f>CONCATENATE(AP2,AQ2,AR2,AS2,AT2,AU2,AV2,AW2,AX2)</f>
        <v>*********</v>
      </c>
    </row>
    <row r="3" spans="1:56" ht="17.25" thickTop="1" thickBot="1" x14ac:dyDescent="0.3">
      <c r="A3" s="185">
        <f>'Descision Matrix'!BY3</f>
        <v>0</v>
      </c>
      <c r="B3" s="15"/>
      <c r="C3" s="71" t="s">
        <v>33</v>
      </c>
      <c r="D3" s="72" t="s">
        <v>34</v>
      </c>
      <c r="E3" s="72" t="s">
        <v>31</v>
      </c>
      <c r="F3" s="72" t="s">
        <v>35</v>
      </c>
      <c r="G3" s="47">
        <f>'Descision Matrix'!BM3</f>
        <v>0</v>
      </c>
      <c r="H3" s="15"/>
      <c r="I3" s="71" t="s">
        <v>33</v>
      </c>
      <c r="J3" s="72" t="s">
        <v>34</v>
      </c>
      <c r="K3" s="72" t="s">
        <v>31</v>
      </c>
      <c r="L3" s="72" t="s">
        <v>35</v>
      </c>
      <c r="M3" s="47">
        <f>'Descision Matrix'!BS3</f>
        <v>0</v>
      </c>
      <c r="N3" s="15"/>
      <c r="O3" s="71" t="s">
        <v>33</v>
      </c>
      <c r="P3" s="72" t="s">
        <v>34</v>
      </c>
      <c r="Q3" s="72" t="s">
        <v>31</v>
      </c>
      <c r="R3" s="72" t="s">
        <v>35</v>
      </c>
      <c r="U3"/>
      <c r="AE3"/>
      <c r="AO3"/>
      <c r="AY3"/>
    </row>
    <row r="4" spans="1:56" ht="17.25" thickTop="1" thickBot="1" x14ac:dyDescent="0.3">
      <c r="A4" s="185">
        <f>'Descision Matrix'!BY4</f>
        <v>0</v>
      </c>
      <c r="B4" s="176" t="s">
        <v>36</v>
      </c>
      <c r="C4" s="73" t="s">
        <v>34</v>
      </c>
      <c r="D4" s="135" t="str">
        <f>'Descision Matrix'!BJ4</f>
        <v>T</v>
      </c>
      <c r="E4" s="74" t="str">
        <f>'Descision Matrix'!BK4</f>
        <v>*</v>
      </c>
      <c r="F4" s="135" t="str">
        <f>'Descision Matrix'!BL4</f>
        <v>T</v>
      </c>
      <c r="G4" s="47">
        <f>'Descision Matrix'!BM4</f>
        <v>0</v>
      </c>
      <c r="H4" s="176" t="s">
        <v>36</v>
      </c>
      <c r="I4" s="73" t="s">
        <v>34</v>
      </c>
      <c r="J4" s="74" t="str">
        <f>'Descision Matrix'!BP4</f>
        <v>*</v>
      </c>
      <c r="K4" s="74" t="str">
        <f>'Descision Matrix'!BQ4</f>
        <v>*</v>
      </c>
      <c r="L4" s="74" t="str">
        <f>'Descision Matrix'!BR4</f>
        <v>*</v>
      </c>
      <c r="M4" s="47">
        <f>'Descision Matrix'!BS4</f>
        <v>0</v>
      </c>
      <c r="N4" s="176" t="s">
        <v>36</v>
      </c>
      <c r="O4" s="73" t="s">
        <v>34</v>
      </c>
      <c r="P4" s="74" t="str">
        <f>'Descision Matrix'!BV4</f>
        <v>*</v>
      </c>
      <c r="Q4" s="74" t="str">
        <f>'Descision Matrix'!BW4</f>
        <v>*</v>
      </c>
      <c r="R4" s="130" t="str">
        <f>'Descision Matrix'!BX4</f>
        <v>*</v>
      </c>
      <c r="U4"/>
      <c r="AE4"/>
      <c r="AO4"/>
      <c r="AY4"/>
    </row>
    <row r="5" spans="1:56" ht="17.25" thickTop="1" thickBot="1" x14ac:dyDescent="0.3">
      <c r="A5" s="185">
        <f>'Descision Matrix'!BY5</f>
        <v>0</v>
      </c>
      <c r="B5" s="176">
        <v>0</v>
      </c>
      <c r="C5" s="75" t="s">
        <v>31</v>
      </c>
      <c r="D5" s="76" t="str">
        <f>'Descision Matrix'!BJ5</f>
        <v>*</v>
      </c>
      <c r="E5" s="134" t="str">
        <f>'Descision Matrix'!BK5</f>
        <v>*</v>
      </c>
      <c r="F5" s="76" t="str">
        <f>'Descision Matrix'!BL5</f>
        <v>*</v>
      </c>
      <c r="G5" s="47">
        <f>'Descision Matrix'!BM5</f>
        <v>0</v>
      </c>
      <c r="H5" s="176">
        <v>0</v>
      </c>
      <c r="I5" s="75" t="s">
        <v>31</v>
      </c>
      <c r="J5" s="76" t="str">
        <f>'Descision Matrix'!BP5</f>
        <v>*</v>
      </c>
      <c r="K5" s="76" t="str">
        <f>'Descision Matrix'!BQ5</f>
        <v>*</v>
      </c>
      <c r="L5" s="76" t="str">
        <f>'Descision Matrix'!BR5</f>
        <v>*</v>
      </c>
      <c r="M5" s="47">
        <f>'Descision Matrix'!BS5</f>
        <v>0</v>
      </c>
      <c r="N5" s="176">
        <v>0</v>
      </c>
      <c r="O5" s="75" t="s">
        <v>31</v>
      </c>
      <c r="P5" s="76" t="str">
        <f>'Descision Matrix'!BV5</f>
        <v>*</v>
      </c>
      <c r="Q5" s="76" t="str">
        <f>'Descision Matrix'!BW5</f>
        <v>*</v>
      </c>
      <c r="R5" s="131" t="str">
        <f>'Descision Matrix'!BX5</f>
        <v>*</v>
      </c>
      <c r="U5"/>
      <c r="AE5"/>
      <c r="AO5"/>
      <c r="AY5"/>
    </row>
    <row r="6" spans="1:56" ht="17.25" thickTop="1" thickBot="1" x14ac:dyDescent="0.3">
      <c r="A6" s="186">
        <f>'Descision Matrix'!BY6</f>
        <v>0</v>
      </c>
      <c r="B6" s="177">
        <v>0</v>
      </c>
      <c r="C6" s="127" t="s">
        <v>35</v>
      </c>
      <c r="D6" s="141" t="str">
        <f>'Descision Matrix'!BJ6</f>
        <v>T</v>
      </c>
      <c r="E6" s="128" t="str">
        <f>'Descision Matrix'!BK6</f>
        <v>*</v>
      </c>
      <c r="F6" s="128" t="str">
        <f>'Descision Matrix'!BL6</f>
        <v>*</v>
      </c>
      <c r="G6" s="48">
        <f>'Descision Matrix'!BM6</f>
        <v>0</v>
      </c>
      <c r="H6" s="177">
        <v>0</v>
      </c>
      <c r="I6" s="127" t="s">
        <v>35</v>
      </c>
      <c r="J6" s="128" t="str">
        <f>'Descision Matrix'!BP6</f>
        <v>*</v>
      </c>
      <c r="K6" s="128" t="str">
        <f>'Descision Matrix'!BQ6</f>
        <v>*</v>
      </c>
      <c r="L6" s="128" t="str">
        <f>'Descision Matrix'!BR6</f>
        <v>*</v>
      </c>
      <c r="M6" s="48">
        <f>'Descision Matrix'!BS6</f>
        <v>0</v>
      </c>
      <c r="N6" s="177">
        <v>0</v>
      </c>
      <c r="O6" s="127" t="s">
        <v>35</v>
      </c>
      <c r="P6" s="128" t="str">
        <f>'Descision Matrix'!BV6</f>
        <v>*</v>
      </c>
      <c r="Q6" s="128" t="str">
        <f>'Descision Matrix'!BW6</f>
        <v>*</v>
      </c>
      <c r="R6" s="132" t="str">
        <f>'Descision Matrix'!BX6</f>
        <v>*</v>
      </c>
      <c r="U6"/>
      <c r="AE6"/>
      <c r="AO6"/>
      <c r="AY6"/>
    </row>
    <row r="7" spans="1:56" ht="20.25" thickTop="1" thickBot="1" x14ac:dyDescent="0.3">
      <c r="A7" s="181" t="str">
        <f>'Descision Matrix'!BY8</f>
        <v>A is Partitioned by  B</v>
      </c>
      <c r="B7" s="10"/>
      <c r="C7" s="11"/>
      <c r="D7" s="175" t="s">
        <v>31</v>
      </c>
      <c r="E7" s="175">
        <v>0</v>
      </c>
      <c r="F7" s="175">
        <v>0</v>
      </c>
      <c r="G7" s="46">
        <f>'Descision Matrix'!BM7</f>
        <v>0</v>
      </c>
      <c r="H7" s="10"/>
      <c r="I7" s="11"/>
      <c r="J7" s="175" t="s">
        <v>31</v>
      </c>
      <c r="K7" s="175">
        <v>0</v>
      </c>
      <c r="L7" s="175">
        <v>0</v>
      </c>
      <c r="M7" s="46">
        <f>'Descision Matrix'!BS7</f>
        <v>0</v>
      </c>
      <c r="N7" s="10"/>
      <c r="O7" s="11"/>
      <c r="P7" s="175" t="s">
        <v>31</v>
      </c>
      <c r="Q7" s="175">
        <v>0</v>
      </c>
      <c r="R7" s="175">
        <v>0</v>
      </c>
      <c r="T7" s="144" t="str">
        <f>A7</f>
        <v>A is Partitioned by  B</v>
      </c>
      <c r="U7" s="25"/>
      <c r="V7" s="26" t="str">
        <f>D9</f>
        <v>T</v>
      </c>
      <c r="W7" s="22" t="str">
        <f t="shared" ref="W7:X7" si="9">E9</f>
        <v>*</v>
      </c>
      <c r="X7" s="23" t="str">
        <f t="shared" si="9"/>
        <v>T</v>
      </c>
      <c r="Y7" s="22" t="str">
        <f>D10</f>
        <v>*</v>
      </c>
      <c r="Z7" s="22" t="str">
        <f t="shared" ref="Z7:AA7" si="10">E10</f>
        <v>T</v>
      </c>
      <c r="AA7" s="23" t="str">
        <f t="shared" si="10"/>
        <v>*</v>
      </c>
      <c r="AB7" s="22" t="str">
        <f>D11</f>
        <v>F</v>
      </c>
      <c r="AC7" s="22" t="str">
        <f t="shared" ref="AC7:AD7" si="11">E11</f>
        <v>*</v>
      </c>
      <c r="AD7" s="27" t="str">
        <f t="shared" si="11"/>
        <v>*</v>
      </c>
      <c r="AE7" s="25"/>
      <c r="AF7" s="26" t="str">
        <f>J9</f>
        <v>*</v>
      </c>
      <c r="AG7" s="22" t="str">
        <f t="shared" ref="AG7:AH7" si="12">K9</f>
        <v>*</v>
      </c>
      <c r="AH7" s="23" t="str">
        <f t="shared" si="12"/>
        <v>*</v>
      </c>
      <c r="AI7" s="22" t="str">
        <f>J10</f>
        <v>*</v>
      </c>
      <c r="AJ7" s="22" t="str">
        <f t="shared" ref="AJ7:AK7" si="13">K10</f>
        <v>*</v>
      </c>
      <c r="AK7" s="23" t="str">
        <f t="shared" si="13"/>
        <v>*</v>
      </c>
      <c r="AL7" s="22" t="str">
        <f>J11</f>
        <v>*</v>
      </c>
      <c r="AM7" s="22" t="str">
        <f t="shared" ref="AM7:AN7" si="14">K11</f>
        <v>*</v>
      </c>
      <c r="AN7" s="27" t="str">
        <f t="shared" si="14"/>
        <v>*</v>
      </c>
      <c r="AO7" s="25"/>
      <c r="AP7" s="26" t="str">
        <f>P9</f>
        <v>*</v>
      </c>
      <c r="AQ7" s="22" t="str">
        <f t="shared" ref="AQ7:AR7" si="15">Q9</f>
        <v>*</v>
      </c>
      <c r="AR7" s="23" t="str">
        <f t="shared" si="15"/>
        <v>*</v>
      </c>
      <c r="AS7" s="22" t="str">
        <f>P10</f>
        <v>*</v>
      </c>
      <c r="AT7" s="22" t="str">
        <f t="shared" ref="AT7:AU7" si="16">Q10</f>
        <v>*</v>
      </c>
      <c r="AU7" s="23" t="str">
        <f t="shared" si="16"/>
        <v>*</v>
      </c>
      <c r="AV7" s="22" t="str">
        <f>P11</f>
        <v>*</v>
      </c>
      <c r="AW7" s="22" t="str">
        <f t="shared" ref="AW7:AX7" si="17">Q11</f>
        <v>*</v>
      </c>
      <c r="AX7" s="27" t="str">
        <f t="shared" si="17"/>
        <v>*</v>
      </c>
      <c r="AY7" s="28"/>
      <c r="BA7" s="144" t="str">
        <f>T7</f>
        <v>A is Partitioned by  B</v>
      </c>
      <c r="BB7" s="146" t="str">
        <f>CONCATENATE(V7,W7,X7,Y7,Z7,AA7,AB7,AC7,AD7)</f>
        <v>T*T*T*F**</v>
      </c>
      <c r="BC7" s="147" t="str">
        <f>CONCATENATE(AF7,AG7,AH7,AI7,AJ7,AK7,AL7,AM7,AN7)</f>
        <v>*********</v>
      </c>
      <c r="BD7" s="148" t="str">
        <f>CONCATENATE(AP7,AQ7,AR7,AS7,AT7,AU7,AV7,AW7,AX7)</f>
        <v>*********</v>
      </c>
    </row>
    <row r="8" spans="1:56" ht="17.25" thickTop="1" thickBot="1" x14ac:dyDescent="0.3">
      <c r="A8" s="182">
        <f>'Descision Matrix'!BY9</f>
        <v>0</v>
      </c>
      <c r="B8" s="15"/>
      <c r="C8" s="71" t="s">
        <v>33</v>
      </c>
      <c r="D8" s="72" t="s">
        <v>34</v>
      </c>
      <c r="E8" s="72" t="s">
        <v>31</v>
      </c>
      <c r="F8" s="72" t="s">
        <v>35</v>
      </c>
      <c r="G8" s="47">
        <f>'Descision Matrix'!BM8</f>
        <v>0</v>
      </c>
      <c r="H8" s="15"/>
      <c r="I8" s="71" t="s">
        <v>33</v>
      </c>
      <c r="J8" s="72" t="s">
        <v>34</v>
      </c>
      <c r="K8" s="72" t="s">
        <v>31</v>
      </c>
      <c r="L8" s="72" t="s">
        <v>35</v>
      </c>
      <c r="M8" s="47">
        <f>'Descision Matrix'!BS8</f>
        <v>0</v>
      </c>
      <c r="N8" s="15"/>
      <c r="O8" s="71" t="s">
        <v>33</v>
      </c>
      <c r="P8" s="72" t="s">
        <v>34</v>
      </c>
      <c r="Q8" s="72" t="s">
        <v>31</v>
      </c>
      <c r="R8" s="72" t="s">
        <v>35</v>
      </c>
      <c r="U8"/>
      <c r="AE8"/>
      <c r="AO8"/>
      <c r="AY8"/>
    </row>
    <row r="9" spans="1:56" ht="17.25" thickTop="1" thickBot="1" x14ac:dyDescent="0.3">
      <c r="A9" s="182">
        <f>'Descision Matrix'!BY10</f>
        <v>0</v>
      </c>
      <c r="B9" s="176" t="s">
        <v>36</v>
      </c>
      <c r="C9" s="73" t="s">
        <v>34</v>
      </c>
      <c r="D9" s="135" t="str">
        <f>'Descision Matrix'!BJ10</f>
        <v>T</v>
      </c>
      <c r="E9" s="74" t="str">
        <f>'Descision Matrix'!BK10</f>
        <v>*</v>
      </c>
      <c r="F9" s="135" t="str">
        <f>'Descision Matrix'!BL10</f>
        <v>T</v>
      </c>
      <c r="G9" s="47">
        <f>'Descision Matrix'!BM10</f>
        <v>0</v>
      </c>
      <c r="H9" s="176" t="s">
        <v>36</v>
      </c>
      <c r="I9" s="73" t="s">
        <v>34</v>
      </c>
      <c r="J9" s="74" t="str">
        <f>'Descision Matrix'!BP10</f>
        <v>*</v>
      </c>
      <c r="K9" s="74" t="str">
        <f>'Descision Matrix'!BQ10</f>
        <v>*</v>
      </c>
      <c r="L9" s="74" t="str">
        <f>'Descision Matrix'!BR10</f>
        <v>*</v>
      </c>
      <c r="M9" s="47">
        <f>'Descision Matrix'!BS10</f>
        <v>0</v>
      </c>
      <c r="N9" s="176" t="s">
        <v>36</v>
      </c>
      <c r="O9" s="73" t="s">
        <v>34</v>
      </c>
      <c r="P9" s="74" t="str">
        <f>'Descision Matrix'!BV10</f>
        <v>*</v>
      </c>
      <c r="Q9" s="74" t="str">
        <f>'Descision Matrix'!BW10</f>
        <v>*</v>
      </c>
      <c r="R9" s="130" t="str">
        <f>'Descision Matrix'!BX10</f>
        <v>*</v>
      </c>
      <c r="U9"/>
      <c r="AE9"/>
      <c r="AO9"/>
      <c r="AY9"/>
    </row>
    <row r="10" spans="1:56" ht="17.25" thickTop="1" thickBot="1" x14ac:dyDescent="0.3">
      <c r="A10" s="182">
        <f>'Descision Matrix'!BY11</f>
        <v>0</v>
      </c>
      <c r="B10" s="176">
        <v>0</v>
      </c>
      <c r="C10" s="75" t="s">
        <v>31</v>
      </c>
      <c r="D10" s="76" t="str">
        <f>'Descision Matrix'!BJ11</f>
        <v>*</v>
      </c>
      <c r="E10" s="134" t="str">
        <f>'Descision Matrix'!BK11</f>
        <v>T</v>
      </c>
      <c r="F10" s="76" t="str">
        <f>'Descision Matrix'!BL11</f>
        <v>*</v>
      </c>
      <c r="G10" s="47">
        <f>'Descision Matrix'!BM11</f>
        <v>0</v>
      </c>
      <c r="H10" s="176">
        <v>0</v>
      </c>
      <c r="I10" s="75" t="s">
        <v>31</v>
      </c>
      <c r="J10" s="76" t="str">
        <f>'Descision Matrix'!BP11</f>
        <v>*</v>
      </c>
      <c r="K10" s="76" t="str">
        <f>'Descision Matrix'!BQ11</f>
        <v>*</v>
      </c>
      <c r="L10" s="76" t="str">
        <f>'Descision Matrix'!BR11</f>
        <v>*</v>
      </c>
      <c r="M10" s="47">
        <f>'Descision Matrix'!BS11</f>
        <v>0</v>
      </c>
      <c r="N10" s="176">
        <v>0</v>
      </c>
      <c r="O10" s="75" t="s">
        <v>31</v>
      </c>
      <c r="P10" s="76" t="str">
        <f>'Descision Matrix'!BV11</f>
        <v>*</v>
      </c>
      <c r="Q10" s="76" t="str">
        <f>'Descision Matrix'!BW11</f>
        <v>*</v>
      </c>
      <c r="R10" s="131" t="str">
        <f>'Descision Matrix'!BX11</f>
        <v>*</v>
      </c>
      <c r="U10"/>
      <c r="AE10"/>
      <c r="AO10"/>
      <c r="AY10"/>
    </row>
    <row r="11" spans="1:56" ht="17.25" thickTop="1" thickBot="1" x14ac:dyDescent="0.3">
      <c r="A11" s="198">
        <f>'Descision Matrix'!BY12</f>
        <v>0</v>
      </c>
      <c r="B11" s="177">
        <v>0</v>
      </c>
      <c r="C11" s="127" t="s">
        <v>35</v>
      </c>
      <c r="D11" s="141" t="str">
        <f>'Descision Matrix'!BJ12</f>
        <v>F</v>
      </c>
      <c r="E11" s="128" t="str">
        <f>'Descision Matrix'!BK12</f>
        <v>*</v>
      </c>
      <c r="F11" s="128" t="str">
        <f>'Descision Matrix'!BL12</f>
        <v>*</v>
      </c>
      <c r="G11" s="48">
        <f>'Descision Matrix'!BM12</f>
        <v>0</v>
      </c>
      <c r="H11" s="177">
        <v>0</v>
      </c>
      <c r="I11" s="127" t="s">
        <v>35</v>
      </c>
      <c r="J11" s="128" t="str">
        <f>'Descision Matrix'!BP12</f>
        <v>*</v>
      </c>
      <c r="K11" s="128" t="str">
        <f>'Descision Matrix'!BQ12</f>
        <v>*</v>
      </c>
      <c r="L11" s="128" t="str">
        <f>'Descision Matrix'!BR12</f>
        <v>*</v>
      </c>
      <c r="M11" s="48">
        <f>'Descision Matrix'!BS12</f>
        <v>0</v>
      </c>
      <c r="N11" s="177">
        <v>0</v>
      </c>
      <c r="O11" s="127" t="s">
        <v>35</v>
      </c>
      <c r="P11" s="128" t="str">
        <f>'Descision Matrix'!BV12</f>
        <v>*</v>
      </c>
      <c r="Q11" s="128" t="str">
        <f>'Descision Matrix'!BW12</f>
        <v>*</v>
      </c>
      <c r="R11" s="132" t="str">
        <f>'Descision Matrix'!BX12</f>
        <v>*</v>
      </c>
      <c r="U11"/>
      <c r="AE11"/>
      <c r="AO11"/>
      <c r="AY11"/>
    </row>
    <row r="12" spans="1:56" ht="20.25" thickTop="1" thickBot="1" x14ac:dyDescent="0.3">
      <c r="A12" s="181" t="str">
        <f>'Descision Matrix'!BY14</f>
        <v>A Partitions B</v>
      </c>
      <c r="B12" s="10"/>
      <c r="C12" s="11"/>
      <c r="D12" s="175" t="s">
        <v>31</v>
      </c>
      <c r="E12" s="175">
        <v>0</v>
      </c>
      <c r="F12" s="175">
        <v>0</v>
      </c>
      <c r="G12" s="46">
        <f>'Descision Matrix'!BM13</f>
        <v>0</v>
      </c>
      <c r="H12" s="10"/>
      <c r="I12" s="11"/>
      <c r="J12" s="175" t="s">
        <v>31</v>
      </c>
      <c r="K12" s="175">
        <v>0</v>
      </c>
      <c r="L12" s="175">
        <v>0</v>
      </c>
      <c r="M12" s="46">
        <f>'Descision Matrix'!BS13</f>
        <v>0</v>
      </c>
      <c r="N12" s="10"/>
      <c r="O12" s="11"/>
      <c r="P12" s="175" t="s">
        <v>31</v>
      </c>
      <c r="Q12" s="175">
        <v>0</v>
      </c>
      <c r="R12" s="175">
        <v>0</v>
      </c>
      <c r="T12" s="144" t="str">
        <f>A12</f>
        <v>A Partitions B</v>
      </c>
      <c r="U12" s="25"/>
      <c r="V12" s="26" t="str">
        <f>D14</f>
        <v>T</v>
      </c>
      <c r="W12" s="22" t="str">
        <f t="shared" ref="W12:X12" si="18">E14</f>
        <v>*</v>
      </c>
      <c r="X12" s="23" t="str">
        <f t="shared" si="18"/>
        <v>F</v>
      </c>
      <c r="Y12" s="22" t="str">
        <f>D15</f>
        <v>*</v>
      </c>
      <c r="Z12" s="22" t="str">
        <f t="shared" ref="Z12:AA12" si="19">E15</f>
        <v>T</v>
      </c>
      <c r="AA12" s="23" t="str">
        <f t="shared" si="19"/>
        <v>*</v>
      </c>
      <c r="AB12" s="22" t="str">
        <f>D16</f>
        <v>T</v>
      </c>
      <c r="AC12" s="22" t="str">
        <f t="shared" ref="AC12:AD12" si="20">E16</f>
        <v>*</v>
      </c>
      <c r="AD12" s="27" t="str">
        <f t="shared" si="20"/>
        <v>*</v>
      </c>
      <c r="AE12" s="25"/>
      <c r="AF12" s="26" t="str">
        <f>J14</f>
        <v>*</v>
      </c>
      <c r="AG12" s="22" t="str">
        <f t="shared" ref="AG12:AH12" si="21">K14</f>
        <v>*</v>
      </c>
      <c r="AH12" s="23" t="str">
        <f t="shared" si="21"/>
        <v>*</v>
      </c>
      <c r="AI12" s="22" t="str">
        <f>J15</f>
        <v>*</v>
      </c>
      <c r="AJ12" s="22" t="str">
        <f t="shared" ref="AJ12:AK12" si="22">K15</f>
        <v>*</v>
      </c>
      <c r="AK12" s="23" t="str">
        <f t="shared" si="22"/>
        <v>*</v>
      </c>
      <c r="AL12" s="22" t="str">
        <f>J16</f>
        <v>*</v>
      </c>
      <c r="AM12" s="22" t="str">
        <f t="shared" ref="AM12:AN12" si="23">K16</f>
        <v>*</v>
      </c>
      <c r="AN12" s="27" t="str">
        <f t="shared" si="23"/>
        <v>*</v>
      </c>
      <c r="AO12" s="25"/>
      <c r="AP12" s="26" t="str">
        <f>P14</f>
        <v>*</v>
      </c>
      <c r="AQ12" s="22" t="str">
        <f t="shared" ref="AQ12:AR12" si="24">Q14</f>
        <v>*</v>
      </c>
      <c r="AR12" s="23" t="str">
        <f t="shared" si="24"/>
        <v>*</v>
      </c>
      <c r="AS12" s="22" t="str">
        <f>P15</f>
        <v>*</v>
      </c>
      <c r="AT12" s="22" t="str">
        <f t="shared" ref="AT12:AU12" si="25">Q15</f>
        <v>*</v>
      </c>
      <c r="AU12" s="23" t="str">
        <f t="shared" si="25"/>
        <v>*</v>
      </c>
      <c r="AV12" s="22" t="str">
        <f>P16</f>
        <v>*</v>
      </c>
      <c r="AW12" s="22" t="str">
        <f t="shared" ref="AW12:AX12" si="26">Q16</f>
        <v>*</v>
      </c>
      <c r="AX12" s="27" t="str">
        <f t="shared" si="26"/>
        <v>*</v>
      </c>
      <c r="AY12" s="28"/>
      <c r="BA12" s="144" t="str">
        <f>T12</f>
        <v>A Partitions B</v>
      </c>
      <c r="BB12" s="146" t="str">
        <f>CONCATENATE(V12,W12,X12,Y12,Z12,AA12,AB12,AC12,AD12)</f>
        <v>T*F*T*T**</v>
      </c>
      <c r="BC12" s="147" t="str">
        <f>CONCATENATE(AF12,AG12,AH12,AI12,AJ12,AK12,AL12,AM12,AN12)</f>
        <v>*********</v>
      </c>
      <c r="BD12" s="148" t="str">
        <f>CONCATENATE(AP12,AQ12,AR12,AS12,AT12,AU12,AV12,AW12,AX12)</f>
        <v>*********</v>
      </c>
    </row>
    <row r="13" spans="1:56" ht="17.25" thickTop="1" thickBot="1" x14ac:dyDescent="0.3">
      <c r="A13" s="182">
        <f>'Descision Matrix'!BY15</f>
        <v>0</v>
      </c>
      <c r="B13" s="15"/>
      <c r="C13" s="71" t="s">
        <v>33</v>
      </c>
      <c r="D13" s="72" t="s">
        <v>34</v>
      </c>
      <c r="E13" s="72" t="s">
        <v>31</v>
      </c>
      <c r="F13" s="72" t="s">
        <v>35</v>
      </c>
      <c r="G13" s="47">
        <f>'Descision Matrix'!BM14</f>
        <v>0</v>
      </c>
      <c r="H13" s="15"/>
      <c r="I13" s="71" t="s">
        <v>33</v>
      </c>
      <c r="J13" s="72" t="s">
        <v>34</v>
      </c>
      <c r="K13" s="72" t="s">
        <v>31</v>
      </c>
      <c r="L13" s="72" t="s">
        <v>35</v>
      </c>
      <c r="M13" s="47">
        <f>'Descision Matrix'!BS14</f>
        <v>0</v>
      </c>
      <c r="N13" s="15"/>
      <c r="O13" s="71" t="s">
        <v>33</v>
      </c>
      <c r="P13" s="72" t="s">
        <v>34</v>
      </c>
      <c r="Q13" s="72" t="s">
        <v>31</v>
      </c>
      <c r="R13" s="72" t="s">
        <v>35</v>
      </c>
      <c r="U13"/>
      <c r="AE13"/>
      <c r="AO13"/>
      <c r="AY13"/>
    </row>
    <row r="14" spans="1:56" ht="17.25" thickTop="1" thickBot="1" x14ac:dyDescent="0.3">
      <c r="A14" s="182">
        <f>'Descision Matrix'!BY16</f>
        <v>0</v>
      </c>
      <c r="B14" s="176" t="s">
        <v>36</v>
      </c>
      <c r="C14" s="73" t="s">
        <v>34</v>
      </c>
      <c r="D14" s="135" t="str">
        <f>'Descision Matrix'!BJ16</f>
        <v>T</v>
      </c>
      <c r="E14" s="74" t="str">
        <f>'Descision Matrix'!BK16</f>
        <v>*</v>
      </c>
      <c r="F14" s="135" t="str">
        <f>'Descision Matrix'!BL16</f>
        <v>F</v>
      </c>
      <c r="G14" s="47">
        <f>'Descision Matrix'!BM16</f>
        <v>0</v>
      </c>
      <c r="H14" s="176" t="s">
        <v>36</v>
      </c>
      <c r="I14" s="73" t="s">
        <v>34</v>
      </c>
      <c r="J14" s="74" t="str">
        <f>'Descision Matrix'!BP16</f>
        <v>*</v>
      </c>
      <c r="K14" s="74" t="str">
        <f>'Descision Matrix'!BQ16</f>
        <v>*</v>
      </c>
      <c r="L14" s="74" t="str">
        <f>'Descision Matrix'!BR16</f>
        <v>*</v>
      </c>
      <c r="M14" s="47">
        <f>'Descision Matrix'!BS16</f>
        <v>0</v>
      </c>
      <c r="N14" s="176" t="s">
        <v>36</v>
      </c>
      <c r="O14" s="73" t="s">
        <v>34</v>
      </c>
      <c r="P14" s="74" t="str">
        <f>'Descision Matrix'!BV16</f>
        <v>*</v>
      </c>
      <c r="Q14" s="74" t="str">
        <f>'Descision Matrix'!BW16</f>
        <v>*</v>
      </c>
      <c r="R14" s="130" t="str">
        <f>'Descision Matrix'!BX16</f>
        <v>*</v>
      </c>
      <c r="U14"/>
      <c r="AE14"/>
      <c r="AO14"/>
      <c r="AY14"/>
    </row>
    <row r="15" spans="1:56" ht="17.25" thickTop="1" thickBot="1" x14ac:dyDescent="0.3">
      <c r="A15" s="182">
        <f>'Descision Matrix'!BY17</f>
        <v>0</v>
      </c>
      <c r="B15" s="176">
        <v>0</v>
      </c>
      <c r="C15" s="75" t="s">
        <v>31</v>
      </c>
      <c r="D15" s="76" t="str">
        <f>'Descision Matrix'!BJ17</f>
        <v>*</v>
      </c>
      <c r="E15" s="134" t="str">
        <f>'Descision Matrix'!BK17</f>
        <v>T</v>
      </c>
      <c r="F15" s="76" t="str">
        <f>'Descision Matrix'!BL17</f>
        <v>*</v>
      </c>
      <c r="G15" s="47">
        <f>'Descision Matrix'!BM17</f>
        <v>0</v>
      </c>
      <c r="H15" s="176">
        <v>0</v>
      </c>
      <c r="I15" s="75" t="s">
        <v>31</v>
      </c>
      <c r="J15" s="76" t="str">
        <f>'Descision Matrix'!BP17</f>
        <v>*</v>
      </c>
      <c r="K15" s="76" t="str">
        <f>'Descision Matrix'!BQ17</f>
        <v>*</v>
      </c>
      <c r="L15" s="76" t="str">
        <f>'Descision Matrix'!BR17</f>
        <v>*</v>
      </c>
      <c r="M15" s="47">
        <f>'Descision Matrix'!BS17</f>
        <v>0</v>
      </c>
      <c r="N15" s="176">
        <v>0</v>
      </c>
      <c r="O15" s="75" t="s">
        <v>31</v>
      </c>
      <c r="P15" s="76" t="str">
        <f>'Descision Matrix'!BV17</f>
        <v>*</v>
      </c>
      <c r="Q15" s="76" t="str">
        <f>'Descision Matrix'!BW17</f>
        <v>*</v>
      </c>
      <c r="R15" s="131" t="str">
        <f>'Descision Matrix'!BX17</f>
        <v>*</v>
      </c>
      <c r="U15"/>
      <c r="AE15"/>
      <c r="AO15"/>
      <c r="AY15"/>
    </row>
    <row r="16" spans="1:56" ht="17.25" thickTop="1" thickBot="1" x14ac:dyDescent="0.3">
      <c r="A16" s="198">
        <f>'Descision Matrix'!BY18</f>
        <v>0</v>
      </c>
      <c r="B16" s="177">
        <v>0</v>
      </c>
      <c r="C16" s="127" t="s">
        <v>35</v>
      </c>
      <c r="D16" s="141" t="str">
        <f>'Descision Matrix'!BJ18</f>
        <v>T</v>
      </c>
      <c r="E16" s="128" t="str">
        <f>'Descision Matrix'!BK18</f>
        <v>*</v>
      </c>
      <c r="F16" s="128" t="str">
        <f>'Descision Matrix'!BL18</f>
        <v>*</v>
      </c>
      <c r="G16" s="48">
        <f>'Descision Matrix'!BM18</f>
        <v>0</v>
      </c>
      <c r="H16" s="177">
        <v>0</v>
      </c>
      <c r="I16" s="127" t="s">
        <v>35</v>
      </c>
      <c r="J16" s="128" t="str">
        <f>'Descision Matrix'!BP18</f>
        <v>*</v>
      </c>
      <c r="K16" s="128" t="str">
        <f>'Descision Matrix'!BQ18</f>
        <v>*</v>
      </c>
      <c r="L16" s="128" t="str">
        <f>'Descision Matrix'!BR18</f>
        <v>*</v>
      </c>
      <c r="M16" s="48">
        <f>'Descision Matrix'!BS18</f>
        <v>0</v>
      </c>
      <c r="N16" s="177">
        <v>0</v>
      </c>
      <c r="O16" s="127" t="s">
        <v>35</v>
      </c>
      <c r="P16" s="128" t="str">
        <f>'Descision Matrix'!BV18</f>
        <v>*</v>
      </c>
      <c r="Q16" s="128" t="str">
        <f>'Descision Matrix'!BW18</f>
        <v>*</v>
      </c>
      <c r="R16" s="132" t="str">
        <f>'Descision Matrix'!BX18</f>
        <v>*</v>
      </c>
      <c r="U16"/>
      <c r="AE16"/>
      <c r="AO16"/>
      <c r="AY16"/>
    </row>
    <row r="17" spans="1:56" ht="20.25" thickTop="1" thickBot="1" x14ac:dyDescent="0.3">
      <c r="A17" s="181" t="str">
        <f>'Descision Matrix'!BY20</f>
        <v>A Equals B</v>
      </c>
      <c r="B17" s="10"/>
      <c r="C17" s="11"/>
      <c r="D17" s="175" t="s">
        <v>31</v>
      </c>
      <c r="E17" s="175">
        <v>0</v>
      </c>
      <c r="F17" s="175">
        <v>0</v>
      </c>
      <c r="G17" s="46">
        <f>'Descision Matrix'!BM19</f>
        <v>0</v>
      </c>
      <c r="H17" s="10"/>
      <c r="I17" s="11"/>
      <c r="J17" s="175" t="s">
        <v>31</v>
      </c>
      <c r="K17" s="175">
        <v>0</v>
      </c>
      <c r="L17" s="175">
        <v>0</v>
      </c>
      <c r="M17" s="46">
        <f>'Descision Matrix'!BS19</f>
        <v>0</v>
      </c>
      <c r="N17" s="10"/>
      <c r="O17" s="11"/>
      <c r="P17" s="175" t="s">
        <v>31</v>
      </c>
      <c r="Q17" s="175">
        <v>0</v>
      </c>
      <c r="R17" s="175">
        <v>0</v>
      </c>
      <c r="T17" s="144" t="str">
        <f>A17</f>
        <v>A Equals B</v>
      </c>
      <c r="U17" s="25"/>
      <c r="V17" s="26" t="str">
        <f>D19</f>
        <v>T</v>
      </c>
      <c r="W17" s="22" t="str">
        <f t="shared" ref="W17:X17" si="27">E19</f>
        <v>*</v>
      </c>
      <c r="X17" s="23" t="str">
        <f t="shared" si="27"/>
        <v>F</v>
      </c>
      <c r="Y17" s="22" t="str">
        <f>D20</f>
        <v>*</v>
      </c>
      <c r="Z17" s="22" t="str">
        <f t="shared" ref="Z17:AA17" si="28">E20</f>
        <v>T</v>
      </c>
      <c r="AA17" s="23" t="str">
        <f t="shared" si="28"/>
        <v>*</v>
      </c>
      <c r="AB17" s="22" t="str">
        <f>D21</f>
        <v>F</v>
      </c>
      <c r="AC17" s="22" t="str">
        <f t="shared" ref="AC17:AD17" si="29">E21</f>
        <v>*</v>
      </c>
      <c r="AD17" s="27" t="str">
        <f t="shared" si="29"/>
        <v>*</v>
      </c>
      <c r="AE17" s="25"/>
      <c r="AF17" s="26" t="str">
        <f>J19</f>
        <v>*</v>
      </c>
      <c r="AG17" s="22" t="str">
        <f t="shared" ref="AG17:AH17" si="30">K19</f>
        <v>*</v>
      </c>
      <c r="AH17" s="23" t="str">
        <f t="shared" si="30"/>
        <v>*</v>
      </c>
      <c r="AI17" s="22" t="str">
        <f>J20</f>
        <v>*</v>
      </c>
      <c r="AJ17" s="22" t="str">
        <f t="shared" ref="AJ17:AK17" si="31">K20</f>
        <v>*</v>
      </c>
      <c r="AK17" s="23" t="str">
        <f t="shared" si="31"/>
        <v>*</v>
      </c>
      <c r="AL17" s="22" t="str">
        <f>J21</f>
        <v>*</v>
      </c>
      <c r="AM17" s="22" t="str">
        <f t="shared" ref="AM17:AN17" si="32">K21</f>
        <v>*</v>
      </c>
      <c r="AN17" s="27" t="str">
        <f t="shared" si="32"/>
        <v>*</v>
      </c>
      <c r="AO17" s="25"/>
      <c r="AP17" s="26" t="str">
        <f>P19</f>
        <v>*</v>
      </c>
      <c r="AQ17" s="22" t="str">
        <f t="shared" ref="AQ17:AR17" si="33">Q19</f>
        <v>*</v>
      </c>
      <c r="AR17" s="23" t="str">
        <f t="shared" si="33"/>
        <v>*</v>
      </c>
      <c r="AS17" s="22" t="str">
        <f>P20</f>
        <v>*</v>
      </c>
      <c r="AT17" s="22" t="str">
        <f t="shared" ref="AT17:AU17" si="34">Q20</f>
        <v>*</v>
      </c>
      <c r="AU17" s="23" t="str">
        <f t="shared" si="34"/>
        <v>*</v>
      </c>
      <c r="AV17" s="22" t="str">
        <f>P21</f>
        <v>*</v>
      </c>
      <c r="AW17" s="22" t="str">
        <f t="shared" ref="AW17:AX17" si="35">Q21</f>
        <v>*</v>
      </c>
      <c r="AX17" s="27" t="str">
        <f t="shared" si="35"/>
        <v>*</v>
      </c>
      <c r="AY17" s="28"/>
      <c r="BA17" s="144" t="str">
        <f>T17</f>
        <v>A Equals B</v>
      </c>
      <c r="BB17" s="146" t="str">
        <f>CONCATENATE(V17,W17,X17,Y17,Z17,AA17,AB17,AC17,AD17)</f>
        <v>T*F*T*F**</v>
      </c>
      <c r="BC17" s="147" t="str">
        <f>CONCATENATE(AF17,AG17,AH17,AI17,AJ17,AK17,AL17,AM17,AN17)</f>
        <v>*********</v>
      </c>
      <c r="BD17" s="148" t="str">
        <f>CONCATENATE(AP17,AQ17,AR17,AS17,AT17,AU17,AV17,AW17,AX17)</f>
        <v>*********</v>
      </c>
    </row>
    <row r="18" spans="1:56" ht="17.25" thickTop="1" thickBot="1" x14ac:dyDescent="0.3">
      <c r="A18" s="182">
        <f>'Descision Matrix'!BY21</f>
        <v>0</v>
      </c>
      <c r="B18" s="15"/>
      <c r="C18" s="71" t="s">
        <v>33</v>
      </c>
      <c r="D18" s="72" t="s">
        <v>34</v>
      </c>
      <c r="E18" s="72" t="s">
        <v>31</v>
      </c>
      <c r="F18" s="72" t="s">
        <v>35</v>
      </c>
      <c r="G18" s="47">
        <f>'Descision Matrix'!BM20</f>
        <v>0</v>
      </c>
      <c r="H18" s="15"/>
      <c r="I18" s="71" t="s">
        <v>33</v>
      </c>
      <c r="J18" s="72" t="s">
        <v>34</v>
      </c>
      <c r="K18" s="72" t="s">
        <v>31</v>
      </c>
      <c r="L18" s="72" t="s">
        <v>35</v>
      </c>
      <c r="M18" s="47">
        <f>'Descision Matrix'!BS20</f>
        <v>0</v>
      </c>
      <c r="N18" s="15"/>
      <c r="O18" s="71" t="s">
        <v>33</v>
      </c>
      <c r="P18" s="72" t="s">
        <v>34</v>
      </c>
      <c r="Q18" s="72" t="s">
        <v>31</v>
      </c>
      <c r="R18" s="72" t="s">
        <v>35</v>
      </c>
      <c r="U18"/>
      <c r="AE18"/>
      <c r="AO18"/>
      <c r="AY18"/>
    </row>
    <row r="19" spans="1:56" ht="17.25" thickTop="1" thickBot="1" x14ac:dyDescent="0.3">
      <c r="A19" s="182">
        <f>'Descision Matrix'!BY22</f>
        <v>0</v>
      </c>
      <c r="B19" s="176" t="s">
        <v>36</v>
      </c>
      <c r="C19" s="73" t="s">
        <v>34</v>
      </c>
      <c r="D19" s="135" t="str">
        <f>'Descision Matrix'!BJ22</f>
        <v>T</v>
      </c>
      <c r="E19" s="74" t="str">
        <f>'Descision Matrix'!BK22</f>
        <v>*</v>
      </c>
      <c r="F19" s="135" t="str">
        <f>'Descision Matrix'!BL22</f>
        <v>F</v>
      </c>
      <c r="G19" s="47">
        <f>'Descision Matrix'!BM22</f>
        <v>0</v>
      </c>
      <c r="H19" s="176" t="s">
        <v>36</v>
      </c>
      <c r="I19" s="73" t="s">
        <v>34</v>
      </c>
      <c r="J19" s="74" t="str">
        <f>'Descision Matrix'!BP22</f>
        <v>*</v>
      </c>
      <c r="K19" s="74" t="str">
        <f>'Descision Matrix'!BQ22</f>
        <v>*</v>
      </c>
      <c r="L19" s="74" t="str">
        <f>'Descision Matrix'!BR22</f>
        <v>*</v>
      </c>
      <c r="M19" s="47">
        <f>'Descision Matrix'!BS22</f>
        <v>0</v>
      </c>
      <c r="N19" s="176" t="s">
        <v>36</v>
      </c>
      <c r="O19" s="73" t="s">
        <v>34</v>
      </c>
      <c r="P19" s="74" t="str">
        <f>'Descision Matrix'!BV22</f>
        <v>*</v>
      </c>
      <c r="Q19" s="74" t="str">
        <f>'Descision Matrix'!BW22</f>
        <v>*</v>
      </c>
      <c r="R19" s="130" t="str">
        <f>'Descision Matrix'!BX22</f>
        <v>*</v>
      </c>
      <c r="U19"/>
      <c r="AE19"/>
      <c r="AO19"/>
      <c r="AY19"/>
    </row>
    <row r="20" spans="1:56" ht="17.25" thickTop="1" thickBot="1" x14ac:dyDescent="0.3">
      <c r="A20" s="182">
        <f>'Descision Matrix'!BY23</f>
        <v>0</v>
      </c>
      <c r="B20" s="176">
        <v>0</v>
      </c>
      <c r="C20" s="75" t="s">
        <v>31</v>
      </c>
      <c r="D20" s="76" t="str">
        <f>'Descision Matrix'!BJ23</f>
        <v>*</v>
      </c>
      <c r="E20" s="134" t="str">
        <f>'Descision Matrix'!BK23</f>
        <v>T</v>
      </c>
      <c r="F20" s="76" t="str">
        <f>'Descision Matrix'!BL23</f>
        <v>*</v>
      </c>
      <c r="G20" s="47">
        <f>'Descision Matrix'!BM23</f>
        <v>0</v>
      </c>
      <c r="H20" s="176">
        <v>0</v>
      </c>
      <c r="I20" s="75" t="s">
        <v>31</v>
      </c>
      <c r="J20" s="76" t="str">
        <f>'Descision Matrix'!BP23</f>
        <v>*</v>
      </c>
      <c r="K20" s="76" t="str">
        <f>'Descision Matrix'!BQ23</f>
        <v>*</v>
      </c>
      <c r="L20" s="76" t="str">
        <f>'Descision Matrix'!BR23</f>
        <v>*</v>
      </c>
      <c r="M20" s="47">
        <f>'Descision Matrix'!BS23</f>
        <v>0</v>
      </c>
      <c r="N20" s="176">
        <v>0</v>
      </c>
      <c r="O20" s="75" t="s">
        <v>31</v>
      </c>
      <c r="P20" s="76" t="str">
        <f>'Descision Matrix'!BV23</f>
        <v>*</v>
      </c>
      <c r="Q20" s="76" t="str">
        <f>'Descision Matrix'!BW23</f>
        <v>*</v>
      </c>
      <c r="R20" s="131" t="str">
        <f>'Descision Matrix'!BX23</f>
        <v>*</v>
      </c>
      <c r="U20"/>
      <c r="AE20"/>
      <c r="AO20"/>
      <c r="AY20"/>
    </row>
    <row r="21" spans="1:56" ht="17.25" thickTop="1" thickBot="1" x14ac:dyDescent="0.3">
      <c r="A21" s="198">
        <f>'Descision Matrix'!BY24</f>
        <v>0</v>
      </c>
      <c r="B21" s="177">
        <v>0</v>
      </c>
      <c r="C21" s="127" t="s">
        <v>35</v>
      </c>
      <c r="D21" s="141" t="str">
        <f>'Descision Matrix'!BJ24</f>
        <v>F</v>
      </c>
      <c r="E21" s="128" t="str">
        <f>'Descision Matrix'!BK24</f>
        <v>*</v>
      </c>
      <c r="F21" s="128" t="str">
        <f>'Descision Matrix'!BL24</f>
        <v>*</v>
      </c>
      <c r="G21" s="48">
        <f>'Descision Matrix'!BM24</f>
        <v>0</v>
      </c>
      <c r="H21" s="177">
        <v>0</v>
      </c>
      <c r="I21" s="127" t="s">
        <v>35</v>
      </c>
      <c r="J21" s="128" t="str">
        <f>'Descision Matrix'!BP24</f>
        <v>*</v>
      </c>
      <c r="K21" s="128" t="str">
        <f>'Descision Matrix'!BQ24</f>
        <v>*</v>
      </c>
      <c r="L21" s="128" t="str">
        <f>'Descision Matrix'!BR24</f>
        <v>*</v>
      </c>
      <c r="M21" s="48">
        <f>'Descision Matrix'!BS24</f>
        <v>0</v>
      </c>
      <c r="N21" s="177">
        <v>0</v>
      </c>
      <c r="O21" s="127" t="s">
        <v>35</v>
      </c>
      <c r="P21" s="128" t="str">
        <f>'Descision Matrix'!BV24</f>
        <v>*</v>
      </c>
      <c r="Q21" s="128" t="str">
        <f>'Descision Matrix'!BW24</f>
        <v>*</v>
      </c>
      <c r="R21" s="132" t="str">
        <f>'Descision Matrix'!BX24</f>
        <v>*</v>
      </c>
      <c r="U21"/>
      <c r="AE21"/>
      <c r="AO21"/>
      <c r="AY21"/>
    </row>
    <row r="22" spans="1:56" ht="20.25" thickTop="1" thickBot="1" x14ac:dyDescent="0.3">
      <c r="A22" s="194" t="str">
        <f>'Descision Matrix'!DK26</f>
        <v>A Confines B</v>
      </c>
      <c r="B22" s="10"/>
      <c r="C22" s="11"/>
      <c r="D22" s="175" t="s">
        <v>31</v>
      </c>
      <c r="E22" s="175">
        <v>0</v>
      </c>
      <c r="F22" s="175">
        <v>0</v>
      </c>
      <c r="G22" s="46">
        <f>'Descision Matrix'!BM25</f>
        <v>0</v>
      </c>
      <c r="H22" s="10"/>
      <c r="I22" s="11"/>
      <c r="J22" s="175" t="s">
        <v>31</v>
      </c>
      <c r="K22" s="175">
        <v>0</v>
      </c>
      <c r="L22" s="175">
        <v>0</v>
      </c>
      <c r="M22" s="46">
        <f>'Descision Matrix'!BS25</f>
        <v>0</v>
      </c>
      <c r="N22" s="10"/>
      <c r="O22" s="11"/>
      <c r="P22" s="175" t="s">
        <v>31</v>
      </c>
      <c r="Q22" s="175">
        <v>0</v>
      </c>
      <c r="R22" s="175">
        <v>0</v>
      </c>
      <c r="T22" s="144" t="str">
        <f>A22</f>
        <v>A Confines B</v>
      </c>
      <c r="U22" s="25"/>
      <c r="V22" s="26" t="str">
        <f>D24</f>
        <v>F</v>
      </c>
      <c r="W22" s="22" t="str">
        <f t="shared" ref="W22:X22" si="36">E24</f>
        <v>*</v>
      </c>
      <c r="X22" s="23" t="str">
        <f t="shared" si="36"/>
        <v>*</v>
      </c>
      <c r="Y22" s="22" t="str">
        <f>D25</f>
        <v>*</v>
      </c>
      <c r="Z22" s="22" t="str">
        <f t="shared" ref="Z22:AA22" si="37">E25</f>
        <v>T</v>
      </c>
      <c r="AA22" s="23" t="str">
        <f t="shared" si="37"/>
        <v>*</v>
      </c>
      <c r="AB22" s="22" t="str">
        <f>D26</f>
        <v>*</v>
      </c>
      <c r="AC22" s="22" t="str">
        <f t="shared" ref="AC22:AD22" si="38">E26</f>
        <v>*</v>
      </c>
      <c r="AD22" s="27" t="str">
        <f t="shared" si="38"/>
        <v>*</v>
      </c>
      <c r="AE22" s="25"/>
      <c r="AF22" s="26" t="str">
        <f>J24</f>
        <v>T</v>
      </c>
      <c r="AG22" s="22" t="str">
        <f t="shared" ref="AG22:AH22" si="39">K24</f>
        <v>*</v>
      </c>
      <c r="AH22" s="23" t="str">
        <f t="shared" si="39"/>
        <v>T</v>
      </c>
      <c r="AI22" s="22" t="str">
        <f>J25</f>
        <v>*</v>
      </c>
      <c r="AJ22" s="22" t="str">
        <f t="shared" ref="AJ22:AK22" si="40">K25</f>
        <v>*</v>
      </c>
      <c r="AK22" s="23" t="str">
        <f t="shared" si="40"/>
        <v>*</v>
      </c>
      <c r="AL22" s="22" t="str">
        <f>J26</f>
        <v>F</v>
      </c>
      <c r="AM22" s="22" t="str">
        <f t="shared" ref="AM22:AN22" si="41">K26</f>
        <v>*</v>
      </c>
      <c r="AN22" s="27" t="str">
        <f t="shared" si="41"/>
        <v>*</v>
      </c>
      <c r="AO22" s="25"/>
      <c r="AP22" s="26" t="str">
        <f>P24</f>
        <v>*</v>
      </c>
      <c r="AQ22" s="22" t="str">
        <f t="shared" ref="AQ22:AR22" si="42">Q24</f>
        <v>*</v>
      </c>
      <c r="AR22" s="23" t="str">
        <f t="shared" si="42"/>
        <v>*</v>
      </c>
      <c r="AS22" s="22" t="str">
        <f>P25</f>
        <v>*</v>
      </c>
      <c r="AT22" s="22" t="str">
        <f t="shared" ref="AT22:AU22" si="43">Q25</f>
        <v>*</v>
      </c>
      <c r="AU22" s="23" t="str">
        <f t="shared" si="43"/>
        <v>*</v>
      </c>
      <c r="AV22" s="22" t="str">
        <f>P26</f>
        <v>*</v>
      </c>
      <c r="AW22" s="22" t="str">
        <f t="shared" ref="AW22:AX22" si="44">Q26</f>
        <v>*</v>
      </c>
      <c r="AX22" s="27" t="str">
        <f t="shared" si="44"/>
        <v>*</v>
      </c>
      <c r="AY22" s="28"/>
      <c r="BA22" s="144" t="str">
        <f>T22</f>
        <v>A Confines B</v>
      </c>
      <c r="BB22" s="146" t="str">
        <f>CONCATENATE(V22,W22,X22,Y22,Z22,AA22,AB22,AC22,AD22)</f>
        <v>F***T****</v>
      </c>
      <c r="BC22" s="147" t="str">
        <f>CONCATENATE(AF22,AG22,AH22,AI22,AJ22,AK22,AL22,AM22,AN22)</f>
        <v>T*T***F**</v>
      </c>
      <c r="BD22" s="148" t="str">
        <f>CONCATENATE(AP22,AQ22,AR22,AS22,AT22,AU22,AV22,AW22,AX22)</f>
        <v>*********</v>
      </c>
    </row>
    <row r="23" spans="1:56" ht="17.25" thickTop="1" thickBot="1" x14ac:dyDescent="0.3">
      <c r="A23" s="185">
        <f>'Descision Matrix'!DK27</f>
        <v>0</v>
      </c>
      <c r="B23" s="15"/>
      <c r="C23" s="71" t="s">
        <v>33</v>
      </c>
      <c r="D23" s="72" t="s">
        <v>34</v>
      </c>
      <c r="E23" s="72" t="s">
        <v>31</v>
      </c>
      <c r="F23" s="72" t="s">
        <v>35</v>
      </c>
      <c r="G23" s="47">
        <f>'Descision Matrix'!BM26</f>
        <v>0</v>
      </c>
      <c r="H23" s="15"/>
      <c r="I23" s="71" t="s">
        <v>33</v>
      </c>
      <c r="J23" s="72" t="s">
        <v>34</v>
      </c>
      <c r="K23" s="72" t="s">
        <v>31</v>
      </c>
      <c r="L23" s="72" t="s">
        <v>35</v>
      </c>
      <c r="M23" s="47">
        <f>'Descision Matrix'!BS26</f>
        <v>0</v>
      </c>
      <c r="N23" s="15"/>
      <c r="O23" s="71" t="s">
        <v>33</v>
      </c>
      <c r="P23" s="72" t="s">
        <v>34</v>
      </c>
      <c r="Q23" s="72" t="s">
        <v>31</v>
      </c>
      <c r="R23" s="72" t="s">
        <v>35</v>
      </c>
      <c r="U23"/>
      <c r="AE23"/>
      <c r="AO23"/>
      <c r="AY23"/>
    </row>
    <row r="24" spans="1:56" ht="17.25" thickTop="1" thickBot="1" x14ac:dyDescent="0.3">
      <c r="A24" s="185">
        <f>'Descision Matrix'!DK28</f>
        <v>0</v>
      </c>
      <c r="B24" s="176" t="s">
        <v>36</v>
      </c>
      <c r="C24" s="73" t="s">
        <v>34</v>
      </c>
      <c r="D24" s="135" t="str">
        <f>'Descision Matrix'!CC28</f>
        <v>F</v>
      </c>
      <c r="E24" s="74" t="str">
        <f>'Descision Matrix'!CD28</f>
        <v>*</v>
      </c>
      <c r="F24" s="74" t="str">
        <f>'Descision Matrix'!CE28</f>
        <v>*</v>
      </c>
      <c r="G24" s="47">
        <f>'Descision Matrix'!CF28</f>
        <v>0</v>
      </c>
      <c r="H24" s="176" t="s">
        <v>36</v>
      </c>
      <c r="I24" s="73" t="s">
        <v>34</v>
      </c>
      <c r="J24" s="135" t="str">
        <f>'Descision Matrix'!CI28</f>
        <v>T</v>
      </c>
      <c r="K24" s="74" t="str">
        <f>'Descision Matrix'!CJ28</f>
        <v>*</v>
      </c>
      <c r="L24" s="135" t="str">
        <f>'Descision Matrix'!CK28</f>
        <v>T</v>
      </c>
      <c r="M24" s="47">
        <f>'Descision Matrix'!CL28</f>
        <v>0</v>
      </c>
      <c r="N24" s="176" t="s">
        <v>36</v>
      </c>
      <c r="O24" s="73" t="s">
        <v>34</v>
      </c>
      <c r="P24" s="74" t="str">
        <f>'Descision Matrix'!CO28</f>
        <v>*</v>
      </c>
      <c r="Q24" s="74" t="str">
        <f>'Descision Matrix'!CP28</f>
        <v>*</v>
      </c>
      <c r="R24" s="130" t="str">
        <f>'Descision Matrix'!CQ28</f>
        <v>*</v>
      </c>
      <c r="U24"/>
      <c r="AE24"/>
      <c r="AO24"/>
      <c r="AY24"/>
    </row>
    <row r="25" spans="1:56" ht="17.25" thickTop="1" thickBot="1" x14ac:dyDescent="0.3">
      <c r="A25" s="185">
        <f>'Descision Matrix'!DK29</f>
        <v>0</v>
      </c>
      <c r="B25" s="176">
        <v>0</v>
      </c>
      <c r="C25" s="75" t="s">
        <v>31</v>
      </c>
      <c r="D25" s="76" t="str">
        <f>'Descision Matrix'!CC29</f>
        <v>*</v>
      </c>
      <c r="E25" s="134" t="str">
        <f>'Descision Matrix'!CD29</f>
        <v>T</v>
      </c>
      <c r="F25" s="76" t="str">
        <f>'Descision Matrix'!CE29</f>
        <v>*</v>
      </c>
      <c r="G25" s="47">
        <f>'Descision Matrix'!CF29</f>
        <v>0</v>
      </c>
      <c r="H25" s="176">
        <v>0</v>
      </c>
      <c r="I25" s="75" t="s">
        <v>31</v>
      </c>
      <c r="J25" s="76" t="str">
        <f>'Descision Matrix'!CI29</f>
        <v>*</v>
      </c>
      <c r="K25" s="76" t="str">
        <f>'Descision Matrix'!CJ29</f>
        <v>*</v>
      </c>
      <c r="L25" s="76" t="str">
        <f>'Descision Matrix'!CK29</f>
        <v>*</v>
      </c>
      <c r="M25" s="47">
        <f>'Descision Matrix'!CL29</f>
        <v>0</v>
      </c>
      <c r="N25" s="176">
        <v>0</v>
      </c>
      <c r="O25" s="75" t="s">
        <v>31</v>
      </c>
      <c r="P25" s="76" t="str">
        <f>'Descision Matrix'!CO29</f>
        <v>*</v>
      </c>
      <c r="Q25" s="76" t="str">
        <f>'Descision Matrix'!CP29</f>
        <v>*</v>
      </c>
      <c r="R25" s="131" t="str">
        <f>'Descision Matrix'!CQ29</f>
        <v>*</v>
      </c>
      <c r="U25"/>
      <c r="AE25"/>
      <c r="AO25"/>
      <c r="AY25"/>
    </row>
    <row r="26" spans="1:56" ht="17.25" thickTop="1" thickBot="1" x14ac:dyDescent="0.3">
      <c r="A26" s="186">
        <f>'Descision Matrix'!DK30</f>
        <v>0</v>
      </c>
      <c r="B26" s="177">
        <v>0</v>
      </c>
      <c r="C26" s="127" t="s">
        <v>35</v>
      </c>
      <c r="D26" s="128" t="str">
        <f>'Descision Matrix'!CC30</f>
        <v>*</v>
      </c>
      <c r="E26" s="128" t="str">
        <f>'Descision Matrix'!CD30</f>
        <v>*</v>
      </c>
      <c r="F26" s="128" t="str">
        <f>'Descision Matrix'!CE30</f>
        <v>*</v>
      </c>
      <c r="G26" s="48">
        <f>'Descision Matrix'!CF30</f>
        <v>0</v>
      </c>
      <c r="H26" s="177">
        <v>0</v>
      </c>
      <c r="I26" s="127" t="s">
        <v>35</v>
      </c>
      <c r="J26" s="141" t="str">
        <f>'Descision Matrix'!CI30</f>
        <v>F</v>
      </c>
      <c r="K26" s="128" t="str">
        <f>'Descision Matrix'!CJ30</f>
        <v>*</v>
      </c>
      <c r="L26" s="128" t="str">
        <f>'Descision Matrix'!CK30</f>
        <v>*</v>
      </c>
      <c r="M26" s="48">
        <f>'Descision Matrix'!CL30</f>
        <v>0</v>
      </c>
      <c r="N26" s="177">
        <v>0</v>
      </c>
      <c r="O26" s="127" t="s">
        <v>35</v>
      </c>
      <c r="P26" s="128" t="str">
        <f>'Descision Matrix'!CO30</f>
        <v>*</v>
      </c>
      <c r="Q26" s="128" t="str">
        <f>'Descision Matrix'!CP30</f>
        <v>*</v>
      </c>
      <c r="R26" s="132" t="str">
        <f>'Descision Matrix'!CQ30</f>
        <v>*</v>
      </c>
      <c r="U26"/>
      <c r="AE26"/>
      <c r="AO26"/>
      <c r="AY26"/>
    </row>
    <row r="27" spans="1:56" ht="20.25" thickTop="1" thickBot="1" x14ac:dyDescent="0.3">
      <c r="A27" s="194" t="str">
        <f>'Descision Matrix'!DK32</f>
        <v>A is Confined by B</v>
      </c>
      <c r="B27" s="10"/>
      <c r="C27" s="11"/>
      <c r="D27" s="175" t="s">
        <v>31</v>
      </c>
      <c r="E27" s="175">
        <v>0</v>
      </c>
      <c r="F27" s="175">
        <v>0</v>
      </c>
      <c r="G27" s="46">
        <f>'Descision Matrix'!BM31</f>
        <v>0</v>
      </c>
      <c r="H27" s="10"/>
      <c r="I27" s="11"/>
      <c r="J27" s="175" t="s">
        <v>31</v>
      </c>
      <c r="K27" s="175">
        <v>0</v>
      </c>
      <c r="L27" s="175">
        <v>0</v>
      </c>
      <c r="M27" s="46">
        <f>'Descision Matrix'!BS31</f>
        <v>0</v>
      </c>
      <c r="N27" s="10"/>
      <c r="O27" s="11"/>
      <c r="P27" s="175" t="s">
        <v>31</v>
      </c>
      <c r="Q27" s="175">
        <v>0</v>
      </c>
      <c r="R27" s="175">
        <v>0</v>
      </c>
      <c r="T27" s="144" t="str">
        <f>A27</f>
        <v>A is Confined by B</v>
      </c>
      <c r="U27" s="25"/>
      <c r="V27" s="26" t="str">
        <f>D29</f>
        <v>F</v>
      </c>
      <c r="W27" s="22" t="str">
        <f t="shared" ref="W27:X27" si="45">E29</f>
        <v>*</v>
      </c>
      <c r="X27" s="23" t="str">
        <f t="shared" si="45"/>
        <v>*</v>
      </c>
      <c r="Y27" s="22" t="str">
        <f>D30</f>
        <v>*</v>
      </c>
      <c r="Z27" s="22" t="str">
        <f t="shared" ref="Z27:AA27" si="46">E30</f>
        <v>T</v>
      </c>
      <c r="AA27" s="23" t="str">
        <f t="shared" si="46"/>
        <v>*</v>
      </c>
      <c r="AB27" s="22" t="str">
        <f>D31</f>
        <v>*</v>
      </c>
      <c r="AC27" s="22" t="str">
        <f t="shared" ref="AC27:AD27" si="47">E31</f>
        <v>*</v>
      </c>
      <c r="AD27" s="27" t="str">
        <f t="shared" si="47"/>
        <v>*</v>
      </c>
      <c r="AE27" s="25"/>
      <c r="AF27" s="26" t="str">
        <f>J29</f>
        <v>T</v>
      </c>
      <c r="AG27" s="22" t="str">
        <f t="shared" ref="AG27:AH27" si="48">K29</f>
        <v>*</v>
      </c>
      <c r="AH27" s="23" t="str">
        <f t="shared" si="48"/>
        <v>F</v>
      </c>
      <c r="AI27" s="22" t="str">
        <f>J30</f>
        <v>*</v>
      </c>
      <c r="AJ27" s="22" t="str">
        <f t="shared" ref="AJ27:AK27" si="49">K30</f>
        <v>*</v>
      </c>
      <c r="AK27" s="23" t="str">
        <f t="shared" si="49"/>
        <v>*</v>
      </c>
      <c r="AL27" s="22" t="str">
        <f>J31</f>
        <v>T</v>
      </c>
      <c r="AM27" s="22" t="str">
        <f t="shared" ref="AM27:AN27" si="50">K31</f>
        <v>*</v>
      </c>
      <c r="AN27" s="27" t="str">
        <f t="shared" si="50"/>
        <v>*</v>
      </c>
      <c r="AO27" s="25"/>
      <c r="AP27" s="26" t="str">
        <f>P29</f>
        <v>*</v>
      </c>
      <c r="AQ27" s="22" t="str">
        <f t="shared" ref="AQ27:AR27" si="51">Q29</f>
        <v>*</v>
      </c>
      <c r="AR27" s="23" t="str">
        <f t="shared" si="51"/>
        <v>*</v>
      </c>
      <c r="AS27" s="22" t="str">
        <f>P30</f>
        <v>*</v>
      </c>
      <c r="AT27" s="22" t="str">
        <f t="shared" ref="AT27:AU27" si="52">Q30</f>
        <v>*</v>
      </c>
      <c r="AU27" s="23" t="str">
        <f t="shared" si="52"/>
        <v>*</v>
      </c>
      <c r="AV27" s="22" t="str">
        <f>P31</f>
        <v>*</v>
      </c>
      <c r="AW27" s="22" t="str">
        <f t="shared" ref="AW27:AX27" si="53">Q31</f>
        <v>*</v>
      </c>
      <c r="AX27" s="27" t="str">
        <f t="shared" si="53"/>
        <v>*</v>
      </c>
      <c r="AY27" s="28"/>
      <c r="BA27" s="144" t="str">
        <f>T27</f>
        <v>A is Confined by B</v>
      </c>
      <c r="BB27" s="146" t="str">
        <f>CONCATENATE(V27,W27,X27,Y27,Z27,AA27,AB27,AC27,AD27)</f>
        <v>F***T****</v>
      </c>
      <c r="BC27" s="147" t="str">
        <f>CONCATENATE(AF27,AG27,AH27,AI27,AJ27,AK27,AL27,AM27,AN27)</f>
        <v>T*F***T**</v>
      </c>
      <c r="BD27" s="148" t="str">
        <f>CONCATENATE(AP27,AQ27,AR27,AS27,AT27,AU27,AV27,AW27,AX27)</f>
        <v>*********</v>
      </c>
    </row>
    <row r="28" spans="1:56" ht="17.25" thickTop="1" thickBot="1" x14ac:dyDescent="0.3">
      <c r="A28" s="185">
        <f>'Descision Matrix'!DK33</f>
        <v>0</v>
      </c>
      <c r="B28" s="15"/>
      <c r="C28" s="71" t="s">
        <v>33</v>
      </c>
      <c r="D28" s="72" t="s">
        <v>34</v>
      </c>
      <c r="E28" s="72" t="s">
        <v>31</v>
      </c>
      <c r="F28" s="72" t="s">
        <v>35</v>
      </c>
      <c r="G28" s="47">
        <f>'Descision Matrix'!BM32</f>
        <v>0</v>
      </c>
      <c r="H28" s="15"/>
      <c r="I28" s="71" t="s">
        <v>33</v>
      </c>
      <c r="J28" s="72" t="s">
        <v>34</v>
      </c>
      <c r="K28" s="72" t="s">
        <v>31</v>
      </c>
      <c r="L28" s="72" t="s">
        <v>35</v>
      </c>
      <c r="M28" s="47">
        <f>'Descision Matrix'!BS32</f>
        <v>0</v>
      </c>
      <c r="N28" s="15"/>
      <c r="O28" s="71" t="s">
        <v>33</v>
      </c>
      <c r="P28" s="72" t="s">
        <v>34</v>
      </c>
      <c r="Q28" s="72" t="s">
        <v>31</v>
      </c>
      <c r="R28" s="72" t="s">
        <v>35</v>
      </c>
      <c r="U28"/>
      <c r="AE28"/>
      <c r="AO28"/>
      <c r="AY28"/>
    </row>
    <row r="29" spans="1:56" ht="17.25" thickTop="1" thickBot="1" x14ac:dyDescent="0.3">
      <c r="A29" s="185">
        <f>'Descision Matrix'!DK34</f>
        <v>0</v>
      </c>
      <c r="B29" s="176" t="s">
        <v>36</v>
      </c>
      <c r="C29" s="73" t="s">
        <v>34</v>
      </c>
      <c r="D29" s="135" t="str">
        <f>'Descision Matrix'!CC34</f>
        <v>F</v>
      </c>
      <c r="E29" s="74" t="str">
        <f>'Descision Matrix'!CD34</f>
        <v>*</v>
      </c>
      <c r="F29" s="74" t="str">
        <f>'Descision Matrix'!CE34</f>
        <v>*</v>
      </c>
      <c r="G29" s="47">
        <f>'Descision Matrix'!CF34</f>
        <v>0</v>
      </c>
      <c r="H29" s="176" t="s">
        <v>36</v>
      </c>
      <c r="I29" s="73" t="s">
        <v>34</v>
      </c>
      <c r="J29" s="135" t="str">
        <f>'Descision Matrix'!CI34</f>
        <v>T</v>
      </c>
      <c r="K29" s="74" t="str">
        <f>'Descision Matrix'!CJ34</f>
        <v>*</v>
      </c>
      <c r="L29" s="135" t="str">
        <f>'Descision Matrix'!CK34</f>
        <v>F</v>
      </c>
      <c r="M29" s="47">
        <f>'Descision Matrix'!CL34</f>
        <v>0</v>
      </c>
      <c r="N29" s="176" t="s">
        <v>36</v>
      </c>
      <c r="O29" s="73" t="s">
        <v>34</v>
      </c>
      <c r="P29" s="74" t="str">
        <f>'Descision Matrix'!CO34</f>
        <v>*</v>
      </c>
      <c r="Q29" s="74" t="str">
        <f>'Descision Matrix'!CP34</f>
        <v>*</v>
      </c>
      <c r="R29" s="130" t="str">
        <f>'Descision Matrix'!CQ34</f>
        <v>*</v>
      </c>
      <c r="U29"/>
      <c r="AE29"/>
      <c r="AO29"/>
      <c r="AY29"/>
    </row>
    <row r="30" spans="1:56" ht="17.25" thickTop="1" thickBot="1" x14ac:dyDescent="0.3">
      <c r="A30" s="185">
        <f>'Descision Matrix'!DK35</f>
        <v>0</v>
      </c>
      <c r="B30" s="176">
        <v>0</v>
      </c>
      <c r="C30" s="75" t="s">
        <v>31</v>
      </c>
      <c r="D30" s="76" t="str">
        <f>'Descision Matrix'!CC35</f>
        <v>*</v>
      </c>
      <c r="E30" s="134" t="str">
        <f>'Descision Matrix'!CD35</f>
        <v>T</v>
      </c>
      <c r="F30" s="76" t="str">
        <f>'Descision Matrix'!CE35</f>
        <v>*</v>
      </c>
      <c r="G30" s="47">
        <f>'Descision Matrix'!CF35</f>
        <v>0</v>
      </c>
      <c r="H30" s="176">
        <v>0</v>
      </c>
      <c r="I30" s="75" t="s">
        <v>31</v>
      </c>
      <c r="J30" s="76" t="str">
        <f>'Descision Matrix'!CI35</f>
        <v>*</v>
      </c>
      <c r="K30" s="76" t="str">
        <f>'Descision Matrix'!CJ35</f>
        <v>*</v>
      </c>
      <c r="L30" s="76" t="str">
        <f>'Descision Matrix'!CK35</f>
        <v>*</v>
      </c>
      <c r="M30" s="47">
        <f>'Descision Matrix'!CL35</f>
        <v>0</v>
      </c>
      <c r="N30" s="176">
        <v>0</v>
      </c>
      <c r="O30" s="75" t="s">
        <v>31</v>
      </c>
      <c r="P30" s="76" t="str">
        <f>'Descision Matrix'!CO35</f>
        <v>*</v>
      </c>
      <c r="Q30" s="76" t="str">
        <f>'Descision Matrix'!CP35</f>
        <v>*</v>
      </c>
      <c r="R30" s="131" t="str">
        <f>'Descision Matrix'!CQ35</f>
        <v>*</v>
      </c>
      <c r="U30"/>
      <c r="AE30"/>
      <c r="AO30"/>
      <c r="AY30"/>
    </row>
    <row r="31" spans="1:56" ht="17.25" thickTop="1" thickBot="1" x14ac:dyDescent="0.3">
      <c r="A31" s="186">
        <f>'Descision Matrix'!DK36</f>
        <v>0</v>
      </c>
      <c r="B31" s="177">
        <v>0</v>
      </c>
      <c r="C31" s="127" t="s">
        <v>35</v>
      </c>
      <c r="D31" s="128" t="str">
        <f>'Descision Matrix'!CC36</f>
        <v>*</v>
      </c>
      <c r="E31" s="128" t="str">
        <f>'Descision Matrix'!CD36</f>
        <v>*</v>
      </c>
      <c r="F31" s="128" t="str">
        <f>'Descision Matrix'!CE36</f>
        <v>*</v>
      </c>
      <c r="G31" s="48">
        <f>'Descision Matrix'!CF36</f>
        <v>0</v>
      </c>
      <c r="H31" s="177">
        <v>0</v>
      </c>
      <c r="I31" s="127" t="s">
        <v>35</v>
      </c>
      <c r="J31" s="141" t="str">
        <f>'Descision Matrix'!CI36</f>
        <v>T</v>
      </c>
      <c r="K31" s="128" t="str">
        <f>'Descision Matrix'!CJ36</f>
        <v>*</v>
      </c>
      <c r="L31" s="128" t="str">
        <f>'Descision Matrix'!CK36</f>
        <v>*</v>
      </c>
      <c r="M31" s="48">
        <f>'Descision Matrix'!CL36</f>
        <v>0</v>
      </c>
      <c r="N31" s="177">
        <v>0</v>
      </c>
      <c r="O31" s="127" t="s">
        <v>35</v>
      </c>
      <c r="P31" s="128" t="str">
        <f>'Descision Matrix'!CO36</f>
        <v>*</v>
      </c>
      <c r="Q31" s="128" t="str">
        <f>'Descision Matrix'!CP36</f>
        <v>*</v>
      </c>
      <c r="R31" s="132" t="str">
        <f>'Descision Matrix'!CQ36</f>
        <v>*</v>
      </c>
      <c r="U31"/>
      <c r="AE31"/>
      <c r="AO31"/>
      <c r="AY31"/>
    </row>
    <row r="32" spans="1:56" ht="20.25" thickTop="1" thickBot="1" x14ac:dyDescent="0.3">
      <c r="A32" s="194" t="str">
        <f>'Descision Matrix'!BY38</f>
        <v>A Borders B</v>
      </c>
      <c r="B32" s="10"/>
      <c r="C32" s="11"/>
      <c r="D32" s="175" t="s">
        <v>31</v>
      </c>
      <c r="E32" s="175">
        <v>0</v>
      </c>
      <c r="F32" s="175">
        <v>0</v>
      </c>
      <c r="G32" s="46">
        <f>'Descision Matrix'!BM37</f>
        <v>0</v>
      </c>
      <c r="H32" s="10"/>
      <c r="I32" s="11"/>
      <c r="J32" s="175" t="s">
        <v>31</v>
      </c>
      <c r="K32" s="175">
        <v>0</v>
      </c>
      <c r="L32" s="175">
        <v>0</v>
      </c>
      <c r="M32" s="46">
        <f>'Descision Matrix'!BS37</f>
        <v>0</v>
      </c>
      <c r="N32" s="10"/>
      <c r="O32" s="11"/>
      <c r="P32" s="175" t="s">
        <v>31</v>
      </c>
      <c r="Q32" s="175">
        <v>0</v>
      </c>
      <c r="R32" s="175">
        <v>0</v>
      </c>
      <c r="T32" s="144" t="str">
        <f>A32</f>
        <v>A Borders B</v>
      </c>
      <c r="U32" s="25"/>
      <c r="V32" s="26" t="str">
        <f>D34</f>
        <v>F</v>
      </c>
      <c r="W32" s="22" t="str">
        <f t="shared" ref="W32:X32" si="54">E34</f>
        <v>*</v>
      </c>
      <c r="X32" s="23" t="str">
        <f t="shared" si="54"/>
        <v>*</v>
      </c>
      <c r="Y32" s="22" t="str">
        <f>D35</f>
        <v>*</v>
      </c>
      <c r="Z32" s="22" t="str">
        <f t="shared" ref="Z32:AA32" si="55">E35</f>
        <v>T</v>
      </c>
      <c r="AA32" s="23" t="str">
        <f t="shared" si="55"/>
        <v>*</v>
      </c>
      <c r="AB32" s="22" t="str">
        <f>D36</f>
        <v>*</v>
      </c>
      <c r="AC32" s="22" t="str">
        <f t="shared" ref="AC32:AD32" si="56">E36</f>
        <v>*</v>
      </c>
      <c r="AD32" s="27" t="str">
        <f t="shared" si="56"/>
        <v>*</v>
      </c>
      <c r="AE32" s="25"/>
      <c r="AF32" s="26" t="str">
        <f>J34</f>
        <v>F</v>
      </c>
      <c r="AG32" s="22" t="str">
        <f t="shared" ref="AG32:AH32" si="57">K34</f>
        <v>*</v>
      </c>
      <c r="AH32" s="23" t="str">
        <f t="shared" si="57"/>
        <v>T</v>
      </c>
      <c r="AI32" s="22" t="str">
        <f>J35</f>
        <v>*</v>
      </c>
      <c r="AJ32" s="22" t="str">
        <f t="shared" ref="AJ32:AK32" si="58">K35</f>
        <v>*</v>
      </c>
      <c r="AK32" s="23" t="str">
        <f t="shared" si="58"/>
        <v>*</v>
      </c>
      <c r="AL32" s="22" t="str">
        <f>J36</f>
        <v>T</v>
      </c>
      <c r="AM32" s="22" t="str">
        <f t="shared" ref="AM32:AN32" si="59">K36</f>
        <v>*</v>
      </c>
      <c r="AN32" s="27" t="str">
        <f t="shared" si="59"/>
        <v>*</v>
      </c>
      <c r="AO32" s="25"/>
      <c r="AP32" s="26" t="str">
        <f>P34</f>
        <v>*</v>
      </c>
      <c r="AQ32" s="22" t="str">
        <f t="shared" ref="AQ32:AR32" si="60">Q34</f>
        <v>*</v>
      </c>
      <c r="AR32" s="23" t="str">
        <f t="shared" si="60"/>
        <v>*</v>
      </c>
      <c r="AS32" s="22" t="str">
        <f>P35</f>
        <v>*</v>
      </c>
      <c r="AT32" s="22" t="str">
        <f t="shared" ref="AT32:AU32" si="61">Q35</f>
        <v>*</v>
      </c>
      <c r="AU32" s="23" t="str">
        <f t="shared" si="61"/>
        <v>*</v>
      </c>
      <c r="AV32" s="22" t="str">
        <f>P36</f>
        <v>*</v>
      </c>
      <c r="AW32" s="22" t="str">
        <f t="shared" ref="AW32:AX32" si="62">Q36</f>
        <v>*</v>
      </c>
      <c r="AX32" s="27" t="str">
        <f t="shared" si="62"/>
        <v>*</v>
      </c>
      <c r="AY32" s="28"/>
      <c r="BA32" s="144" t="str">
        <f>T32</f>
        <v>A Borders B</v>
      </c>
      <c r="BB32" s="146" t="str">
        <f>CONCATENATE(V32,W32,X32,Y32,Z32,AA32,AB32,AC32,AD32)</f>
        <v>F***T****</v>
      </c>
      <c r="BC32" s="147" t="str">
        <f>CONCATENATE(AF32,AG32,AH32,AI32,AJ32,AK32,AL32,AM32,AN32)</f>
        <v>F*T***T**</v>
      </c>
      <c r="BD32" s="148" t="str">
        <f>CONCATENATE(AP32,AQ32,AR32,AS32,AT32,AU32,AV32,AW32,AX32)</f>
        <v>*********</v>
      </c>
    </row>
    <row r="33" spans="1:56" ht="17.25" thickTop="1" thickBot="1" x14ac:dyDescent="0.3">
      <c r="A33" s="185">
        <f>'Descision Matrix'!BY39</f>
        <v>0</v>
      </c>
      <c r="B33" s="15"/>
      <c r="C33" s="71" t="s">
        <v>33</v>
      </c>
      <c r="D33" s="72" t="s">
        <v>34</v>
      </c>
      <c r="E33" s="72" t="s">
        <v>31</v>
      </c>
      <c r="F33" s="72" t="s">
        <v>35</v>
      </c>
      <c r="G33" s="47">
        <f>'Descision Matrix'!BM38</f>
        <v>0</v>
      </c>
      <c r="H33" s="15"/>
      <c r="I33" s="71" t="s">
        <v>33</v>
      </c>
      <c r="J33" s="72" t="s">
        <v>34</v>
      </c>
      <c r="K33" s="72" t="s">
        <v>31</v>
      </c>
      <c r="L33" s="72" t="s">
        <v>35</v>
      </c>
      <c r="M33" s="47">
        <f>'Descision Matrix'!BS38</f>
        <v>0</v>
      </c>
      <c r="N33" s="15"/>
      <c r="O33" s="71" t="s">
        <v>33</v>
      </c>
      <c r="P33" s="72" t="s">
        <v>34</v>
      </c>
      <c r="Q33" s="72" t="s">
        <v>31</v>
      </c>
      <c r="R33" s="72" t="s">
        <v>35</v>
      </c>
      <c r="U33"/>
      <c r="AE33"/>
      <c r="AO33"/>
      <c r="AY33"/>
    </row>
    <row r="34" spans="1:56" ht="17.25" thickTop="1" thickBot="1" x14ac:dyDescent="0.3">
      <c r="A34" s="185">
        <f>'Descision Matrix'!BY40</f>
        <v>0</v>
      </c>
      <c r="B34" s="176" t="s">
        <v>36</v>
      </c>
      <c r="C34" s="73" t="s">
        <v>34</v>
      </c>
      <c r="D34" s="135" t="str">
        <f>'Descision Matrix'!BJ40</f>
        <v>F</v>
      </c>
      <c r="E34" s="74" t="str">
        <f>'Descision Matrix'!BK40</f>
        <v>*</v>
      </c>
      <c r="F34" s="74" t="str">
        <f>'Descision Matrix'!BL40</f>
        <v>*</v>
      </c>
      <c r="G34" s="47">
        <f>'Descision Matrix'!BM40</f>
        <v>0</v>
      </c>
      <c r="H34" s="176" t="s">
        <v>36</v>
      </c>
      <c r="I34" s="73" t="s">
        <v>34</v>
      </c>
      <c r="J34" s="135" t="str">
        <f>'Descision Matrix'!BP40</f>
        <v>F</v>
      </c>
      <c r="K34" s="74" t="str">
        <f>'Descision Matrix'!BQ40</f>
        <v>*</v>
      </c>
      <c r="L34" s="135" t="str">
        <f>'Descision Matrix'!BR40</f>
        <v>T</v>
      </c>
      <c r="M34" s="47">
        <f>'Descision Matrix'!BS40</f>
        <v>0</v>
      </c>
      <c r="N34" s="176" t="s">
        <v>36</v>
      </c>
      <c r="O34" s="73" t="s">
        <v>34</v>
      </c>
      <c r="P34" s="74" t="str">
        <f>'Descision Matrix'!BV40</f>
        <v>*</v>
      </c>
      <c r="Q34" s="74" t="str">
        <f>'Descision Matrix'!BW40</f>
        <v>*</v>
      </c>
      <c r="R34" s="74" t="str">
        <f>'Descision Matrix'!BX40</f>
        <v>*</v>
      </c>
      <c r="U34"/>
      <c r="AE34"/>
      <c r="AO34"/>
      <c r="AY34"/>
    </row>
    <row r="35" spans="1:56" ht="17.25" thickTop="1" thickBot="1" x14ac:dyDescent="0.3">
      <c r="A35" s="185">
        <f>'Descision Matrix'!BY41</f>
        <v>0</v>
      </c>
      <c r="B35" s="176">
        <v>0</v>
      </c>
      <c r="C35" s="75" t="s">
        <v>31</v>
      </c>
      <c r="D35" s="76" t="str">
        <f>'Descision Matrix'!BJ41</f>
        <v>*</v>
      </c>
      <c r="E35" s="134" t="str">
        <f>'Descision Matrix'!BK41</f>
        <v>T</v>
      </c>
      <c r="F35" s="76" t="str">
        <f>'Descision Matrix'!BL41</f>
        <v>*</v>
      </c>
      <c r="G35" s="47">
        <f>'Descision Matrix'!BM41</f>
        <v>0</v>
      </c>
      <c r="H35" s="176">
        <v>0</v>
      </c>
      <c r="I35" s="75" t="s">
        <v>31</v>
      </c>
      <c r="J35" s="76" t="str">
        <f>'Descision Matrix'!BP41</f>
        <v>*</v>
      </c>
      <c r="K35" s="76" t="str">
        <f>'Descision Matrix'!BQ41</f>
        <v>*</v>
      </c>
      <c r="L35" s="76" t="str">
        <f>'Descision Matrix'!BR41</f>
        <v>*</v>
      </c>
      <c r="M35" s="47">
        <f>'Descision Matrix'!BS41</f>
        <v>0</v>
      </c>
      <c r="N35" s="176">
        <v>0</v>
      </c>
      <c r="O35" s="75" t="s">
        <v>31</v>
      </c>
      <c r="P35" s="76" t="str">
        <f>'Descision Matrix'!BV41</f>
        <v>*</v>
      </c>
      <c r="Q35" s="76" t="str">
        <f>'Descision Matrix'!BW41</f>
        <v>*</v>
      </c>
      <c r="R35" s="76" t="str">
        <f>'Descision Matrix'!BX41</f>
        <v>*</v>
      </c>
      <c r="U35"/>
      <c r="AE35"/>
      <c r="AO35"/>
      <c r="AY35"/>
    </row>
    <row r="36" spans="1:56" ht="17.25" thickTop="1" thickBot="1" x14ac:dyDescent="0.3">
      <c r="A36" s="186">
        <f>'Descision Matrix'!BY42</f>
        <v>0</v>
      </c>
      <c r="B36" s="177">
        <v>0</v>
      </c>
      <c r="C36" s="127" t="s">
        <v>35</v>
      </c>
      <c r="D36" s="128" t="str">
        <f>'Descision Matrix'!BJ42</f>
        <v>*</v>
      </c>
      <c r="E36" s="128" t="str">
        <f>'Descision Matrix'!BK42</f>
        <v>*</v>
      </c>
      <c r="F36" s="128" t="str">
        <f>'Descision Matrix'!BL42</f>
        <v>*</v>
      </c>
      <c r="G36" s="48">
        <f>'Descision Matrix'!BM42</f>
        <v>0</v>
      </c>
      <c r="H36" s="177">
        <v>0</v>
      </c>
      <c r="I36" s="127" t="s">
        <v>35</v>
      </c>
      <c r="J36" s="141" t="str">
        <f>'Descision Matrix'!BP42</f>
        <v>T</v>
      </c>
      <c r="K36" s="128" t="str">
        <f>'Descision Matrix'!BQ42</f>
        <v>*</v>
      </c>
      <c r="L36" s="128" t="str">
        <f>'Descision Matrix'!BR42</f>
        <v>*</v>
      </c>
      <c r="M36" s="48">
        <f>'Descision Matrix'!BS42</f>
        <v>0</v>
      </c>
      <c r="N36" s="177">
        <v>0</v>
      </c>
      <c r="O36" s="127" t="s">
        <v>35</v>
      </c>
      <c r="P36" s="128" t="str">
        <f>'Descision Matrix'!BV42</f>
        <v>*</v>
      </c>
      <c r="Q36" s="128" t="str">
        <f>'Descision Matrix'!BW42</f>
        <v>*</v>
      </c>
      <c r="R36" s="128" t="str">
        <f>'Descision Matrix'!BX42</f>
        <v>*</v>
      </c>
      <c r="U36"/>
      <c r="AE36"/>
      <c r="AO36"/>
      <c r="AY36"/>
    </row>
    <row r="37" spans="1:56" ht="20.25" thickTop="1" thickBot="1" x14ac:dyDescent="0.3">
      <c r="A37" s="184" t="str">
        <f>'Descision Matrix'!BY44</f>
        <v>A Contains B</v>
      </c>
      <c r="B37" s="10"/>
      <c r="C37" s="11"/>
      <c r="D37" s="175" t="s">
        <v>31</v>
      </c>
      <c r="E37" s="175">
        <v>0</v>
      </c>
      <c r="F37" s="175">
        <v>0</v>
      </c>
      <c r="G37" s="46">
        <f>'Descision Matrix'!BM43</f>
        <v>0</v>
      </c>
      <c r="H37" s="10"/>
      <c r="I37" s="11"/>
      <c r="J37" s="175" t="s">
        <v>31</v>
      </c>
      <c r="K37" s="175">
        <v>0</v>
      </c>
      <c r="L37" s="175">
        <v>0</v>
      </c>
      <c r="M37" s="46">
        <f>'Descision Matrix'!BS43</f>
        <v>0</v>
      </c>
      <c r="N37" s="10"/>
      <c r="O37" s="11"/>
      <c r="P37" s="175" t="s">
        <v>31</v>
      </c>
      <c r="Q37" s="175">
        <v>0</v>
      </c>
      <c r="R37" s="175">
        <v>0</v>
      </c>
      <c r="T37" s="144" t="str">
        <f t="shared" ref="T37" si="63">A37</f>
        <v>A Contains B</v>
      </c>
      <c r="U37" s="25"/>
      <c r="V37" s="26" t="str">
        <f t="shared" ref="V37" si="64">D39</f>
        <v>T</v>
      </c>
      <c r="W37" s="22" t="str">
        <f t="shared" ref="W37" si="65">E39</f>
        <v>*</v>
      </c>
      <c r="X37" s="23" t="str">
        <f t="shared" ref="X37" si="66">F39</f>
        <v>T</v>
      </c>
      <c r="Y37" s="22" t="str">
        <f t="shared" ref="Y37" si="67">D40</f>
        <v>*</v>
      </c>
      <c r="Z37" s="22" t="str">
        <f t="shared" ref="Z37" si="68">E40</f>
        <v>F</v>
      </c>
      <c r="AA37" s="23" t="str">
        <f t="shared" ref="AA37" si="69">F40</f>
        <v>*</v>
      </c>
      <c r="AB37" s="22" t="str">
        <f t="shared" ref="AB37" si="70">D41</f>
        <v>F</v>
      </c>
      <c r="AC37" s="22" t="str">
        <f t="shared" ref="AC37" si="71">E41</f>
        <v>*</v>
      </c>
      <c r="AD37" s="27" t="str">
        <f t="shared" ref="AD37" si="72">F41</f>
        <v>*</v>
      </c>
      <c r="AE37" s="25"/>
      <c r="AF37" s="26" t="str">
        <f t="shared" ref="AF37" si="73">J39</f>
        <v>*</v>
      </c>
      <c r="AG37" s="22" t="str">
        <f t="shared" ref="AG37" si="74">K39</f>
        <v>*</v>
      </c>
      <c r="AH37" s="23" t="str">
        <f t="shared" ref="AH37" si="75">L39</f>
        <v>*</v>
      </c>
      <c r="AI37" s="22" t="str">
        <f t="shared" ref="AI37" si="76">J40</f>
        <v>*</v>
      </c>
      <c r="AJ37" s="22" t="str">
        <f t="shared" ref="AJ37" si="77">K40</f>
        <v>*</v>
      </c>
      <c r="AK37" s="23" t="str">
        <f t="shared" ref="AK37" si="78">L40</f>
        <v>*</v>
      </c>
      <c r="AL37" s="22" t="str">
        <f t="shared" ref="AL37" si="79">J41</f>
        <v>*</v>
      </c>
      <c r="AM37" s="22" t="str">
        <f t="shared" ref="AM37" si="80">K41</f>
        <v>*</v>
      </c>
      <c r="AN37" s="27" t="str">
        <f t="shared" ref="AN37" si="81">L41</f>
        <v>*</v>
      </c>
      <c r="AO37" s="25"/>
      <c r="AP37" s="26" t="str">
        <f t="shared" ref="AP37" si="82">P39</f>
        <v>*</v>
      </c>
      <c r="AQ37" s="22" t="str">
        <f t="shared" ref="AQ37" si="83">Q39</f>
        <v>*</v>
      </c>
      <c r="AR37" s="23" t="str">
        <f t="shared" ref="AR37" si="84">R39</f>
        <v>*</v>
      </c>
      <c r="AS37" s="22" t="str">
        <f t="shared" ref="AS37" si="85">P40</f>
        <v>*</v>
      </c>
      <c r="AT37" s="22" t="str">
        <f t="shared" ref="AT37" si="86">Q40</f>
        <v>*</v>
      </c>
      <c r="AU37" s="23" t="str">
        <f t="shared" ref="AU37" si="87">R40</f>
        <v>*</v>
      </c>
      <c r="AV37" s="22" t="str">
        <f t="shared" ref="AV37" si="88">P41</f>
        <v>*</v>
      </c>
      <c r="AW37" s="22" t="str">
        <f t="shared" ref="AW37" si="89">Q41</f>
        <v>*</v>
      </c>
      <c r="AX37" s="27" t="str">
        <f t="shared" ref="AX37" si="90">R41</f>
        <v>*</v>
      </c>
      <c r="AY37" s="28"/>
      <c r="BA37" s="144" t="str">
        <f>T37</f>
        <v>A Contains B</v>
      </c>
      <c r="BB37" s="146" t="str">
        <f>CONCATENATE(V37,W37,X37,Y37,Z37,AA37,AB37,AC37,AD37)</f>
        <v>T*T*F*F**</v>
      </c>
      <c r="BC37" s="147" t="str">
        <f>CONCATENATE(AF37,AG37,AH37,AI37,AJ37,AK37,AL37,AM37,AN37)</f>
        <v>*********</v>
      </c>
      <c r="BD37" s="148" t="str">
        <f>CONCATENATE(AP37,AQ37,AR37,AS37,AT37,AU37,AV37,AW37,AX37)</f>
        <v>*********</v>
      </c>
    </row>
    <row r="38" spans="1:56" ht="17.25" thickTop="1" thickBot="1" x14ac:dyDescent="0.3">
      <c r="A38" s="185">
        <f>'Descision Matrix'!BY45</f>
        <v>0</v>
      </c>
      <c r="B38" s="15"/>
      <c r="C38" s="71" t="s">
        <v>33</v>
      </c>
      <c r="D38" s="72" t="s">
        <v>34</v>
      </c>
      <c r="E38" s="72" t="s">
        <v>31</v>
      </c>
      <c r="F38" s="72" t="s">
        <v>35</v>
      </c>
      <c r="G38" s="47">
        <f>'Descision Matrix'!BM44</f>
        <v>0</v>
      </c>
      <c r="H38" s="15"/>
      <c r="I38" s="71" t="s">
        <v>33</v>
      </c>
      <c r="J38" s="72" t="s">
        <v>34</v>
      </c>
      <c r="K38" s="72" t="s">
        <v>31</v>
      </c>
      <c r="L38" s="72" t="s">
        <v>35</v>
      </c>
      <c r="M38" s="47">
        <f>'Descision Matrix'!BS44</f>
        <v>0</v>
      </c>
      <c r="N38" s="15"/>
      <c r="O38" s="71" t="s">
        <v>33</v>
      </c>
      <c r="P38" s="72" t="s">
        <v>34</v>
      </c>
      <c r="Q38" s="72" t="s">
        <v>31</v>
      </c>
      <c r="R38" s="72" t="s">
        <v>35</v>
      </c>
      <c r="U38"/>
      <c r="AE38"/>
      <c r="AO38"/>
      <c r="AY38"/>
    </row>
    <row r="39" spans="1:56" ht="17.25" thickTop="1" thickBot="1" x14ac:dyDescent="0.3">
      <c r="A39" s="185">
        <f>'Descision Matrix'!BY46</f>
        <v>0</v>
      </c>
      <c r="B39" s="176" t="s">
        <v>36</v>
      </c>
      <c r="C39" s="73" t="s">
        <v>34</v>
      </c>
      <c r="D39" s="135" t="str">
        <f>'Descision Matrix'!BJ46</f>
        <v>T</v>
      </c>
      <c r="E39" s="74" t="str">
        <f>'Descision Matrix'!BK46</f>
        <v>*</v>
      </c>
      <c r="F39" s="135" t="str">
        <f>'Descision Matrix'!BL46</f>
        <v>T</v>
      </c>
      <c r="G39" s="47">
        <f>'Descision Matrix'!BM46</f>
        <v>0</v>
      </c>
      <c r="H39" s="176" t="s">
        <v>36</v>
      </c>
      <c r="I39" s="73" t="s">
        <v>34</v>
      </c>
      <c r="J39" s="74" t="str">
        <f>'Descision Matrix'!BP46</f>
        <v>*</v>
      </c>
      <c r="K39" s="74" t="str">
        <f>'Descision Matrix'!BQ46</f>
        <v>*</v>
      </c>
      <c r="L39" s="74" t="str">
        <f>'Descision Matrix'!BR46</f>
        <v>*</v>
      </c>
      <c r="M39" s="47">
        <f>'Descision Matrix'!BS46</f>
        <v>0</v>
      </c>
      <c r="N39" s="176" t="s">
        <v>36</v>
      </c>
      <c r="O39" s="73" t="s">
        <v>34</v>
      </c>
      <c r="P39" s="74" t="str">
        <f>'Descision Matrix'!BV46</f>
        <v>*</v>
      </c>
      <c r="Q39" s="74" t="str">
        <f>'Descision Matrix'!BW46</f>
        <v>*</v>
      </c>
      <c r="R39" s="130" t="str">
        <f>'Descision Matrix'!BX46</f>
        <v>*</v>
      </c>
      <c r="U39"/>
      <c r="AE39"/>
      <c r="AO39"/>
      <c r="AY39"/>
    </row>
    <row r="40" spans="1:56" ht="17.25" thickTop="1" thickBot="1" x14ac:dyDescent="0.3">
      <c r="A40" s="185">
        <f>'Descision Matrix'!BY47</f>
        <v>0</v>
      </c>
      <c r="B40" s="176">
        <v>0</v>
      </c>
      <c r="C40" s="75" t="s">
        <v>31</v>
      </c>
      <c r="D40" s="76" t="str">
        <f>'Descision Matrix'!BJ47</f>
        <v>*</v>
      </c>
      <c r="E40" s="134" t="str">
        <f>'Descision Matrix'!BK47</f>
        <v>F</v>
      </c>
      <c r="F40" s="76" t="str">
        <f>'Descision Matrix'!BL47</f>
        <v>*</v>
      </c>
      <c r="G40" s="47">
        <f>'Descision Matrix'!BM47</f>
        <v>0</v>
      </c>
      <c r="H40" s="176">
        <v>0</v>
      </c>
      <c r="I40" s="75" t="s">
        <v>31</v>
      </c>
      <c r="J40" s="76" t="str">
        <f>'Descision Matrix'!BP47</f>
        <v>*</v>
      </c>
      <c r="K40" s="76" t="str">
        <f>'Descision Matrix'!BQ47</f>
        <v>*</v>
      </c>
      <c r="L40" s="76" t="str">
        <f>'Descision Matrix'!BR47</f>
        <v>*</v>
      </c>
      <c r="M40" s="47">
        <f>'Descision Matrix'!BS47</f>
        <v>0</v>
      </c>
      <c r="N40" s="176">
        <v>0</v>
      </c>
      <c r="O40" s="75" t="s">
        <v>31</v>
      </c>
      <c r="P40" s="76" t="str">
        <f>'Descision Matrix'!BV47</f>
        <v>*</v>
      </c>
      <c r="Q40" s="76" t="str">
        <f>'Descision Matrix'!BW47</f>
        <v>*</v>
      </c>
      <c r="R40" s="131" t="str">
        <f>'Descision Matrix'!BX47</f>
        <v>*</v>
      </c>
      <c r="U40"/>
      <c r="AE40"/>
      <c r="AO40"/>
      <c r="AY40"/>
    </row>
    <row r="41" spans="1:56" ht="17.25" thickTop="1" thickBot="1" x14ac:dyDescent="0.3">
      <c r="A41" s="203">
        <f>'Descision Matrix'!BY48</f>
        <v>0</v>
      </c>
      <c r="B41" s="177">
        <v>0</v>
      </c>
      <c r="C41" s="127" t="s">
        <v>35</v>
      </c>
      <c r="D41" s="141" t="str">
        <f>'Descision Matrix'!BJ48</f>
        <v>F</v>
      </c>
      <c r="E41" s="128" t="str">
        <f>'Descision Matrix'!BK48</f>
        <v>*</v>
      </c>
      <c r="F41" s="128" t="str">
        <f>'Descision Matrix'!BL48</f>
        <v>*</v>
      </c>
      <c r="G41" s="48">
        <f>'Descision Matrix'!BM48</f>
        <v>0</v>
      </c>
      <c r="H41" s="177">
        <v>0</v>
      </c>
      <c r="I41" s="127" t="s">
        <v>35</v>
      </c>
      <c r="J41" s="128" t="str">
        <f>'Descision Matrix'!BP48</f>
        <v>*</v>
      </c>
      <c r="K41" s="128" t="str">
        <f>'Descision Matrix'!BQ48</f>
        <v>*</v>
      </c>
      <c r="L41" s="128" t="str">
        <f>'Descision Matrix'!BR48</f>
        <v>*</v>
      </c>
      <c r="M41" s="48">
        <f>'Descision Matrix'!BS48</f>
        <v>0</v>
      </c>
      <c r="N41" s="177">
        <v>0</v>
      </c>
      <c r="O41" s="127" t="s">
        <v>35</v>
      </c>
      <c r="P41" s="128" t="str">
        <f>'Descision Matrix'!BV48</f>
        <v>*</v>
      </c>
      <c r="Q41" s="128" t="str">
        <f>'Descision Matrix'!BW48</f>
        <v>*</v>
      </c>
      <c r="R41" s="132" t="str">
        <f>'Descision Matrix'!BX48</f>
        <v>*</v>
      </c>
      <c r="U41"/>
      <c r="AE41"/>
      <c r="AO41"/>
      <c r="AY41"/>
    </row>
    <row r="42" spans="1:56" ht="20.25" thickTop="1" thickBot="1" x14ac:dyDescent="0.3">
      <c r="A42" s="184" t="str">
        <f>'Descision Matrix'!BY50</f>
        <v>A is Within B</v>
      </c>
      <c r="B42" s="10"/>
      <c r="C42" s="11"/>
      <c r="D42" s="175" t="s">
        <v>31</v>
      </c>
      <c r="E42" s="175">
        <v>0</v>
      </c>
      <c r="F42" s="175">
        <v>0</v>
      </c>
      <c r="G42" s="46">
        <f>'Descision Matrix'!BM49</f>
        <v>0</v>
      </c>
      <c r="H42" s="10"/>
      <c r="I42" s="11"/>
      <c r="J42" s="175" t="s">
        <v>31</v>
      </c>
      <c r="K42" s="175">
        <v>0</v>
      </c>
      <c r="L42" s="175">
        <v>0</v>
      </c>
      <c r="M42" s="46">
        <f>'Descision Matrix'!BS49</f>
        <v>0</v>
      </c>
      <c r="N42" s="10"/>
      <c r="O42" s="11"/>
      <c r="P42" s="175" t="s">
        <v>31</v>
      </c>
      <c r="Q42" s="175">
        <v>0</v>
      </c>
      <c r="R42" s="175">
        <v>0</v>
      </c>
      <c r="T42" s="144" t="str">
        <f t="shared" ref="T42" si="91">A42</f>
        <v>A is Within B</v>
      </c>
      <c r="U42" s="25"/>
      <c r="V42" s="26" t="str">
        <f t="shared" ref="V42" si="92">D44</f>
        <v>T</v>
      </c>
      <c r="W42" s="22" t="str">
        <f t="shared" ref="W42" si="93">E44</f>
        <v>*</v>
      </c>
      <c r="X42" s="23" t="str">
        <f t="shared" ref="X42" si="94">F44</f>
        <v>F</v>
      </c>
      <c r="Y42" s="22" t="str">
        <f t="shared" ref="Y42" si="95">D45</f>
        <v>*</v>
      </c>
      <c r="Z42" s="22" t="str">
        <f t="shared" ref="Z42" si="96">E45</f>
        <v>F</v>
      </c>
      <c r="AA42" s="23" t="str">
        <f t="shared" ref="AA42" si="97">F45</f>
        <v>*</v>
      </c>
      <c r="AB42" s="22" t="str">
        <f t="shared" ref="AB42" si="98">D46</f>
        <v>T</v>
      </c>
      <c r="AC42" s="22" t="str">
        <f t="shared" ref="AC42" si="99">E46</f>
        <v>*</v>
      </c>
      <c r="AD42" s="27" t="str">
        <f t="shared" ref="AD42" si="100">F46</f>
        <v>*</v>
      </c>
      <c r="AE42" s="25"/>
      <c r="AF42" s="26" t="str">
        <f t="shared" ref="AF42" si="101">J44</f>
        <v>*</v>
      </c>
      <c r="AG42" s="22" t="str">
        <f t="shared" ref="AG42" si="102">K44</f>
        <v>*</v>
      </c>
      <c r="AH42" s="23" t="str">
        <f t="shared" ref="AH42" si="103">L44</f>
        <v>*</v>
      </c>
      <c r="AI42" s="22" t="str">
        <f t="shared" ref="AI42" si="104">J45</f>
        <v>*</v>
      </c>
      <c r="AJ42" s="22" t="str">
        <f t="shared" ref="AJ42" si="105">K45</f>
        <v>*</v>
      </c>
      <c r="AK42" s="23" t="str">
        <f t="shared" ref="AK42" si="106">L45</f>
        <v>*</v>
      </c>
      <c r="AL42" s="22" t="str">
        <f t="shared" ref="AL42" si="107">J46</f>
        <v>*</v>
      </c>
      <c r="AM42" s="22" t="str">
        <f t="shared" ref="AM42" si="108">K46</f>
        <v>*</v>
      </c>
      <c r="AN42" s="27" t="str">
        <f t="shared" ref="AN42" si="109">L46</f>
        <v>*</v>
      </c>
      <c r="AO42" s="25"/>
      <c r="AP42" s="26" t="str">
        <f t="shared" ref="AP42" si="110">P44</f>
        <v>*</v>
      </c>
      <c r="AQ42" s="22" t="str">
        <f t="shared" ref="AQ42" si="111">Q44</f>
        <v>*</v>
      </c>
      <c r="AR42" s="23" t="str">
        <f t="shared" ref="AR42" si="112">R44</f>
        <v>*</v>
      </c>
      <c r="AS42" s="22" t="str">
        <f t="shared" ref="AS42" si="113">P45</f>
        <v>*</v>
      </c>
      <c r="AT42" s="22" t="str">
        <f t="shared" ref="AT42" si="114">Q45</f>
        <v>*</v>
      </c>
      <c r="AU42" s="23" t="str">
        <f t="shared" ref="AU42" si="115">R45</f>
        <v>*</v>
      </c>
      <c r="AV42" s="22" t="str">
        <f t="shared" ref="AV42" si="116">P46</f>
        <v>*</v>
      </c>
      <c r="AW42" s="22" t="str">
        <f t="shared" ref="AW42" si="117">Q46</f>
        <v>*</v>
      </c>
      <c r="AX42" s="27" t="str">
        <f t="shared" ref="AX42" si="118">R46</f>
        <v>*</v>
      </c>
      <c r="AY42" s="28"/>
      <c r="BA42" s="144" t="str">
        <f>T42</f>
        <v>A is Within B</v>
      </c>
      <c r="BB42" s="146" t="str">
        <f>CONCATENATE(V42,W42,X42,Y42,Z42,AA42,AB42,AC42,AD42)</f>
        <v>T*F*F*T**</v>
      </c>
      <c r="BC42" s="147" t="str">
        <f>CONCATENATE(AF42,AG42,AH42,AI42,AJ42,AK42,AL42,AM42,AN42)</f>
        <v>*********</v>
      </c>
      <c r="BD42" s="148" t="str">
        <f>CONCATENATE(AP42,AQ42,AR42,AS42,AT42,AU42,AV42,AW42,AX42)</f>
        <v>*********</v>
      </c>
    </row>
    <row r="43" spans="1:56" ht="17.25" thickTop="1" thickBot="1" x14ac:dyDescent="0.3">
      <c r="A43" s="185">
        <f>'Descision Matrix'!BY51</f>
        <v>0</v>
      </c>
      <c r="B43" s="15"/>
      <c r="C43" s="71" t="s">
        <v>33</v>
      </c>
      <c r="D43" s="72" t="s">
        <v>34</v>
      </c>
      <c r="E43" s="72" t="s">
        <v>31</v>
      </c>
      <c r="F43" s="72" t="s">
        <v>35</v>
      </c>
      <c r="G43" s="47">
        <f>'Descision Matrix'!BM50</f>
        <v>0</v>
      </c>
      <c r="H43" s="15"/>
      <c r="I43" s="71" t="s">
        <v>33</v>
      </c>
      <c r="J43" s="72" t="s">
        <v>34</v>
      </c>
      <c r="K43" s="72" t="s">
        <v>31</v>
      </c>
      <c r="L43" s="72" t="s">
        <v>35</v>
      </c>
      <c r="M43" s="47">
        <f>'Descision Matrix'!BS50</f>
        <v>0</v>
      </c>
      <c r="N43" s="15"/>
      <c r="O43" s="71" t="s">
        <v>33</v>
      </c>
      <c r="P43" s="72" t="s">
        <v>34</v>
      </c>
      <c r="Q43" s="72" t="s">
        <v>31</v>
      </c>
      <c r="R43" s="72" t="s">
        <v>35</v>
      </c>
      <c r="U43"/>
      <c r="AE43"/>
      <c r="AO43"/>
      <c r="AY43"/>
    </row>
    <row r="44" spans="1:56" ht="17.25" thickTop="1" thickBot="1" x14ac:dyDescent="0.3">
      <c r="A44" s="185">
        <f>'Descision Matrix'!BY52</f>
        <v>0</v>
      </c>
      <c r="B44" s="176" t="s">
        <v>36</v>
      </c>
      <c r="C44" s="73" t="s">
        <v>34</v>
      </c>
      <c r="D44" s="135" t="str">
        <f>'Descision Matrix'!BJ52</f>
        <v>T</v>
      </c>
      <c r="E44" s="74" t="str">
        <f>'Descision Matrix'!BK52</f>
        <v>*</v>
      </c>
      <c r="F44" s="135" t="str">
        <f>'Descision Matrix'!BL52</f>
        <v>F</v>
      </c>
      <c r="G44" s="47">
        <f>'Descision Matrix'!BM52</f>
        <v>0</v>
      </c>
      <c r="H44" s="176" t="s">
        <v>36</v>
      </c>
      <c r="I44" s="73" t="s">
        <v>34</v>
      </c>
      <c r="J44" s="74" t="str">
        <f>'Descision Matrix'!BP52</f>
        <v>*</v>
      </c>
      <c r="K44" s="74" t="str">
        <f>'Descision Matrix'!BQ52</f>
        <v>*</v>
      </c>
      <c r="L44" s="74" t="str">
        <f>'Descision Matrix'!BR52</f>
        <v>*</v>
      </c>
      <c r="M44" s="47">
        <f>'Descision Matrix'!BS52</f>
        <v>0</v>
      </c>
      <c r="N44" s="176" t="s">
        <v>36</v>
      </c>
      <c r="O44" s="73" t="s">
        <v>34</v>
      </c>
      <c r="P44" s="74" t="str">
        <f>'Descision Matrix'!BV52</f>
        <v>*</v>
      </c>
      <c r="Q44" s="74" t="str">
        <f>'Descision Matrix'!BW52</f>
        <v>*</v>
      </c>
      <c r="R44" s="130" t="str">
        <f>'Descision Matrix'!BX52</f>
        <v>*</v>
      </c>
      <c r="U44"/>
      <c r="AE44"/>
      <c r="AO44"/>
      <c r="AY44"/>
    </row>
    <row r="45" spans="1:56" ht="17.25" thickTop="1" thickBot="1" x14ac:dyDescent="0.3">
      <c r="A45" s="185">
        <f>'Descision Matrix'!BY53</f>
        <v>0</v>
      </c>
      <c r="B45" s="176">
        <v>0</v>
      </c>
      <c r="C45" s="75" t="s">
        <v>31</v>
      </c>
      <c r="D45" s="76" t="str">
        <f>'Descision Matrix'!BJ53</f>
        <v>*</v>
      </c>
      <c r="E45" s="134" t="str">
        <f>'Descision Matrix'!BK53</f>
        <v>F</v>
      </c>
      <c r="F45" s="76" t="str">
        <f>'Descision Matrix'!BL53</f>
        <v>*</v>
      </c>
      <c r="G45" s="47">
        <f>'Descision Matrix'!BM53</f>
        <v>0</v>
      </c>
      <c r="H45" s="176">
        <v>0</v>
      </c>
      <c r="I45" s="75" t="s">
        <v>31</v>
      </c>
      <c r="J45" s="76" t="str">
        <f>'Descision Matrix'!BP53</f>
        <v>*</v>
      </c>
      <c r="K45" s="76" t="str">
        <f>'Descision Matrix'!BQ53</f>
        <v>*</v>
      </c>
      <c r="L45" s="76" t="str">
        <f>'Descision Matrix'!BR53</f>
        <v>*</v>
      </c>
      <c r="M45" s="47">
        <f>'Descision Matrix'!BS53</f>
        <v>0</v>
      </c>
      <c r="N45" s="176">
        <v>0</v>
      </c>
      <c r="O45" s="75" t="s">
        <v>31</v>
      </c>
      <c r="P45" s="76" t="str">
        <f>'Descision Matrix'!BV53</f>
        <v>*</v>
      </c>
      <c r="Q45" s="76" t="str">
        <f>'Descision Matrix'!BW53</f>
        <v>*</v>
      </c>
      <c r="R45" s="131" t="str">
        <f>'Descision Matrix'!BX53</f>
        <v>*</v>
      </c>
      <c r="U45"/>
      <c r="AE45"/>
      <c r="AO45"/>
      <c r="AY45"/>
    </row>
    <row r="46" spans="1:56" ht="17.25" thickTop="1" thickBot="1" x14ac:dyDescent="0.3">
      <c r="A46" s="203">
        <f>'Descision Matrix'!BY54</f>
        <v>0</v>
      </c>
      <c r="B46" s="177">
        <v>0</v>
      </c>
      <c r="C46" s="127" t="s">
        <v>35</v>
      </c>
      <c r="D46" s="141" t="str">
        <f>'Descision Matrix'!BJ54</f>
        <v>T</v>
      </c>
      <c r="E46" s="128" t="str">
        <f>'Descision Matrix'!BK54</f>
        <v>*</v>
      </c>
      <c r="F46" s="128" t="str">
        <f>'Descision Matrix'!BL54</f>
        <v>*</v>
      </c>
      <c r="G46" s="48">
        <f>'Descision Matrix'!BM54</f>
        <v>0</v>
      </c>
      <c r="H46" s="177">
        <v>0</v>
      </c>
      <c r="I46" s="127" t="s">
        <v>35</v>
      </c>
      <c r="J46" s="128" t="str">
        <f>'Descision Matrix'!BP54</f>
        <v>*</v>
      </c>
      <c r="K46" s="128" t="str">
        <f>'Descision Matrix'!BQ54</f>
        <v>*</v>
      </c>
      <c r="L46" s="128" t="str">
        <f>'Descision Matrix'!BR54</f>
        <v>*</v>
      </c>
      <c r="M46" s="48">
        <f>'Descision Matrix'!BS54</f>
        <v>0</v>
      </c>
      <c r="N46" s="177">
        <v>0</v>
      </c>
      <c r="O46" s="127" t="s">
        <v>35</v>
      </c>
      <c r="P46" s="128" t="str">
        <f>'Descision Matrix'!BV54</f>
        <v>*</v>
      </c>
      <c r="Q46" s="128" t="str">
        <f>'Descision Matrix'!BW54</f>
        <v>*</v>
      </c>
      <c r="R46" s="132" t="str">
        <f>'Descision Matrix'!BX54</f>
        <v>*</v>
      </c>
      <c r="U46"/>
      <c r="AE46"/>
      <c r="AO46"/>
      <c r="AY46"/>
    </row>
    <row r="47" spans="1:56" ht="20.25" thickTop="1" thickBot="1" x14ac:dyDescent="0.3">
      <c r="A47" s="184" t="str">
        <f>'Descision Matrix'!DK56</f>
        <v>A Surrounds B</v>
      </c>
      <c r="B47" s="10"/>
      <c r="C47" s="11"/>
      <c r="D47" s="175" t="s">
        <v>31</v>
      </c>
      <c r="E47" s="175">
        <v>0</v>
      </c>
      <c r="F47" s="175">
        <v>0</v>
      </c>
      <c r="G47" s="46">
        <f>'Descision Matrix'!BM55</f>
        <v>0</v>
      </c>
      <c r="H47" s="10"/>
      <c r="I47" s="11"/>
      <c r="J47" s="175" t="s">
        <v>31</v>
      </c>
      <c r="K47" s="175">
        <v>0</v>
      </c>
      <c r="L47" s="175">
        <v>0</v>
      </c>
      <c r="M47" s="46">
        <f>'Descision Matrix'!BS55</f>
        <v>0</v>
      </c>
      <c r="N47" s="10"/>
      <c r="O47" s="11"/>
      <c r="P47" s="175" t="s">
        <v>31</v>
      </c>
      <c r="Q47" s="175">
        <v>0</v>
      </c>
      <c r="R47" s="175">
        <v>0</v>
      </c>
      <c r="T47" s="144" t="str">
        <f t="shared" ref="T47" si="119">A47</f>
        <v>A Surrounds B</v>
      </c>
      <c r="U47" s="25"/>
      <c r="V47" s="26" t="str">
        <f t="shared" ref="V47" si="120">D49</f>
        <v>F</v>
      </c>
      <c r="W47" s="22" t="str">
        <f t="shared" ref="W47" si="121">E49</f>
        <v>*</v>
      </c>
      <c r="X47" s="23" t="str">
        <f t="shared" ref="X47" si="122">F49</f>
        <v>*</v>
      </c>
      <c r="Y47" s="22" t="str">
        <f t="shared" ref="Y47" si="123">D50</f>
        <v>*</v>
      </c>
      <c r="Z47" s="22" t="str">
        <f t="shared" ref="Z47" si="124">E50</f>
        <v>F</v>
      </c>
      <c r="AA47" s="23" t="str">
        <f t="shared" ref="AA47" si="125">F50</f>
        <v>*</v>
      </c>
      <c r="AB47" s="22" t="str">
        <f t="shared" ref="AB47" si="126">D51</f>
        <v>*</v>
      </c>
      <c r="AC47" s="22" t="str">
        <f t="shared" ref="AC47" si="127">E51</f>
        <v>*</v>
      </c>
      <c r="AD47" s="27" t="str">
        <f t="shared" ref="AD47" si="128">F51</f>
        <v>*</v>
      </c>
      <c r="AE47" s="25"/>
      <c r="AF47" s="26" t="str">
        <f t="shared" ref="AF47" si="129">J49</f>
        <v>T</v>
      </c>
      <c r="AG47" s="22" t="str">
        <f t="shared" ref="AG47" si="130">K49</f>
        <v>*</v>
      </c>
      <c r="AH47" s="23" t="str">
        <f t="shared" ref="AH47" si="131">L49</f>
        <v>T</v>
      </c>
      <c r="AI47" s="22" t="str">
        <f t="shared" ref="AI47" si="132">J50</f>
        <v>*</v>
      </c>
      <c r="AJ47" s="22" t="str">
        <f t="shared" ref="AJ47" si="133">K50</f>
        <v>*</v>
      </c>
      <c r="AK47" s="23" t="str">
        <f t="shared" ref="AK47" si="134">L50</f>
        <v>*</v>
      </c>
      <c r="AL47" s="22" t="str">
        <f t="shared" ref="AL47" si="135">J51</f>
        <v>F</v>
      </c>
      <c r="AM47" s="22" t="str">
        <f t="shared" ref="AM47" si="136">K51</f>
        <v>*</v>
      </c>
      <c r="AN47" s="27" t="str">
        <f t="shared" ref="AN47" si="137">L51</f>
        <v>*</v>
      </c>
      <c r="AO47" s="25"/>
      <c r="AP47" s="26" t="str">
        <f t="shared" ref="AP47" si="138">P49</f>
        <v>*</v>
      </c>
      <c r="AQ47" s="22" t="str">
        <f t="shared" ref="AQ47" si="139">Q49</f>
        <v>*</v>
      </c>
      <c r="AR47" s="23" t="str">
        <f t="shared" ref="AR47" si="140">R49</f>
        <v>*</v>
      </c>
      <c r="AS47" s="22" t="str">
        <f t="shared" ref="AS47" si="141">P50</f>
        <v>*</v>
      </c>
      <c r="AT47" s="22" t="str">
        <f t="shared" ref="AT47" si="142">Q50</f>
        <v>*</v>
      </c>
      <c r="AU47" s="23" t="str">
        <f t="shared" ref="AU47" si="143">R50</f>
        <v>*</v>
      </c>
      <c r="AV47" s="22" t="str">
        <f t="shared" ref="AV47" si="144">P51</f>
        <v>*</v>
      </c>
      <c r="AW47" s="22" t="str">
        <f t="shared" ref="AW47" si="145">Q51</f>
        <v>*</v>
      </c>
      <c r="AX47" s="27" t="str">
        <f t="shared" ref="AX47" si="146">R51</f>
        <v>*</v>
      </c>
      <c r="AY47" s="28"/>
      <c r="BA47" s="144" t="str">
        <f>T47</f>
        <v>A Surrounds B</v>
      </c>
      <c r="BB47" s="146" t="str">
        <f>CONCATENATE(V47,W47,X47,Y47,Z47,AA47,AB47,AC47,AD47)</f>
        <v>F***F****</v>
      </c>
      <c r="BC47" s="147" t="str">
        <f>CONCATENATE(AF47,AG47,AH47,AI47,AJ47,AK47,AL47,AM47,AN47)</f>
        <v>T*T***F**</v>
      </c>
      <c r="BD47" s="148" t="str">
        <f>CONCATENATE(AP47,AQ47,AR47,AS47,AT47,AU47,AV47,AW47,AX47)</f>
        <v>*********</v>
      </c>
    </row>
    <row r="48" spans="1:56" ht="17.25" thickTop="1" thickBot="1" x14ac:dyDescent="0.3">
      <c r="A48" s="185">
        <f>'Descision Matrix'!DK57</f>
        <v>0</v>
      </c>
      <c r="B48" s="15"/>
      <c r="C48" s="71" t="s">
        <v>33</v>
      </c>
      <c r="D48" s="72" t="s">
        <v>34</v>
      </c>
      <c r="E48" s="72" t="s">
        <v>31</v>
      </c>
      <c r="F48" s="72" t="s">
        <v>35</v>
      </c>
      <c r="G48" s="47">
        <f>'Descision Matrix'!BM56</f>
        <v>0</v>
      </c>
      <c r="H48" s="15"/>
      <c r="I48" s="71" t="s">
        <v>33</v>
      </c>
      <c r="J48" s="72" t="s">
        <v>34</v>
      </c>
      <c r="K48" s="72" t="s">
        <v>31</v>
      </c>
      <c r="L48" s="72" t="s">
        <v>35</v>
      </c>
      <c r="M48" s="47">
        <f>'Descision Matrix'!BS56</f>
        <v>0</v>
      </c>
      <c r="N48" s="15"/>
      <c r="O48" s="71" t="s">
        <v>33</v>
      </c>
      <c r="P48" s="72" t="s">
        <v>34</v>
      </c>
      <c r="Q48" s="72" t="s">
        <v>31</v>
      </c>
      <c r="R48" s="72" t="s">
        <v>35</v>
      </c>
      <c r="U48"/>
      <c r="AE48"/>
      <c r="AO48"/>
      <c r="AY48"/>
    </row>
    <row r="49" spans="1:56" ht="17.25" thickTop="1" thickBot="1" x14ac:dyDescent="0.3">
      <c r="A49" s="185">
        <f>'Descision Matrix'!DK58</f>
        <v>0</v>
      </c>
      <c r="B49" s="176" t="s">
        <v>36</v>
      </c>
      <c r="C49" s="73" t="s">
        <v>34</v>
      </c>
      <c r="D49" s="135" t="str">
        <f>'Descision Matrix'!CC58</f>
        <v>F</v>
      </c>
      <c r="E49" s="74" t="str">
        <f>'Descision Matrix'!CD58</f>
        <v>*</v>
      </c>
      <c r="F49" s="74" t="str">
        <f>'Descision Matrix'!CE58</f>
        <v>*</v>
      </c>
      <c r="G49" s="47">
        <f>'Descision Matrix'!CF58</f>
        <v>0</v>
      </c>
      <c r="H49" s="176" t="s">
        <v>36</v>
      </c>
      <c r="I49" s="73" t="s">
        <v>34</v>
      </c>
      <c r="J49" s="135" t="str">
        <f>'Descision Matrix'!CI58</f>
        <v>T</v>
      </c>
      <c r="K49" s="74" t="str">
        <f>'Descision Matrix'!CJ58</f>
        <v>*</v>
      </c>
      <c r="L49" s="135" t="str">
        <f>'Descision Matrix'!CK58</f>
        <v>T</v>
      </c>
      <c r="M49" s="47">
        <f>'Descision Matrix'!CL58</f>
        <v>0</v>
      </c>
      <c r="N49" s="176" t="s">
        <v>36</v>
      </c>
      <c r="O49" s="73" t="s">
        <v>34</v>
      </c>
      <c r="P49" s="74" t="str">
        <f>'Descision Matrix'!CO58</f>
        <v>*</v>
      </c>
      <c r="Q49" s="74" t="str">
        <f>'Descision Matrix'!CP58</f>
        <v>*</v>
      </c>
      <c r="R49" s="74" t="str">
        <f>'Descision Matrix'!CQ58</f>
        <v>*</v>
      </c>
      <c r="U49"/>
      <c r="AE49"/>
      <c r="AO49"/>
      <c r="AY49"/>
    </row>
    <row r="50" spans="1:56" ht="17.25" thickTop="1" thickBot="1" x14ac:dyDescent="0.3">
      <c r="A50" s="185">
        <f>'Descision Matrix'!DK59</f>
        <v>0</v>
      </c>
      <c r="B50" s="176">
        <v>0</v>
      </c>
      <c r="C50" s="75" t="s">
        <v>31</v>
      </c>
      <c r="D50" s="76" t="str">
        <f>'Descision Matrix'!CC59</f>
        <v>*</v>
      </c>
      <c r="E50" s="134" t="str">
        <f>'Descision Matrix'!CD59</f>
        <v>F</v>
      </c>
      <c r="F50" s="76" t="str">
        <f>'Descision Matrix'!CE59</f>
        <v>*</v>
      </c>
      <c r="G50" s="47">
        <f>'Descision Matrix'!CF59</f>
        <v>0</v>
      </c>
      <c r="H50" s="176">
        <v>0</v>
      </c>
      <c r="I50" s="75" t="s">
        <v>31</v>
      </c>
      <c r="J50" s="76" t="str">
        <f>'Descision Matrix'!CI59</f>
        <v>*</v>
      </c>
      <c r="K50" s="76" t="str">
        <f>'Descision Matrix'!CJ59</f>
        <v>*</v>
      </c>
      <c r="L50" s="76" t="str">
        <f>'Descision Matrix'!CK59</f>
        <v>*</v>
      </c>
      <c r="M50" s="47">
        <f>'Descision Matrix'!CL59</f>
        <v>0</v>
      </c>
      <c r="N50" s="176">
        <v>0</v>
      </c>
      <c r="O50" s="75" t="s">
        <v>31</v>
      </c>
      <c r="P50" s="76" t="str">
        <f>'Descision Matrix'!CO59</f>
        <v>*</v>
      </c>
      <c r="Q50" s="76" t="str">
        <f>'Descision Matrix'!CP59</f>
        <v>*</v>
      </c>
      <c r="R50" s="76" t="str">
        <f>'Descision Matrix'!CQ59</f>
        <v>*</v>
      </c>
      <c r="U50"/>
      <c r="AE50"/>
      <c r="AO50"/>
      <c r="AY50"/>
    </row>
    <row r="51" spans="1:56" ht="17.25" thickTop="1" thickBot="1" x14ac:dyDescent="0.3">
      <c r="A51" s="186">
        <f>'Descision Matrix'!DK60</f>
        <v>0</v>
      </c>
      <c r="B51" s="177">
        <v>0</v>
      </c>
      <c r="C51" s="127" t="s">
        <v>35</v>
      </c>
      <c r="D51" s="128" t="str">
        <f>'Descision Matrix'!CC60</f>
        <v>*</v>
      </c>
      <c r="E51" s="128" t="str">
        <f>'Descision Matrix'!CD60</f>
        <v>*</v>
      </c>
      <c r="F51" s="128" t="str">
        <f>'Descision Matrix'!CE60</f>
        <v>*</v>
      </c>
      <c r="G51" s="48">
        <f>'Descision Matrix'!CF60</f>
        <v>0</v>
      </c>
      <c r="H51" s="177">
        <v>0</v>
      </c>
      <c r="I51" s="127" t="s">
        <v>35</v>
      </c>
      <c r="J51" s="141" t="str">
        <f>'Descision Matrix'!CI60</f>
        <v>F</v>
      </c>
      <c r="K51" s="128" t="str">
        <f>'Descision Matrix'!CJ60</f>
        <v>*</v>
      </c>
      <c r="L51" s="128" t="str">
        <f>'Descision Matrix'!CK60</f>
        <v>*</v>
      </c>
      <c r="M51" s="48">
        <f>'Descision Matrix'!CL60</f>
        <v>0</v>
      </c>
      <c r="N51" s="177">
        <v>0</v>
      </c>
      <c r="O51" s="127" t="s">
        <v>35</v>
      </c>
      <c r="P51" s="128" t="str">
        <f>'Descision Matrix'!CO60</f>
        <v>*</v>
      </c>
      <c r="Q51" s="128" t="str">
        <f>'Descision Matrix'!CP60</f>
        <v>*</v>
      </c>
      <c r="R51" s="128" t="str">
        <f>'Descision Matrix'!CQ60</f>
        <v>*</v>
      </c>
      <c r="U51"/>
      <c r="AE51"/>
      <c r="AO51"/>
      <c r="AY51"/>
    </row>
    <row r="52" spans="1:56" ht="20.25" thickTop="1" thickBot="1" x14ac:dyDescent="0.3">
      <c r="A52" s="184" t="str">
        <f>'Descision Matrix'!DK62</f>
        <v>A is Enclosed by B</v>
      </c>
      <c r="B52" s="10"/>
      <c r="C52" s="11"/>
      <c r="D52" s="175" t="s">
        <v>31</v>
      </c>
      <c r="E52" s="175">
        <v>0</v>
      </c>
      <c r="F52" s="175">
        <v>0</v>
      </c>
      <c r="G52" s="46">
        <f>'Descision Matrix'!BM61</f>
        <v>0</v>
      </c>
      <c r="H52" s="10"/>
      <c r="I52" s="11"/>
      <c r="J52" s="175" t="s">
        <v>31</v>
      </c>
      <c r="K52" s="175">
        <v>0</v>
      </c>
      <c r="L52" s="175">
        <v>0</v>
      </c>
      <c r="M52" s="46">
        <f>'Descision Matrix'!BS61</f>
        <v>0</v>
      </c>
      <c r="N52" s="10"/>
      <c r="O52" s="11"/>
      <c r="P52" s="175" t="s">
        <v>31</v>
      </c>
      <c r="Q52" s="175">
        <v>0</v>
      </c>
      <c r="R52" s="175">
        <v>0</v>
      </c>
      <c r="T52" s="144" t="str">
        <f t="shared" ref="T52" si="147">A52</f>
        <v>A is Enclosed by B</v>
      </c>
      <c r="U52" s="25"/>
      <c r="V52" s="26" t="str">
        <f t="shared" ref="V52" si="148">D54</f>
        <v>F</v>
      </c>
      <c r="W52" s="22" t="str">
        <f t="shared" ref="W52" si="149">E54</f>
        <v>*</v>
      </c>
      <c r="X52" s="23" t="str">
        <f t="shared" ref="X52" si="150">F54</f>
        <v>*</v>
      </c>
      <c r="Y52" s="22" t="str">
        <f t="shared" ref="Y52" si="151">D55</f>
        <v>*</v>
      </c>
      <c r="Z52" s="22" t="str">
        <f t="shared" ref="Z52" si="152">E55</f>
        <v>F</v>
      </c>
      <c r="AA52" s="23" t="str">
        <f t="shared" ref="AA52" si="153">F55</f>
        <v>*</v>
      </c>
      <c r="AB52" s="22" t="str">
        <f t="shared" ref="AB52" si="154">D56</f>
        <v>*</v>
      </c>
      <c r="AC52" s="22" t="str">
        <f t="shared" ref="AC52" si="155">E56</f>
        <v>*</v>
      </c>
      <c r="AD52" s="27" t="str">
        <f t="shared" ref="AD52" si="156">F56</f>
        <v>*</v>
      </c>
      <c r="AE52" s="25"/>
      <c r="AF52" s="26" t="str">
        <f t="shared" ref="AF52" si="157">J54</f>
        <v>T</v>
      </c>
      <c r="AG52" s="22" t="str">
        <f t="shared" ref="AG52" si="158">K54</f>
        <v>*</v>
      </c>
      <c r="AH52" s="23" t="str">
        <f t="shared" ref="AH52" si="159">L54</f>
        <v>F</v>
      </c>
      <c r="AI52" s="22" t="str">
        <f t="shared" ref="AI52" si="160">J55</f>
        <v>*</v>
      </c>
      <c r="AJ52" s="22" t="str">
        <f t="shared" ref="AJ52" si="161">K55</f>
        <v>*</v>
      </c>
      <c r="AK52" s="23" t="str">
        <f t="shared" ref="AK52" si="162">L55</f>
        <v>*</v>
      </c>
      <c r="AL52" s="22" t="str">
        <f t="shared" ref="AL52" si="163">J56</f>
        <v>T</v>
      </c>
      <c r="AM52" s="22" t="str">
        <f t="shared" ref="AM52" si="164">K56</f>
        <v>*</v>
      </c>
      <c r="AN52" s="27" t="str">
        <f t="shared" ref="AN52" si="165">L56</f>
        <v>*</v>
      </c>
      <c r="AO52" s="25"/>
      <c r="AP52" s="26" t="str">
        <f t="shared" ref="AP52" si="166">P54</f>
        <v>*</v>
      </c>
      <c r="AQ52" s="22" t="str">
        <f t="shared" ref="AQ52" si="167">Q54</f>
        <v>*</v>
      </c>
      <c r="AR52" s="23" t="str">
        <f t="shared" ref="AR52" si="168">R54</f>
        <v>*</v>
      </c>
      <c r="AS52" s="22" t="str">
        <f t="shared" ref="AS52" si="169">P55</f>
        <v>*</v>
      </c>
      <c r="AT52" s="22" t="str">
        <f t="shared" ref="AT52" si="170">Q55</f>
        <v>*</v>
      </c>
      <c r="AU52" s="23" t="str">
        <f t="shared" ref="AU52" si="171">R55</f>
        <v>*</v>
      </c>
      <c r="AV52" s="22" t="str">
        <f t="shared" ref="AV52" si="172">P56</f>
        <v>*</v>
      </c>
      <c r="AW52" s="22" t="str">
        <f t="shared" ref="AW52" si="173">Q56</f>
        <v>*</v>
      </c>
      <c r="AX52" s="27" t="str">
        <f t="shared" ref="AX52" si="174">R56</f>
        <v>*</v>
      </c>
      <c r="AY52" s="28"/>
      <c r="BA52" s="144" t="str">
        <f>T52</f>
        <v>A is Enclosed by B</v>
      </c>
      <c r="BB52" s="146" t="str">
        <f>CONCATENATE(V52,W52,X52,Y52,Z52,AA52,AB52,AC52,AD52)</f>
        <v>F***F****</v>
      </c>
      <c r="BC52" s="147" t="str">
        <f>CONCATENATE(AF52,AG52,AH52,AI52,AJ52,AK52,AL52,AM52,AN52)</f>
        <v>T*F***T**</v>
      </c>
      <c r="BD52" s="148" t="str">
        <f>CONCATENATE(AP52,AQ52,AR52,AS52,AT52,AU52,AV52,AW52,AX52)</f>
        <v>*********</v>
      </c>
    </row>
    <row r="53" spans="1:56" ht="17.25" thickTop="1" thickBot="1" x14ac:dyDescent="0.3">
      <c r="A53" s="185">
        <f>'Descision Matrix'!DK63</f>
        <v>0</v>
      </c>
      <c r="B53" s="15"/>
      <c r="C53" s="71" t="s">
        <v>33</v>
      </c>
      <c r="D53" s="72" t="s">
        <v>34</v>
      </c>
      <c r="E53" s="72" t="s">
        <v>31</v>
      </c>
      <c r="F53" s="72" t="s">
        <v>35</v>
      </c>
      <c r="G53" s="47">
        <f>'Descision Matrix'!BM62</f>
        <v>0</v>
      </c>
      <c r="H53" s="15"/>
      <c r="I53" s="71" t="s">
        <v>33</v>
      </c>
      <c r="J53" s="72" t="s">
        <v>34</v>
      </c>
      <c r="K53" s="72" t="s">
        <v>31</v>
      </c>
      <c r="L53" s="72" t="s">
        <v>35</v>
      </c>
      <c r="M53" s="47">
        <f>'Descision Matrix'!BS62</f>
        <v>0</v>
      </c>
      <c r="N53" s="15"/>
      <c r="O53" s="71" t="s">
        <v>33</v>
      </c>
      <c r="P53" s="72" t="s">
        <v>34</v>
      </c>
      <c r="Q53" s="72" t="s">
        <v>31</v>
      </c>
      <c r="R53" s="72" t="s">
        <v>35</v>
      </c>
      <c r="U53"/>
      <c r="AE53"/>
      <c r="AO53"/>
      <c r="AY53"/>
    </row>
    <row r="54" spans="1:56" ht="17.25" thickTop="1" thickBot="1" x14ac:dyDescent="0.3">
      <c r="A54" s="185">
        <f>'Descision Matrix'!DK64</f>
        <v>0</v>
      </c>
      <c r="B54" s="176" t="s">
        <v>36</v>
      </c>
      <c r="C54" s="73" t="s">
        <v>34</v>
      </c>
      <c r="D54" s="135" t="str">
        <f>'Descision Matrix'!CC64</f>
        <v>F</v>
      </c>
      <c r="E54" s="74" t="str">
        <f>'Descision Matrix'!CD64</f>
        <v>*</v>
      </c>
      <c r="F54" s="74" t="str">
        <f>'Descision Matrix'!CE64</f>
        <v>*</v>
      </c>
      <c r="G54" s="47">
        <f>'Descision Matrix'!CF64</f>
        <v>0</v>
      </c>
      <c r="H54" s="176" t="s">
        <v>36</v>
      </c>
      <c r="I54" s="73" t="s">
        <v>34</v>
      </c>
      <c r="J54" s="135" t="str">
        <f>'Descision Matrix'!CI64</f>
        <v>T</v>
      </c>
      <c r="K54" s="74" t="str">
        <f>'Descision Matrix'!CJ64</f>
        <v>*</v>
      </c>
      <c r="L54" s="135" t="str">
        <f>'Descision Matrix'!CK64</f>
        <v>F</v>
      </c>
      <c r="M54" s="47">
        <f>'Descision Matrix'!CL64</f>
        <v>0</v>
      </c>
      <c r="N54" s="176" t="s">
        <v>36</v>
      </c>
      <c r="O54" s="73" t="s">
        <v>34</v>
      </c>
      <c r="P54" s="74" t="str">
        <f>'Descision Matrix'!CO64</f>
        <v>*</v>
      </c>
      <c r="Q54" s="74" t="str">
        <f>'Descision Matrix'!CP64</f>
        <v>*</v>
      </c>
      <c r="R54" s="74" t="str">
        <f>'Descision Matrix'!CQ64</f>
        <v>*</v>
      </c>
      <c r="U54"/>
      <c r="AE54"/>
      <c r="AO54"/>
      <c r="AY54"/>
    </row>
    <row r="55" spans="1:56" ht="17.25" thickTop="1" thickBot="1" x14ac:dyDescent="0.3">
      <c r="A55" s="185">
        <f>'Descision Matrix'!DK65</f>
        <v>0</v>
      </c>
      <c r="B55" s="176">
        <v>0</v>
      </c>
      <c r="C55" s="75" t="s">
        <v>31</v>
      </c>
      <c r="D55" s="76" t="str">
        <f>'Descision Matrix'!CC65</f>
        <v>*</v>
      </c>
      <c r="E55" s="134" t="str">
        <f>'Descision Matrix'!CD65</f>
        <v>F</v>
      </c>
      <c r="F55" s="76" t="str">
        <f>'Descision Matrix'!CE65</f>
        <v>*</v>
      </c>
      <c r="G55" s="47">
        <f>'Descision Matrix'!CF65</f>
        <v>0</v>
      </c>
      <c r="H55" s="176">
        <v>0</v>
      </c>
      <c r="I55" s="75" t="s">
        <v>31</v>
      </c>
      <c r="J55" s="76" t="str">
        <f>'Descision Matrix'!CI65</f>
        <v>*</v>
      </c>
      <c r="K55" s="76" t="str">
        <f>'Descision Matrix'!CJ65</f>
        <v>*</v>
      </c>
      <c r="L55" s="76" t="str">
        <f>'Descision Matrix'!CK65</f>
        <v>*</v>
      </c>
      <c r="M55" s="47">
        <f>'Descision Matrix'!CL65</f>
        <v>0</v>
      </c>
      <c r="N55" s="176">
        <v>0</v>
      </c>
      <c r="O55" s="75" t="s">
        <v>31</v>
      </c>
      <c r="P55" s="76" t="str">
        <f>'Descision Matrix'!CO65</f>
        <v>*</v>
      </c>
      <c r="Q55" s="76" t="str">
        <f>'Descision Matrix'!CP65</f>
        <v>*</v>
      </c>
      <c r="R55" s="76" t="str">
        <f>'Descision Matrix'!CQ65</f>
        <v>*</v>
      </c>
      <c r="U55"/>
      <c r="AE55"/>
      <c r="AO55"/>
      <c r="AY55"/>
    </row>
    <row r="56" spans="1:56" ht="17.25" thickTop="1" thickBot="1" x14ac:dyDescent="0.3">
      <c r="A56" s="186">
        <f>'Descision Matrix'!DK66</f>
        <v>0</v>
      </c>
      <c r="B56" s="177">
        <v>0</v>
      </c>
      <c r="C56" s="127" t="s">
        <v>35</v>
      </c>
      <c r="D56" s="128" t="str">
        <f>'Descision Matrix'!CC66</f>
        <v>*</v>
      </c>
      <c r="E56" s="128" t="str">
        <f>'Descision Matrix'!CD66</f>
        <v>*</v>
      </c>
      <c r="F56" s="128" t="str">
        <f>'Descision Matrix'!CE66</f>
        <v>*</v>
      </c>
      <c r="G56" s="48">
        <f>'Descision Matrix'!CF66</f>
        <v>0</v>
      </c>
      <c r="H56" s="177">
        <v>0</v>
      </c>
      <c r="I56" s="127" t="s">
        <v>35</v>
      </c>
      <c r="J56" s="141" t="str">
        <f>'Descision Matrix'!CI66</f>
        <v>T</v>
      </c>
      <c r="K56" s="128" t="str">
        <f>'Descision Matrix'!CJ66</f>
        <v>*</v>
      </c>
      <c r="L56" s="128" t="str">
        <f>'Descision Matrix'!CK66</f>
        <v>*</v>
      </c>
      <c r="M56" s="48">
        <f>'Descision Matrix'!CL66</f>
        <v>0</v>
      </c>
      <c r="N56" s="177">
        <v>0</v>
      </c>
      <c r="O56" s="127" t="s">
        <v>35</v>
      </c>
      <c r="P56" s="128" t="str">
        <f>'Descision Matrix'!CO66</f>
        <v>*</v>
      </c>
      <c r="Q56" s="128" t="str">
        <f>'Descision Matrix'!CP66</f>
        <v>*</v>
      </c>
      <c r="R56" s="128" t="str">
        <f>'Descision Matrix'!CQ66</f>
        <v>*</v>
      </c>
      <c r="U56"/>
      <c r="AE56"/>
      <c r="AO56"/>
      <c r="AY56"/>
    </row>
    <row r="57" spans="1:56" ht="20.25" thickTop="1" thickBot="1" x14ac:dyDescent="0.3">
      <c r="A57" s="181" t="str">
        <f>'Descision Matrix'!DK68</f>
        <v xml:space="preserve">A is Disjoint 
with B </v>
      </c>
      <c r="B57" s="10"/>
      <c r="C57" s="11"/>
      <c r="D57" s="175" t="s">
        <v>31</v>
      </c>
      <c r="E57" s="175">
        <v>0</v>
      </c>
      <c r="F57" s="175">
        <v>0</v>
      </c>
      <c r="G57" s="46">
        <f>'Descision Matrix'!BM67</f>
        <v>0</v>
      </c>
      <c r="H57" s="10"/>
      <c r="I57" s="11"/>
      <c r="J57" s="175" t="s">
        <v>31</v>
      </c>
      <c r="K57" s="175">
        <v>0</v>
      </c>
      <c r="L57" s="175">
        <v>0</v>
      </c>
      <c r="M57" s="46">
        <f>'Descision Matrix'!BS67</f>
        <v>0</v>
      </c>
      <c r="N57" s="10"/>
      <c r="O57" s="11"/>
      <c r="P57" s="175" t="s">
        <v>31</v>
      </c>
      <c r="Q57" s="175">
        <v>0</v>
      </c>
      <c r="R57" s="175">
        <v>0</v>
      </c>
      <c r="T57" s="144" t="str">
        <f t="shared" ref="T57" si="175">A57</f>
        <v xml:space="preserve">A is Disjoint 
with B </v>
      </c>
      <c r="U57" s="25"/>
      <c r="V57" s="26" t="str">
        <f t="shared" ref="V57" si="176">D59</f>
        <v>F</v>
      </c>
      <c r="W57" s="22" t="str">
        <f t="shared" ref="W57" si="177">E59</f>
        <v>*</v>
      </c>
      <c r="X57" s="23" t="str">
        <f t="shared" ref="X57" si="178">F59</f>
        <v>*</v>
      </c>
      <c r="Y57" s="22" t="str">
        <f t="shared" ref="Y57" si="179">D60</f>
        <v>*</v>
      </c>
      <c r="Z57" s="22" t="str">
        <f t="shared" ref="Z57" si="180">E60</f>
        <v>F</v>
      </c>
      <c r="AA57" s="23" t="str">
        <f t="shared" ref="AA57" si="181">F60</f>
        <v>*</v>
      </c>
      <c r="AB57" s="22" t="str">
        <f t="shared" ref="AB57" si="182">D61</f>
        <v>*</v>
      </c>
      <c r="AC57" s="22" t="str">
        <f t="shared" ref="AC57" si="183">E61</f>
        <v>*</v>
      </c>
      <c r="AD57" s="27" t="str">
        <f t="shared" ref="AD57" si="184">F61</f>
        <v>*</v>
      </c>
      <c r="AE57" s="25"/>
      <c r="AF57" s="26" t="str">
        <f t="shared" ref="AF57" si="185">J59</f>
        <v>*</v>
      </c>
      <c r="AG57" s="22" t="str">
        <f t="shared" ref="AG57" si="186">K59</f>
        <v>*</v>
      </c>
      <c r="AH57" s="23" t="str">
        <f t="shared" ref="AH57" si="187">L59</f>
        <v>T</v>
      </c>
      <c r="AI57" s="22" t="str">
        <f t="shared" ref="AI57" si="188">J60</f>
        <v>*</v>
      </c>
      <c r="AJ57" s="22" t="str">
        <f t="shared" ref="AJ57" si="189">K60</f>
        <v>*</v>
      </c>
      <c r="AK57" s="23" t="str">
        <f t="shared" ref="AK57" si="190">L60</f>
        <v>*</v>
      </c>
      <c r="AL57" s="22" t="str">
        <f t="shared" ref="AL57" si="191">J61</f>
        <v>T</v>
      </c>
      <c r="AM57" s="22" t="str">
        <f t="shared" ref="AM57" si="192">K61</f>
        <v>*</v>
      </c>
      <c r="AN57" s="27" t="str">
        <f t="shared" ref="AN57" si="193">L61</f>
        <v>*</v>
      </c>
      <c r="AO57" s="25"/>
      <c r="AP57" s="26" t="str">
        <f t="shared" ref="AP57" si="194">P59</f>
        <v>*</v>
      </c>
      <c r="AQ57" s="22" t="str">
        <f t="shared" ref="AQ57" si="195">Q59</f>
        <v>*</v>
      </c>
      <c r="AR57" s="23" t="str">
        <f t="shared" ref="AR57" si="196">R59</f>
        <v>T</v>
      </c>
      <c r="AS57" s="22" t="str">
        <f t="shared" ref="AS57" si="197">P60</f>
        <v>*</v>
      </c>
      <c r="AT57" s="22" t="str">
        <f t="shared" ref="AT57" si="198">Q60</f>
        <v>*</v>
      </c>
      <c r="AU57" s="23" t="str">
        <f t="shared" ref="AU57" si="199">R60</f>
        <v>*</v>
      </c>
      <c r="AV57" s="22" t="str">
        <f t="shared" ref="AV57" si="200">P61</f>
        <v>T</v>
      </c>
      <c r="AW57" s="22" t="str">
        <f t="shared" ref="AW57" si="201">Q61</f>
        <v>*</v>
      </c>
      <c r="AX57" s="27" t="str">
        <f t="shared" ref="AX57" si="202">R61</f>
        <v>*</v>
      </c>
      <c r="AY57" s="28"/>
      <c r="BA57" s="144" t="str">
        <f>T57</f>
        <v xml:space="preserve">A is Disjoint 
with B </v>
      </c>
      <c r="BB57" s="146" t="str">
        <f>CONCATENATE(V57,W57,X57,Y57,Z57,AA57,AB57,AC57,AD57)</f>
        <v>F***F****</v>
      </c>
      <c r="BC57" s="147" t="str">
        <f>CONCATENATE(AF57,AG57,AH57,AI57,AJ57,AK57,AL57,AM57,AN57)</f>
        <v>**T***T**</v>
      </c>
      <c r="BD57" s="148" t="str">
        <f>CONCATENATE(AP57,AQ57,AR57,AS57,AT57,AU57,AV57,AW57,AX57)</f>
        <v>**T***T**</v>
      </c>
    </row>
    <row r="58" spans="1:56" ht="17.25" thickTop="1" thickBot="1" x14ac:dyDescent="0.3">
      <c r="A58" s="182">
        <f>'Descision Matrix'!DK69</f>
        <v>0</v>
      </c>
      <c r="B58" s="15"/>
      <c r="C58" s="71" t="s">
        <v>33</v>
      </c>
      <c r="D58" s="72" t="s">
        <v>34</v>
      </c>
      <c r="E58" s="72" t="s">
        <v>31</v>
      </c>
      <c r="F58" s="72" t="s">
        <v>35</v>
      </c>
      <c r="G58" s="47">
        <f>'Descision Matrix'!BM68</f>
        <v>0</v>
      </c>
      <c r="H58" s="15"/>
      <c r="I58" s="71" t="s">
        <v>33</v>
      </c>
      <c r="J58" s="72" t="s">
        <v>34</v>
      </c>
      <c r="K58" s="72" t="s">
        <v>31</v>
      </c>
      <c r="L58" s="72" t="s">
        <v>35</v>
      </c>
      <c r="M58" s="47">
        <f>'Descision Matrix'!BS68</f>
        <v>0</v>
      </c>
      <c r="N58" s="15"/>
      <c r="O58" s="71" t="s">
        <v>33</v>
      </c>
      <c r="P58" s="72" t="s">
        <v>34</v>
      </c>
      <c r="Q58" s="72" t="s">
        <v>31</v>
      </c>
      <c r="R58" s="72" t="s">
        <v>35</v>
      </c>
      <c r="U58"/>
      <c r="AE58"/>
      <c r="AO58"/>
      <c r="AY58"/>
    </row>
    <row r="59" spans="1:56" ht="17.25" thickTop="1" thickBot="1" x14ac:dyDescent="0.3">
      <c r="A59" s="182">
        <f>'Descision Matrix'!DK70</f>
        <v>0</v>
      </c>
      <c r="B59" s="176" t="s">
        <v>36</v>
      </c>
      <c r="C59" s="73" t="s">
        <v>34</v>
      </c>
      <c r="D59" s="135" t="str">
        <f>'Descision Matrix'!CC70</f>
        <v>F</v>
      </c>
      <c r="E59" s="74" t="str">
        <f>'Descision Matrix'!CD70</f>
        <v>*</v>
      </c>
      <c r="F59" s="74" t="str">
        <f>'Descision Matrix'!CE70</f>
        <v>*</v>
      </c>
      <c r="G59" s="47">
        <f>'Descision Matrix'!CF70</f>
        <v>0</v>
      </c>
      <c r="H59" s="176" t="s">
        <v>36</v>
      </c>
      <c r="I59" s="73" t="s">
        <v>34</v>
      </c>
      <c r="J59" s="135" t="str">
        <f>'Descision Matrix'!CI70</f>
        <v>*</v>
      </c>
      <c r="K59" s="74" t="str">
        <f>'Descision Matrix'!CJ70</f>
        <v>*</v>
      </c>
      <c r="L59" s="74" t="str">
        <f>'Descision Matrix'!CK70</f>
        <v>T</v>
      </c>
      <c r="M59" s="47">
        <f>'Descision Matrix'!CL70</f>
        <v>0</v>
      </c>
      <c r="N59" s="176" t="s">
        <v>36</v>
      </c>
      <c r="O59" s="73" t="s">
        <v>34</v>
      </c>
      <c r="P59" s="135" t="str">
        <f>'Descision Matrix'!CO70</f>
        <v>*</v>
      </c>
      <c r="Q59" s="74" t="str">
        <f>'Descision Matrix'!CP70</f>
        <v>*</v>
      </c>
      <c r="R59" s="135" t="str">
        <f>'Descision Matrix'!CQ70</f>
        <v>T</v>
      </c>
      <c r="U59"/>
      <c r="AE59"/>
      <c r="AO59"/>
      <c r="AY59"/>
    </row>
    <row r="60" spans="1:56" ht="17.25" thickTop="1" thickBot="1" x14ac:dyDescent="0.3">
      <c r="A60" s="182">
        <f>'Descision Matrix'!DK71</f>
        <v>0</v>
      </c>
      <c r="B60" s="176">
        <v>0</v>
      </c>
      <c r="C60" s="75" t="s">
        <v>31</v>
      </c>
      <c r="D60" s="76" t="str">
        <f>'Descision Matrix'!CC71</f>
        <v>*</v>
      </c>
      <c r="E60" s="134" t="str">
        <f>'Descision Matrix'!CD71</f>
        <v>F</v>
      </c>
      <c r="F60" s="76" t="str">
        <f>'Descision Matrix'!CE71</f>
        <v>*</v>
      </c>
      <c r="G60" s="47">
        <f>'Descision Matrix'!CF71</f>
        <v>0</v>
      </c>
      <c r="H60" s="176">
        <v>0</v>
      </c>
      <c r="I60" s="75" t="s">
        <v>31</v>
      </c>
      <c r="J60" s="76" t="str">
        <f>'Descision Matrix'!CI71</f>
        <v>*</v>
      </c>
      <c r="K60" s="76" t="str">
        <f>'Descision Matrix'!CJ71</f>
        <v>*</v>
      </c>
      <c r="L60" s="76" t="str">
        <f>'Descision Matrix'!CK71</f>
        <v>*</v>
      </c>
      <c r="M60" s="47">
        <f>'Descision Matrix'!CL71</f>
        <v>0</v>
      </c>
      <c r="N60" s="176">
        <v>0</v>
      </c>
      <c r="O60" s="75" t="s">
        <v>31</v>
      </c>
      <c r="P60" s="76" t="str">
        <f>'Descision Matrix'!CO71</f>
        <v>*</v>
      </c>
      <c r="Q60" s="76" t="str">
        <f>'Descision Matrix'!CP71</f>
        <v>*</v>
      </c>
      <c r="R60" s="76" t="str">
        <f>'Descision Matrix'!CQ71</f>
        <v>*</v>
      </c>
      <c r="U60"/>
      <c r="AE60"/>
      <c r="AO60"/>
      <c r="AY60"/>
    </row>
    <row r="61" spans="1:56" ht="17.25" thickTop="1" thickBot="1" x14ac:dyDescent="0.3">
      <c r="A61" s="183">
        <f>'Descision Matrix'!DK72</f>
        <v>0</v>
      </c>
      <c r="B61" s="177">
        <v>0</v>
      </c>
      <c r="C61" s="127" t="s">
        <v>35</v>
      </c>
      <c r="D61" s="128" t="str">
        <f>'Descision Matrix'!CC72</f>
        <v>*</v>
      </c>
      <c r="E61" s="128" t="str">
        <f>'Descision Matrix'!CD72</f>
        <v>*</v>
      </c>
      <c r="F61" s="128" t="str">
        <f>'Descision Matrix'!CE72</f>
        <v>*</v>
      </c>
      <c r="G61" s="48">
        <f>'Descision Matrix'!CF72</f>
        <v>0</v>
      </c>
      <c r="H61" s="177">
        <v>0</v>
      </c>
      <c r="I61" s="127" t="s">
        <v>35</v>
      </c>
      <c r="J61" s="128" t="str">
        <f>'Descision Matrix'!CI72</f>
        <v>T</v>
      </c>
      <c r="K61" s="128" t="str">
        <f>'Descision Matrix'!CJ72</f>
        <v>*</v>
      </c>
      <c r="L61" s="128" t="str">
        <f>'Descision Matrix'!CK72</f>
        <v>*</v>
      </c>
      <c r="M61" s="48">
        <f>'Descision Matrix'!CL72</f>
        <v>0</v>
      </c>
      <c r="N61" s="177">
        <v>0</v>
      </c>
      <c r="O61" s="127" t="s">
        <v>35</v>
      </c>
      <c r="P61" s="141" t="str">
        <f>'Descision Matrix'!CO72</f>
        <v>T</v>
      </c>
      <c r="Q61" s="128" t="str">
        <f>'Descision Matrix'!CP72</f>
        <v>*</v>
      </c>
      <c r="R61" s="128" t="str">
        <f>'Descision Matrix'!CQ72</f>
        <v>*</v>
      </c>
      <c r="U61"/>
      <c r="AE61"/>
      <c r="AO61"/>
      <c r="AY61"/>
    </row>
    <row r="62" spans="1:56" ht="20.25" thickTop="1" thickBot="1" x14ac:dyDescent="0.3">
      <c r="A62" s="181" t="str">
        <f>'Descision Matrix'!DK74</f>
        <v>A Shelters B</v>
      </c>
      <c r="B62" s="10"/>
      <c r="C62" s="11"/>
      <c r="D62" s="175" t="s">
        <v>31</v>
      </c>
      <c r="E62" s="175">
        <v>0</v>
      </c>
      <c r="F62" s="175">
        <v>0</v>
      </c>
      <c r="G62" s="46">
        <f>'Descision Matrix'!BM73</f>
        <v>0</v>
      </c>
      <c r="H62" s="10"/>
      <c r="I62" s="11"/>
      <c r="J62" s="175" t="s">
        <v>31</v>
      </c>
      <c r="K62" s="175">
        <v>0</v>
      </c>
      <c r="L62" s="175">
        <v>0</v>
      </c>
      <c r="M62" s="46">
        <f>'Descision Matrix'!BS73</f>
        <v>0</v>
      </c>
      <c r="N62" s="10"/>
      <c r="O62" s="11"/>
      <c r="P62" s="175" t="s">
        <v>31</v>
      </c>
      <c r="Q62" s="175">
        <v>0</v>
      </c>
      <c r="R62" s="175">
        <v>0</v>
      </c>
      <c r="T62" s="144" t="str">
        <f t="shared" ref="T62" si="203">A62</f>
        <v>A Shelters B</v>
      </c>
      <c r="U62" s="25"/>
      <c r="V62" s="26" t="str">
        <f t="shared" ref="V62" si="204">D64</f>
        <v>F</v>
      </c>
      <c r="W62" s="22" t="str">
        <f t="shared" ref="W62" si="205">E64</f>
        <v>*</v>
      </c>
      <c r="X62" s="23" t="str">
        <f t="shared" ref="X62" si="206">F64</f>
        <v>T</v>
      </c>
      <c r="Y62" s="22" t="str">
        <f t="shared" ref="Y62" si="207">D65</f>
        <v>*</v>
      </c>
      <c r="Z62" s="22" t="str">
        <f t="shared" ref="Z62" si="208">E65</f>
        <v>F</v>
      </c>
      <c r="AA62" s="23" t="str">
        <f t="shared" ref="AA62" si="209">F65</f>
        <v>*</v>
      </c>
      <c r="AB62" s="22" t="str">
        <f t="shared" ref="AB62" si="210">D66</f>
        <v>T</v>
      </c>
      <c r="AC62" s="22" t="str">
        <f t="shared" ref="AC62" si="211">E66</f>
        <v>*</v>
      </c>
      <c r="AD62" s="27" t="str">
        <f t="shared" ref="AD62" si="212">F66</f>
        <v>*</v>
      </c>
      <c r="AE62" s="25"/>
      <c r="AF62" s="26" t="str">
        <f t="shared" ref="AF62" si="213">J64</f>
        <v>F</v>
      </c>
      <c r="AG62" s="22" t="str">
        <f t="shared" ref="AG62" si="214">K64</f>
        <v>*</v>
      </c>
      <c r="AH62" s="23" t="str">
        <f t="shared" ref="AH62" si="215">L64</f>
        <v>*</v>
      </c>
      <c r="AI62" s="22" t="str">
        <f t="shared" ref="AI62" si="216">J65</f>
        <v>*</v>
      </c>
      <c r="AJ62" s="22" t="str">
        <f t="shared" ref="AJ62" si="217">K65</f>
        <v>*</v>
      </c>
      <c r="AK62" s="23" t="str">
        <f t="shared" ref="AK62" si="218">L65</f>
        <v>*</v>
      </c>
      <c r="AL62" s="22" t="str">
        <f t="shared" ref="AL62" si="219">J66</f>
        <v>*</v>
      </c>
      <c r="AM62" s="22" t="str">
        <f t="shared" ref="AM62" si="220">K66</f>
        <v>*</v>
      </c>
      <c r="AN62" s="27" t="str">
        <f t="shared" ref="AN62" si="221">L66</f>
        <v>*</v>
      </c>
      <c r="AO62" s="25"/>
      <c r="AP62" s="26" t="str">
        <f t="shared" ref="AP62" si="222">P64</f>
        <v>T</v>
      </c>
      <c r="AQ62" s="22" t="str">
        <f t="shared" ref="AQ62" si="223">Q64</f>
        <v>*</v>
      </c>
      <c r="AR62" s="23" t="str">
        <f t="shared" ref="AR62" si="224">R64</f>
        <v>T</v>
      </c>
      <c r="AS62" s="22" t="str">
        <f t="shared" ref="AS62" si="225">P65</f>
        <v>*</v>
      </c>
      <c r="AT62" s="22" t="str">
        <f t="shared" ref="AT62" si="226">Q65</f>
        <v>*</v>
      </c>
      <c r="AU62" s="23" t="str">
        <f t="shared" ref="AU62" si="227">R65</f>
        <v>*</v>
      </c>
      <c r="AV62" s="22" t="str">
        <f t="shared" ref="AV62" si="228">P66</f>
        <v>F</v>
      </c>
      <c r="AW62" s="22" t="str">
        <f t="shared" ref="AW62" si="229">Q66</f>
        <v>*</v>
      </c>
      <c r="AX62" s="27" t="str">
        <f t="shared" ref="AX62" si="230">R66</f>
        <v>*</v>
      </c>
      <c r="AY62" s="28"/>
      <c r="BA62" s="144" t="str">
        <f>T62</f>
        <v>A Shelters B</v>
      </c>
      <c r="BB62" s="146" t="str">
        <f>CONCATENATE(V62,W62,X62,Y62,Z62,AA62,AB62,AC62,AD62)</f>
        <v>F*T*F*T**</v>
      </c>
      <c r="BC62" s="147" t="str">
        <f>CONCATENATE(AF62,AG62,AH62,AI62,AJ62,AK62,AL62,AM62,AN62)</f>
        <v>F********</v>
      </c>
      <c r="BD62" s="148" t="str">
        <f>CONCATENATE(AP62,AQ62,AR62,AS62,AT62,AU62,AV62,AW62,AX62)</f>
        <v>T*T***F**</v>
      </c>
    </row>
    <row r="63" spans="1:56" ht="17.25" thickTop="1" thickBot="1" x14ac:dyDescent="0.3">
      <c r="A63" s="182">
        <f>'Descision Matrix'!DK75</f>
        <v>0</v>
      </c>
      <c r="B63" s="15"/>
      <c r="C63" s="71" t="s">
        <v>33</v>
      </c>
      <c r="D63" s="72" t="s">
        <v>34</v>
      </c>
      <c r="E63" s="72" t="s">
        <v>31</v>
      </c>
      <c r="F63" s="72" t="s">
        <v>35</v>
      </c>
      <c r="G63" s="47">
        <f>'Descision Matrix'!BM74</f>
        <v>0</v>
      </c>
      <c r="H63" s="15"/>
      <c r="I63" s="71" t="s">
        <v>33</v>
      </c>
      <c r="J63" s="72" t="s">
        <v>34</v>
      </c>
      <c r="K63" s="72" t="s">
        <v>31</v>
      </c>
      <c r="L63" s="72" t="s">
        <v>35</v>
      </c>
      <c r="M63" s="47">
        <f>'Descision Matrix'!BS74</f>
        <v>0</v>
      </c>
      <c r="N63" s="15"/>
      <c r="O63" s="71" t="s">
        <v>33</v>
      </c>
      <c r="P63" s="72" t="s">
        <v>34</v>
      </c>
      <c r="Q63" s="72" t="s">
        <v>31</v>
      </c>
      <c r="R63" s="72" t="s">
        <v>35</v>
      </c>
      <c r="U63"/>
      <c r="AE63"/>
      <c r="AO63"/>
      <c r="AY63"/>
    </row>
    <row r="64" spans="1:56" ht="17.25" thickTop="1" thickBot="1" x14ac:dyDescent="0.3">
      <c r="A64" s="182">
        <f>'Descision Matrix'!DK76</f>
        <v>0</v>
      </c>
      <c r="B64" s="176" t="s">
        <v>36</v>
      </c>
      <c r="C64" s="73" t="s">
        <v>34</v>
      </c>
      <c r="D64" s="135" t="str">
        <f>'Descision Matrix'!CV76</f>
        <v>F</v>
      </c>
      <c r="E64" s="74" t="str">
        <f>'Descision Matrix'!CW76</f>
        <v>*</v>
      </c>
      <c r="F64" s="74" t="str">
        <f>'Descision Matrix'!CX76</f>
        <v>T</v>
      </c>
      <c r="G64" s="47">
        <f>'Descision Matrix'!CY76</f>
        <v>0</v>
      </c>
      <c r="H64" s="176" t="s">
        <v>36</v>
      </c>
      <c r="I64" s="73" t="s">
        <v>34</v>
      </c>
      <c r="J64" s="135" t="str">
        <f>'Descision Matrix'!DB76</f>
        <v>F</v>
      </c>
      <c r="K64" s="74" t="str">
        <f>'Descision Matrix'!DC76</f>
        <v>*</v>
      </c>
      <c r="L64" s="74" t="str">
        <f>'Descision Matrix'!DD76</f>
        <v>*</v>
      </c>
      <c r="M64" s="47">
        <f>'Descision Matrix'!DE76</f>
        <v>0</v>
      </c>
      <c r="N64" s="176" t="s">
        <v>36</v>
      </c>
      <c r="O64" s="73" t="s">
        <v>34</v>
      </c>
      <c r="P64" s="135" t="str">
        <f>'Descision Matrix'!DH76</f>
        <v>T</v>
      </c>
      <c r="Q64" s="74" t="str">
        <f>'Descision Matrix'!DI76</f>
        <v>*</v>
      </c>
      <c r="R64" s="135" t="str">
        <f>'Descision Matrix'!DJ76</f>
        <v>T</v>
      </c>
      <c r="U64"/>
      <c r="AE64"/>
      <c r="AO64"/>
      <c r="AY64"/>
    </row>
    <row r="65" spans="1:56" ht="17.25" thickTop="1" thickBot="1" x14ac:dyDescent="0.3">
      <c r="A65" s="182">
        <f>'Descision Matrix'!DK77</f>
        <v>0</v>
      </c>
      <c r="B65" s="176">
        <v>0</v>
      </c>
      <c r="C65" s="75" t="s">
        <v>31</v>
      </c>
      <c r="D65" s="76" t="str">
        <f>'Descision Matrix'!CV77</f>
        <v>*</v>
      </c>
      <c r="E65" s="134" t="str">
        <f>'Descision Matrix'!CW77</f>
        <v>F</v>
      </c>
      <c r="F65" s="76" t="str">
        <f>'Descision Matrix'!CX77</f>
        <v>*</v>
      </c>
      <c r="G65" s="47">
        <f>'Descision Matrix'!CY77</f>
        <v>0</v>
      </c>
      <c r="H65" s="176">
        <v>0</v>
      </c>
      <c r="I65" s="75" t="s">
        <v>31</v>
      </c>
      <c r="J65" s="76" t="str">
        <f>'Descision Matrix'!DB77</f>
        <v>*</v>
      </c>
      <c r="K65" s="76" t="str">
        <f>'Descision Matrix'!DC77</f>
        <v>*</v>
      </c>
      <c r="L65" s="76" t="str">
        <f>'Descision Matrix'!DD77</f>
        <v>*</v>
      </c>
      <c r="M65" s="47">
        <f>'Descision Matrix'!DE77</f>
        <v>0</v>
      </c>
      <c r="N65" s="176">
        <v>0</v>
      </c>
      <c r="O65" s="75" t="s">
        <v>31</v>
      </c>
      <c r="P65" s="76" t="str">
        <f>'Descision Matrix'!DH77</f>
        <v>*</v>
      </c>
      <c r="Q65" s="76" t="str">
        <f>'Descision Matrix'!DI77</f>
        <v>*</v>
      </c>
      <c r="R65" s="76" t="str">
        <f>'Descision Matrix'!DJ77</f>
        <v>*</v>
      </c>
      <c r="U65"/>
      <c r="AE65"/>
      <c r="AO65"/>
      <c r="AY65"/>
    </row>
    <row r="66" spans="1:56" ht="17.25" thickTop="1" thickBot="1" x14ac:dyDescent="0.3">
      <c r="A66" s="183">
        <f>'Descision Matrix'!DK78</f>
        <v>0</v>
      </c>
      <c r="B66" s="177">
        <v>0</v>
      </c>
      <c r="C66" s="127" t="s">
        <v>35</v>
      </c>
      <c r="D66" s="128" t="str">
        <f>'Descision Matrix'!CV78</f>
        <v>T</v>
      </c>
      <c r="E66" s="128" t="str">
        <f>'Descision Matrix'!CW78</f>
        <v>*</v>
      </c>
      <c r="F66" s="128" t="str">
        <f>'Descision Matrix'!CX78</f>
        <v>*</v>
      </c>
      <c r="G66" s="48">
        <f>'Descision Matrix'!CY78</f>
        <v>0</v>
      </c>
      <c r="H66" s="177">
        <v>0</v>
      </c>
      <c r="I66" s="127" t="s">
        <v>35</v>
      </c>
      <c r="J66" s="128" t="str">
        <f>'Descision Matrix'!DB78</f>
        <v>*</v>
      </c>
      <c r="K66" s="128" t="str">
        <f>'Descision Matrix'!DC78</f>
        <v>*</v>
      </c>
      <c r="L66" s="128" t="str">
        <f>'Descision Matrix'!DD78</f>
        <v>*</v>
      </c>
      <c r="M66" s="48">
        <f>'Descision Matrix'!DE78</f>
        <v>0</v>
      </c>
      <c r="N66" s="177">
        <v>0</v>
      </c>
      <c r="O66" s="127" t="s">
        <v>35</v>
      </c>
      <c r="P66" s="141" t="str">
        <f>'Descision Matrix'!DH78</f>
        <v>F</v>
      </c>
      <c r="Q66" s="128" t="str">
        <f>'Descision Matrix'!DI78</f>
        <v>*</v>
      </c>
      <c r="R66" s="128" t="str">
        <f>'Descision Matrix'!DJ78</f>
        <v>*</v>
      </c>
      <c r="U66"/>
      <c r="AE66"/>
      <c r="AO66"/>
      <c r="AY66"/>
    </row>
    <row r="67" spans="1:56" ht="20.25" thickTop="1" thickBot="1" x14ac:dyDescent="0.3">
      <c r="A67" s="181" t="str">
        <f>'Descision Matrix'!DK80</f>
        <v>A is Sheltered by B</v>
      </c>
      <c r="B67" s="10"/>
      <c r="C67" s="11"/>
      <c r="D67" s="175" t="s">
        <v>31</v>
      </c>
      <c r="E67" s="175">
        <v>0</v>
      </c>
      <c r="F67" s="175">
        <v>0</v>
      </c>
      <c r="G67" s="46">
        <f>'Descision Matrix'!BM79</f>
        <v>0</v>
      </c>
      <c r="H67" s="10"/>
      <c r="I67" s="11"/>
      <c r="J67" s="175" t="s">
        <v>31</v>
      </c>
      <c r="K67" s="175">
        <v>0</v>
      </c>
      <c r="L67" s="175">
        <v>0</v>
      </c>
      <c r="M67" s="46">
        <f>'Descision Matrix'!BS79</f>
        <v>0</v>
      </c>
      <c r="N67" s="10"/>
      <c r="O67" s="11"/>
      <c r="P67" s="175" t="s">
        <v>31</v>
      </c>
      <c r="Q67" s="175">
        <v>0</v>
      </c>
      <c r="R67" s="175">
        <v>0</v>
      </c>
      <c r="T67" s="144" t="str">
        <f t="shared" ref="T67" si="231">A67</f>
        <v>A is Sheltered by B</v>
      </c>
      <c r="U67" s="25"/>
      <c r="V67" s="26" t="str">
        <f t="shared" ref="V67" si="232">D69</f>
        <v>F</v>
      </c>
      <c r="W67" s="22" t="str">
        <f t="shared" ref="W67" si="233">E69</f>
        <v>*</v>
      </c>
      <c r="X67" s="23" t="str">
        <f t="shared" ref="X67" si="234">F69</f>
        <v>T</v>
      </c>
      <c r="Y67" s="22" t="str">
        <f t="shared" ref="Y67" si="235">D70</f>
        <v>*</v>
      </c>
      <c r="Z67" s="22" t="str">
        <f t="shared" ref="Z67" si="236">E70</f>
        <v>F</v>
      </c>
      <c r="AA67" s="23" t="str">
        <f t="shared" ref="AA67" si="237">F70</f>
        <v>*</v>
      </c>
      <c r="AB67" s="22" t="str">
        <f t="shared" ref="AB67" si="238">D71</f>
        <v>T</v>
      </c>
      <c r="AC67" s="22" t="str">
        <f t="shared" ref="AC67" si="239">E71</f>
        <v>*</v>
      </c>
      <c r="AD67" s="27" t="str">
        <f t="shared" ref="AD67" si="240">F71</f>
        <v>*</v>
      </c>
      <c r="AE67" s="25"/>
      <c r="AF67" s="26" t="str">
        <f t="shared" ref="AF67" si="241">J69</f>
        <v>F</v>
      </c>
      <c r="AG67" s="22" t="str">
        <f t="shared" ref="AG67" si="242">K69</f>
        <v>*</v>
      </c>
      <c r="AH67" s="23" t="str">
        <f t="shared" ref="AH67" si="243">L69</f>
        <v>*</v>
      </c>
      <c r="AI67" s="22" t="str">
        <f t="shared" ref="AI67" si="244">J70</f>
        <v>*</v>
      </c>
      <c r="AJ67" s="22" t="str">
        <f t="shared" ref="AJ67" si="245">K70</f>
        <v>*</v>
      </c>
      <c r="AK67" s="23" t="str">
        <f t="shared" ref="AK67" si="246">L70</f>
        <v>*</v>
      </c>
      <c r="AL67" s="22" t="str">
        <f t="shared" ref="AL67" si="247">J71</f>
        <v>*</v>
      </c>
      <c r="AM67" s="22" t="str">
        <f t="shared" ref="AM67" si="248">K71</f>
        <v>*</v>
      </c>
      <c r="AN67" s="27" t="str">
        <f t="shared" ref="AN67" si="249">L71</f>
        <v>*</v>
      </c>
      <c r="AO67" s="25"/>
      <c r="AP67" s="26" t="str">
        <f t="shared" ref="AP67" si="250">P69</f>
        <v>T</v>
      </c>
      <c r="AQ67" s="22" t="str">
        <f t="shared" ref="AQ67" si="251">Q69</f>
        <v>*</v>
      </c>
      <c r="AR67" s="23" t="str">
        <f t="shared" ref="AR67" si="252">R69</f>
        <v>F</v>
      </c>
      <c r="AS67" s="22" t="str">
        <f t="shared" ref="AS67" si="253">P70</f>
        <v>*</v>
      </c>
      <c r="AT67" s="22" t="str">
        <f t="shared" ref="AT67" si="254">Q70</f>
        <v>*</v>
      </c>
      <c r="AU67" s="23" t="str">
        <f t="shared" ref="AU67" si="255">R70</f>
        <v>*</v>
      </c>
      <c r="AV67" s="22" t="str">
        <f t="shared" ref="AV67" si="256">P71</f>
        <v>T</v>
      </c>
      <c r="AW67" s="22" t="str">
        <f t="shared" ref="AW67" si="257">Q71</f>
        <v>*</v>
      </c>
      <c r="AX67" s="27" t="str">
        <f t="shared" ref="AX67" si="258">R71</f>
        <v>*</v>
      </c>
      <c r="AY67" s="28"/>
      <c r="BA67" s="144" t="str">
        <f>T67</f>
        <v>A is Sheltered by B</v>
      </c>
      <c r="BB67" s="146" t="str">
        <f>CONCATENATE(V67,W67,X67,Y67,Z67,AA67,AB67,AC67,AD67)</f>
        <v>F*T*F*T**</v>
      </c>
      <c r="BC67" s="147" t="str">
        <f>CONCATENATE(AF67,AG67,AH67,AI67,AJ67,AK67,AL67,AM67,AN67)</f>
        <v>F********</v>
      </c>
      <c r="BD67" s="148" t="str">
        <f>CONCATENATE(AP67,AQ67,AR67,AS67,AT67,AU67,AV67,AW67,AX67)</f>
        <v>T*F***T**</v>
      </c>
    </row>
    <row r="68" spans="1:56" ht="17.25" thickTop="1" thickBot="1" x14ac:dyDescent="0.3">
      <c r="A68" s="182">
        <f>'Descision Matrix'!DK81</f>
        <v>0</v>
      </c>
      <c r="B68" s="15"/>
      <c r="C68" s="71" t="s">
        <v>33</v>
      </c>
      <c r="D68" s="72" t="s">
        <v>34</v>
      </c>
      <c r="E68" s="72" t="s">
        <v>31</v>
      </c>
      <c r="F68" s="72" t="s">
        <v>35</v>
      </c>
      <c r="G68" s="47">
        <f>'Descision Matrix'!BM80</f>
        <v>0</v>
      </c>
      <c r="H68" s="15"/>
      <c r="I68" s="71" t="s">
        <v>33</v>
      </c>
      <c r="J68" s="72" t="s">
        <v>34</v>
      </c>
      <c r="K68" s="72" t="s">
        <v>31</v>
      </c>
      <c r="L68" s="72" t="s">
        <v>35</v>
      </c>
      <c r="M68" s="47">
        <f>'Descision Matrix'!BS80</f>
        <v>0</v>
      </c>
      <c r="N68" s="15"/>
      <c r="O68" s="71" t="s">
        <v>33</v>
      </c>
      <c r="P68" s="72" t="s">
        <v>34</v>
      </c>
      <c r="Q68" s="72" t="s">
        <v>31</v>
      </c>
      <c r="R68" s="72" t="s">
        <v>35</v>
      </c>
      <c r="U68"/>
      <c r="AE68"/>
      <c r="AO68"/>
      <c r="AY68"/>
    </row>
    <row r="69" spans="1:56" ht="17.25" thickTop="1" thickBot="1" x14ac:dyDescent="0.3">
      <c r="A69" s="182">
        <f>'Descision Matrix'!DK82</f>
        <v>0</v>
      </c>
      <c r="B69" s="176" t="s">
        <v>36</v>
      </c>
      <c r="C69" s="73" t="s">
        <v>34</v>
      </c>
      <c r="D69" s="135" t="str">
        <f>'Descision Matrix'!CV82</f>
        <v>F</v>
      </c>
      <c r="E69" s="74" t="str">
        <f>'Descision Matrix'!CW82</f>
        <v>*</v>
      </c>
      <c r="F69" s="74" t="str">
        <f>'Descision Matrix'!CX82</f>
        <v>T</v>
      </c>
      <c r="G69" s="47">
        <f>'Descision Matrix'!CY82</f>
        <v>0</v>
      </c>
      <c r="H69" s="176" t="s">
        <v>36</v>
      </c>
      <c r="I69" s="73" t="s">
        <v>34</v>
      </c>
      <c r="J69" s="135" t="str">
        <f>'Descision Matrix'!DB82</f>
        <v>F</v>
      </c>
      <c r="K69" s="74" t="str">
        <f>'Descision Matrix'!DC82</f>
        <v>*</v>
      </c>
      <c r="L69" s="74" t="str">
        <f>'Descision Matrix'!DD82</f>
        <v>*</v>
      </c>
      <c r="M69" s="47">
        <f>'Descision Matrix'!DE82</f>
        <v>0</v>
      </c>
      <c r="N69" s="176" t="s">
        <v>36</v>
      </c>
      <c r="O69" s="73" t="s">
        <v>34</v>
      </c>
      <c r="P69" s="135" t="str">
        <f>'Descision Matrix'!DH82</f>
        <v>T</v>
      </c>
      <c r="Q69" s="74" t="str">
        <f>'Descision Matrix'!DI82</f>
        <v>*</v>
      </c>
      <c r="R69" s="135" t="str">
        <f>'Descision Matrix'!DJ82</f>
        <v>F</v>
      </c>
      <c r="U69"/>
      <c r="AE69"/>
      <c r="AO69"/>
      <c r="AY69"/>
    </row>
    <row r="70" spans="1:56" ht="17.25" thickTop="1" thickBot="1" x14ac:dyDescent="0.3">
      <c r="A70" s="182">
        <f>'Descision Matrix'!DK83</f>
        <v>0</v>
      </c>
      <c r="B70" s="176">
        <v>0</v>
      </c>
      <c r="C70" s="75" t="s">
        <v>31</v>
      </c>
      <c r="D70" s="76" t="str">
        <f>'Descision Matrix'!CV83</f>
        <v>*</v>
      </c>
      <c r="E70" s="134" t="str">
        <f>'Descision Matrix'!CW83</f>
        <v>F</v>
      </c>
      <c r="F70" s="76" t="str">
        <f>'Descision Matrix'!CX83</f>
        <v>*</v>
      </c>
      <c r="G70" s="47">
        <f>'Descision Matrix'!CY83</f>
        <v>0</v>
      </c>
      <c r="H70" s="176">
        <v>0</v>
      </c>
      <c r="I70" s="75" t="s">
        <v>31</v>
      </c>
      <c r="J70" s="76" t="str">
        <f>'Descision Matrix'!DB83</f>
        <v>*</v>
      </c>
      <c r="K70" s="76" t="str">
        <f>'Descision Matrix'!DC83</f>
        <v>*</v>
      </c>
      <c r="L70" s="76" t="str">
        <f>'Descision Matrix'!DD83</f>
        <v>*</v>
      </c>
      <c r="M70" s="47">
        <f>'Descision Matrix'!DE83</f>
        <v>0</v>
      </c>
      <c r="N70" s="176">
        <v>0</v>
      </c>
      <c r="O70" s="75" t="s">
        <v>31</v>
      </c>
      <c r="P70" s="76" t="str">
        <f>'Descision Matrix'!DH83</f>
        <v>*</v>
      </c>
      <c r="Q70" s="76" t="str">
        <f>'Descision Matrix'!DI83</f>
        <v>*</v>
      </c>
      <c r="R70" s="76" t="str">
        <f>'Descision Matrix'!DJ83</f>
        <v>*</v>
      </c>
      <c r="U70"/>
      <c r="AE70"/>
      <c r="AO70"/>
      <c r="AY70"/>
    </row>
    <row r="71" spans="1:56" ht="17.25" thickTop="1" thickBot="1" x14ac:dyDescent="0.3">
      <c r="A71" s="183">
        <f>'Descision Matrix'!DK84</f>
        <v>0</v>
      </c>
      <c r="B71" s="177">
        <v>0</v>
      </c>
      <c r="C71" s="127" t="s">
        <v>35</v>
      </c>
      <c r="D71" s="128" t="str">
        <f>'Descision Matrix'!CV84</f>
        <v>T</v>
      </c>
      <c r="E71" s="128" t="str">
        <f>'Descision Matrix'!CW84</f>
        <v>*</v>
      </c>
      <c r="F71" s="128" t="str">
        <f>'Descision Matrix'!CX84</f>
        <v>*</v>
      </c>
      <c r="G71" s="48">
        <f>'Descision Matrix'!CY84</f>
        <v>0</v>
      </c>
      <c r="H71" s="177">
        <v>0</v>
      </c>
      <c r="I71" s="127" t="s">
        <v>35</v>
      </c>
      <c r="J71" s="128" t="str">
        <f>'Descision Matrix'!DB84</f>
        <v>*</v>
      </c>
      <c r="K71" s="128" t="str">
        <f>'Descision Matrix'!DC84</f>
        <v>*</v>
      </c>
      <c r="L71" s="128" t="str">
        <f>'Descision Matrix'!DD84</f>
        <v>*</v>
      </c>
      <c r="M71" s="48">
        <f>'Descision Matrix'!DE84</f>
        <v>0</v>
      </c>
      <c r="N71" s="177">
        <v>0</v>
      </c>
      <c r="O71" s="127" t="s">
        <v>35</v>
      </c>
      <c r="P71" s="141" t="str">
        <f>'Descision Matrix'!DH84</f>
        <v>T</v>
      </c>
      <c r="Q71" s="128" t="str">
        <f>'Descision Matrix'!DI84</f>
        <v>*</v>
      </c>
      <c r="R71" s="128" t="str">
        <f>'Descision Matrix'!DJ84</f>
        <v>*</v>
      </c>
      <c r="U71"/>
      <c r="AE71"/>
      <c r="AO71"/>
      <c r="AY71"/>
    </row>
    <row r="72" spans="1:56" ht="16.5" thickTop="1" x14ac:dyDescent="0.25"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S72" s="13"/>
      <c r="T72" s="13"/>
      <c r="V72" s="13"/>
      <c r="W72" s="13"/>
      <c r="X72" s="13"/>
      <c r="Y72" s="13"/>
      <c r="Z72" s="13"/>
      <c r="AA72" s="13"/>
      <c r="AB72" s="13"/>
      <c r="AC72" s="13"/>
      <c r="AD72" s="13"/>
      <c r="AF72" s="13"/>
      <c r="AG72" s="13"/>
      <c r="AH72" s="13"/>
      <c r="AI72" s="13"/>
      <c r="AJ72" s="13"/>
      <c r="AK72" s="13"/>
      <c r="AL72" s="13"/>
      <c r="AM72" s="13"/>
      <c r="AN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6" x14ac:dyDescent="0.25"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S73" s="13"/>
      <c r="T73" s="13"/>
      <c r="V73" s="13"/>
      <c r="W73" s="13"/>
      <c r="X73" s="13"/>
      <c r="Y73" s="13"/>
      <c r="Z73" s="13"/>
      <c r="AA73" s="13"/>
      <c r="AB73" s="13"/>
      <c r="AC73" s="13"/>
      <c r="AD73" s="13"/>
      <c r="AF73" s="13"/>
      <c r="AG73" s="13"/>
      <c r="AH73" s="13"/>
      <c r="AI73" s="13"/>
      <c r="AJ73" s="13"/>
      <c r="AK73" s="13"/>
      <c r="AL73" s="13"/>
      <c r="AM73" s="13"/>
      <c r="AN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6" x14ac:dyDescent="0.25"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S74" s="13"/>
      <c r="T74" s="13"/>
      <c r="V74" s="13"/>
      <c r="W74" s="13"/>
      <c r="X74" s="13"/>
      <c r="Y74" s="13"/>
      <c r="Z74" s="13"/>
      <c r="AA74" s="13"/>
      <c r="AB74" s="13"/>
      <c r="AC74" s="13"/>
      <c r="AD74" s="13"/>
      <c r="AF74" s="13"/>
      <c r="AG74" s="13"/>
      <c r="AH74" s="13"/>
      <c r="AI74" s="13"/>
      <c r="AJ74" s="13"/>
      <c r="AK74" s="13"/>
      <c r="AL74" s="13"/>
      <c r="AM74" s="13"/>
      <c r="AN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6" x14ac:dyDescent="0.25"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S75" s="13"/>
      <c r="T75" s="13"/>
      <c r="V75" s="13"/>
      <c r="W75" s="13"/>
      <c r="X75" s="13"/>
      <c r="Y75" s="13"/>
      <c r="Z75" s="13"/>
      <c r="AA75" s="13"/>
      <c r="AB75" s="13"/>
      <c r="AC75" s="13"/>
      <c r="AD75" s="13"/>
      <c r="AF75" s="13"/>
      <c r="AG75" s="13"/>
      <c r="AH75" s="13"/>
      <c r="AI75" s="13"/>
      <c r="AJ75" s="13"/>
      <c r="AK75" s="13"/>
      <c r="AL75" s="13"/>
      <c r="AM75" s="13"/>
      <c r="AN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6" x14ac:dyDescent="0.25"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S76" s="13"/>
      <c r="T76" s="13"/>
      <c r="V76" s="13"/>
      <c r="W76" s="13"/>
      <c r="X76" s="13"/>
      <c r="Y76" s="13"/>
      <c r="Z76" s="13"/>
      <c r="AA76" s="13"/>
      <c r="AB76" s="13"/>
      <c r="AC76" s="13"/>
      <c r="AD76" s="13"/>
      <c r="AF76" s="13"/>
      <c r="AG76" s="13"/>
      <c r="AH76" s="13"/>
      <c r="AI76" s="13"/>
      <c r="AJ76" s="13"/>
      <c r="AK76" s="13"/>
      <c r="AL76" s="13"/>
      <c r="AM76" s="13"/>
      <c r="AN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6" x14ac:dyDescent="0.25"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S77" s="13"/>
      <c r="T77" s="13"/>
      <c r="V77" s="13"/>
      <c r="W77" s="13"/>
      <c r="X77" s="13"/>
      <c r="Y77" s="13"/>
      <c r="Z77" s="13"/>
      <c r="AA77" s="13"/>
      <c r="AB77" s="13"/>
      <c r="AC77" s="13"/>
      <c r="AD77" s="13"/>
      <c r="AF77" s="13"/>
      <c r="AG77" s="13"/>
      <c r="AH77" s="13"/>
      <c r="AI77" s="13"/>
      <c r="AJ77" s="13"/>
      <c r="AK77" s="13"/>
      <c r="AL77" s="13"/>
      <c r="AM77" s="13"/>
      <c r="AN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6" x14ac:dyDescent="0.25"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S78" s="13"/>
      <c r="T78" s="13"/>
      <c r="V78" s="13"/>
      <c r="W78" s="13"/>
      <c r="X78" s="13"/>
      <c r="Y78" s="13"/>
      <c r="Z78" s="13"/>
      <c r="AA78" s="13"/>
      <c r="AB78" s="13"/>
      <c r="AC78" s="13"/>
      <c r="AD78" s="13"/>
      <c r="AF78" s="13"/>
      <c r="AG78" s="13"/>
      <c r="AH78" s="13"/>
      <c r="AI78" s="13"/>
      <c r="AJ78" s="13"/>
      <c r="AK78" s="13"/>
      <c r="AL78" s="13"/>
      <c r="AM78" s="13"/>
      <c r="AN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1:56" x14ac:dyDescent="0.25"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S79" s="13"/>
      <c r="T79" s="13"/>
      <c r="V79" s="13"/>
      <c r="W79" s="13"/>
      <c r="X79" s="13"/>
      <c r="Y79" s="13"/>
      <c r="Z79" s="13"/>
      <c r="AA79" s="13"/>
      <c r="AB79" s="13"/>
      <c r="AC79" s="13"/>
      <c r="AD79" s="13"/>
      <c r="AF79" s="13"/>
      <c r="AG79" s="13"/>
      <c r="AH79" s="13"/>
      <c r="AI79" s="13"/>
      <c r="AJ79" s="13"/>
      <c r="AK79" s="13"/>
      <c r="AL79" s="13"/>
      <c r="AM79" s="13"/>
      <c r="AN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6" x14ac:dyDescent="0.25"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S80" s="13"/>
      <c r="T80" s="13"/>
      <c r="V80" s="13"/>
      <c r="W80" s="13"/>
      <c r="X80" s="13"/>
      <c r="Y80" s="13"/>
      <c r="Z80" s="13"/>
      <c r="AA80" s="13"/>
      <c r="AB80" s="13"/>
      <c r="AC80" s="13"/>
      <c r="AD80" s="13"/>
      <c r="AF80" s="13"/>
      <c r="AG80" s="13"/>
      <c r="AH80" s="13"/>
      <c r="AI80" s="13"/>
      <c r="AJ80" s="13"/>
      <c r="AK80" s="13"/>
      <c r="AL80" s="13"/>
      <c r="AM80" s="13"/>
      <c r="AN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3:50" x14ac:dyDescent="0.25"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S81" s="13"/>
      <c r="T81" s="13"/>
      <c r="V81" s="13"/>
      <c r="W81" s="13"/>
      <c r="X81" s="13"/>
      <c r="Y81" s="13"/>
      <c r="Z81" s="13"/>
      <c r="AA81" s="13"/>
      <c r="AB81" s="13"/>
      <c r="AC81" s="13"/>
      <c r="AD81" s="13"/>
      <c r="AF81" s="13"/>
      <c r="AG81" s="13"/>
      <c r="AH81" s="13"/>
      <c r="AI81" s="13"/>
      <c r="AJ81" s="13"/>
      <c r="AK81" s="13"/>
      <c r="AL81" s="13"/>
      <c r="AM81" s="13"/>
      <c r="AN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3:50" x14ac:dyDescent="0.25"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S82" s="13"/>
      <c r="T82" s="13"/>
      <c r="V82" s="13"/>
      <c r="W82" s="13"/>
      <c r="X82" s="13"/>
      <c r="Y82" s="13"/>
      <c r="Z82" s="13"/>
      <c r="AA82" s="13"/>
      <c r="AB82" s="13"/>
      <c r="AC82" s="13"/>
      <c r="AD82" s="13"/>
      <c r="AF82" s="13"/>
      <c r="AG82" s="13"/>
      <c r="AH82" s="13"/>
      <c r="AI82" s="13"/>
      <c r="AJ82" s="13"/>
      <c r="AK82" s="13"/>
      <c r="AL82" s="13"/>
      <c r="AM82" s="13"/>
      <c r="AN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3:50" x14ac:dyDescent="0.25"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S83" s="13"/>
      <c r="T83" s="13"/>
      <c r="V83" s="13"/>
      <c r="W83" s="13"/>
      <c r="X83" s="13"/>
      <c r="Y83" s="13"/>
      <c r="Z83" s="13"/>
      <c r="AA83" s="13"/>
      <c r="AB83" s="13"/>
      <c r="AC83" s="13"/>
      <c r="AD83" s="13"/>
      <c r="AF83" s="13"/>
      <c r="AG83" s="13"/>
      <c r="AH83" s="13"/>
      <c r="AI83" s="13"/>
      <c r="AJ83" s="13"/>
      <c r="AK83" s="13"/>
      <c r="AL83" s="13"/>
      <c r="AM83" s="13"/>
      <c r="AN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3:50" x14ac:dyDescent="0.25">
      <c r="S84" s="13"/>
      <c r="T84" s="13"/>
      <c r="V84" s="13"/>
      <c r="W84" s="13"/>
      <c r="X84" s="13"/>
      <c r="Y84" s="13"/>
      <c r="Z84" s="13"/>
      <c r="AA84" s="13"/>
      <c r="AB84" s="13"/>
      <c r="AC84" s="13"/>
      <c r="AD84" s="13"/>
      <c r="AF84" s="13"/>
      <c r="AG84" s="13"/>
      <c r="AH84" s="13"/>
      <c r="AI84" s="13"/>
      <c r="AJ84" s="13"/>
      <c r="AK84" s="13"/>
      <c r="AL84" s="13"/>
      <c r="AM84" s="13"/>
      <c r="AN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3:50" x14ac:dyDescent="0.25">
      <c r="S85" s="13"/>
      <c r="T85" s="13"/>
      <c r="V85" s="13"/>
      <c r="W85" s="13"/>
      <c r="X85" s="13"/>
      <c r="Y85" s="13"/>
      <c r="Z85" s="13"/>
      <c r="AA85" s="13"/>
      <c r="AB85" s="13"/>
      <c r="AC85" s="13"/>
      <c r="AD85" s="13"/>
      <c r="AF85" s="13"/>
      <c r="AG85" s="13"/>
      <c r="AH85" s="13"/>
      <c r="AI85" s="13"/>
      <c r="AJ85" s="13"/>
      <c r="AK85" s="13"/>
      <c r="AL85" s="13"/>
      <c r="AM85" s="13"/>
      <c r="AN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3:50" x14ac:dyDescent="0.25">
      <c r="S86" s="13"/>
      <c r="T86" s="13"/>
      <c r="V86" s="13"/>
      <c r="W86" s="13"/>
      <c r="X86" s="13"/>
      <c r="Y86" s="13"/>
      <c r="Z86" s="13"/>
      <c r="AA86" s="13"/>
      <c r="AB86" s="13"/>
      <c r="AC86" s="13"/>
      <c r="AD86" s="13"/>
      <c r="AF86" s="13"/>
      <c r="AG86" s="13"/>
      <c r="AH86" s="13"/>
      <c r="AI86" s="13"/>
      <c r="AJ86" s="13"/>
      <c r="AK86" s="13"/>
      <c r="AL86" s="13"/>
      <c r="AM86" s="13"/>
      <c r="AN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3:50" x14ac:dyDescent="0.25">
      <c r="S87" s="13"/>
      <c r="T87" s="13"/>
      <c r="V87" s="13"/>
      <c r="W87" s="13"/>
      <c r="X87" s="13"/>
      <c r="Y87" s="13"/>
      <c r="Z87" s="13"/>
      <c r="AA87" s="13"/>
      <c r="AB87" s="13"/>
      <c r="AC87" s="13"/>
      <c r="AD87" s="13"/>
      <c r="AF87" s="13"/>
      <c r="AG87" s="13"/>
      <c r="AH87" s="13"/>
      <c r="AI87" s="13"/>
      <c r="AJ87" s="13"/>
      <c r="AK87" s="13"/>
      <c r="AL87" s="13"/>
      <c r="AM87" s="13"/>
      <c r="AN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3:50" x14ac:dyDescent="0.25">
      <c r="S88" s="13"/>
      <c r="T88" s="13"/>
      <c r="V88" s="13"/>
      <c r="W88" s="13"/>
      <c r="X88" s="13"/>
      <c r="Y88" s="13"/>
      <c r="Z88" s="13"/>
      <c r="AA88" s="13"/>
      <c r="AB88" s="13"/>
      <c r="AC88" s="13"/>
      <c r="AD88" s="13"/>
      <c r="AF88" s="13"/>
      <c r="AG88" s="13"/>
      <c r="AH88" s="13"/>
      <c r="AI88" s="13"/>
      <c r="AJ88" s="13"/>
      <c r="AK88" s="13"/>
      <c r="AL88" s="13"/>
      <c r="AM88" s="13"/>
      <c r="AN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3:50" x14ac:dyDescent="0.25">
      <c r="S89" s="13"/>
      <c r="T89" s="13"/>
      <c r="V89" s="13"/>
      <c r="W89" s="13"/>
      <c r="X89" s="13"/>
      <c r="Y89" s="13"/>
      <c r="Z89" s="13"/>
      <c r="AA89" s="13"/>
      <c r="AB89" s="13"/>
      <c r="AC89" s="13"/>
      <c r="AD89" s="13"/>
      <c r="AF89" s="13"/>
      <c r="AG89" s="13"/>
      <c r="AH89" s="13"/>
      <c r="AI89" s="13"/>
      <c r="AJ89" s="13"/>
      <c r="AK89" s="13"/>
      <c r="AL89" s="13"/>
      <c r="AM89" s="13"/>
      <c r="AN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3:50" x14ac:dyDescent="0.25">
      <c r="S90" s="13"/>
      <c r="T90" s="13"/>
      <c r="V90" s="13"/>
      <c r="W90" s="13"/>
      <c r="X90" s="13"/>
      <c r="Y90" s="13"/>
      <c r="Z90" s="13"/>
      <c r="AA90" s="13"/>
      <c r="AB90" s="13"/>
      <c r="AC90" s="13"/>
      <c r="AD90" s="13"/>
      <c r="AF90" s="13"/>
      <c r="AG90" s="13"/>
      <c r="AH90" s="13"/>
      <c r="AI90" s="13"/>
      <c r="AJ90" s="13"/>
      <c r="AK90" s="13"/>
      <c r="AL90" s="13"/>
      <c r="AM90" s="13"/>
      <c r="AN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3:50" x14ac:dyDescent="0.25">
      <c r="S91" s="13"/>
      <c r="T91" s="13"/>
      <c r="V91" s="13"/>
      <c r="W91" s="13"/>
      <c r="X91" s="13"/>
      <c r="Y91" s="13"/>
      <c r="Z91" s="13"/>
      <c r="AA91" s="13"/>
      <c r="AB91" s="13"/>
      <c r="AC91" s="13"/>
      <c r="AD91" s="13"/>
      <c r="AF91" s="13"/>
      <c r="AG91" s="13"/>
      <c r="AH91" s="13"/>
      <c r="AI91" s="13"/>
      <c r="AJ91" s="13"/>
      <c r="AK91" s="13"/>
      <c r="AL91" s="13"/>
      <c r="AM91" s="13"/>
      <c r="AN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3:50" x14ac:dyDescent="0.25">
      <c r="S92" s="13"/>
      <c r="T92" s="13"/>
      <c r="V92" s="13"/>
      <c r="W92" s="13"/>
      <c r="X92" s="13"/>
      <c r="Y92" s="13"/>
      <c r="Z92" s="13"/>
      <c r="AA92" s="13"/>
      <c r="AB92" s="13"/>
      <c r="AC92" s="13"/>
      <c r="AD92" s="13"/>
      <c r="AF92" s="13"/>
      <c r="AG92" s="13"/>
      <c r="AH92" s="13"/>
      <c r="AI92" s="13"/>
      <c r="AJ92" s="13"/>
      <c r="AK92" s="13"/>
      <c r="AL92" s="13"/>
      <c r="AM92" s="13"/>
      <c r="AN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3:50" x14ac:dyDescent="0.25">
      <c r="S93" s="13"/>
      <c r="T93" s="13"/>
      <c r="V93" s="13"/>
      <c r="W93" s="13"/>
      <c r="X93" s="13"/>
      <c r="Y93" s="13"/>
      <c r="Z93" s="13"/>
      <c r="AA93" s="13"/>
      <c r="AB93" s="13"/>
      <c r="AC93" s="13"/>
      <c r="AD93" s="13"/>
      <c r="AF93" s="13"/>
      <c r="AG93" s="13"/>
      <c r="AH93" s="13"/>
      <c r="AI93" s="13"/>
      <c r="AJ93" s="13"/>
      <c r="AK93" s="13"/>
      <c r="AL93" s="13"/>
      <c r="AM93" s="13"/>
      <c r="AN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3:50" x14ac:dyDescent="0.25">
      <c r="S94" s="13"/>
      <c r="T94" s="13"/>
      <c r="V94" s="13"/>
      <c r="W94" s="13"/>
      <c r="X94" s="13"/>
      <c r="Y94" s="13"/>
      <c r="Z94" s="13"/>
      <c r="AA94" s="13"/>
      <c r="AB94" s="13"/>
      <c r="AC94" s="13"/>
      <c r="AD94" s="13"/>
      <c r="AF94" s="13"/>
      <c r="AG94" s="13"/>
      <c r="AH94" s="13"/>
      <c r="AI94" s="13"/>
      <c r="AJ94" s="13"/>
      <c r="AK94" s="13"/>
      <c r="AL94" s="13"/>
      <c r="AM94" s="13"/>
      <c r="AN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3:50" x14ac:dyDescent="0.25">
      <c r="S95" s="13"/>
      <c r="T95" s="13"/>
      <c r="V95" s="13"/>
      <c r="W95" s="13"/>
      <c r="X95" s="13"/>
      <c r="Y95" s="13"/>
      <c r="Z95" s="13"/>
      <c r="AA95" s="13"/>
      <c r="AB95" s="13"/>
      <c r="AC95" s="13"/>
      <c r="AD95" s="13"/>
      <c r="AF95" s="13"/>
      <c r="AG95" s="13"/>
      <c r="AH95" s="13"/>
      <c r="AI95" s="13"/>
      <c r="AJ95" s="13"/>
      <c r="AK95" s="13"/>
      <c r="AL95" s="13"/>
      <c r="AM95" s="13"/>
      <c r="AN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3:50" x14ac:dyDescent="0.25">
      <c r="S96" s="13"/>
      <c r="T96" s="13"/>
      <c r="V96" s="13"/>
      <c r="W96" s="13"/>
      <c r="X96" s="13"/>
      <c r="Y96" s="13"/>
      <c r="Z96" s="13"/>
      <c r="AA96" s="13"/>
      <c r="AB96" s="13"/>
      <c r="AC96" s="13"/>
      <c r="AD96" s="13"/>
      <c r="AF96" s="13"/>
      <c r="AG96" s="13"/>
      <c r="AH96" s="13"/>
      <c r="AI96" s="13"/>
      <c r="AJ96" s="13"/>
      <c r="AK96" s="13"/>
      <c r="AL96" s="13"/>
      <c r="AM96" s="13"/>
      <c r="AN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19:51" x14ac:dyDescent="0.25">
      <c r="S97" s="13"/>
      <c r="T97" s="13"/>
      <c r="V97" s="13"/>
      <c r="W97" s="13"/>
      <c r="X97" s="13"/>
      <c r="Y97" s="13"/>
      <c r="Z97" s="13"/>
      <c r="AA97" s="13"/>
      <c r="AB97" s="13"/>
      <c r="AC97" s="13"/>
      <c r="AD97" s="13"/>
      <c r="AF97" s="13"/>
      <c r="AG97" s="13"/>
      <c r="AH97" s="13"/>
      <c r="AI97" s="13"/>
      <c r="AJ97" s="13"/>
      <c r="AK97" s="13"/>
      <c r="AL97" s="13"/>
      <c r="AM97" s="13"/>
      <c r="AN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19:51" x14ac:dyDescent="0.25">
      <c r="S98" s="13"/>
      <c r="T98" s="13"/>
      <c r="V98" s="13"/>
      <c r="W98" s="13"/>
      <c r="X98" s="13"/>
      <c r="Y98" s="13"/>
      <c r="Z98" s="13"/>
      <c r="AA98" s="13"/>
      <c r="AB98" s="13"/>
      <c r="AC98" s="13"/>
      <c r="AD98" s="13"/>
      <c r="AF98" s="13"/>
      <c r="AG98" s="13"/>
      <c r="AH98" s="13"/>
      <c r="AI98" s="13"/>
      <c r="AJ98" s="13"/>
      <c r="AK98" s="13"/>
      <c r="AL98" s="13"/>
      <c r="AM98" s="13"/>
      <c r="AN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19:51" x14ac:dyDescent="0.25">
      <c r="S99" s="13"/>
      <c r="T99" s="13"/>
      <c r="V99" s="13"/>
      <c r="W99" s="13"/>
      <c r="X99" s="13"/>
      <c r="Y99" s="13"/>
      <c r="Z99" s="13"/>
      <c r="AA99" s="13"/>
      <c r="AB99" s="13"/>
      <c r="AC99" s="13"/>
      <c r="AD99" s="13"/>
      <c r="AF99" s="13"/>
      <c r="AG99" s="13"/>
      <c r="AH99" s="13"/>
      <c r="AI99" s="13"/>
      <c r="AJ99" s="13"/>
      <c r="AK99" s="13"/>
      <c r="AL99" s="13"/>
      <c r="AM99" s="13"/>
      <c r="AN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19:51" x14ac:dyDescent="0.25">
      <c r="S100" s="13"/>
      <c r="T100" s="13"/>
      <c r="V100" s="13"/>
      <c r="W100" s="13"/>
      <c r="X100" s="13"/>
      <c r="Y100" s="13"/>
      <c r="Z100" s="13"/>
      <c r="AA100" s="13"/>
      <c r="AB100" s="13"/>
      <c r="AC100" s="13"/>
      <c r="AD100" s="13"/>
      <c r="AF100" s="13"/>
      <c r="AG100" s="13"/>
      <c r="AH100" s="13"/>
      <c r="AI100" s="13"/>
      <c r="AJ100" s="13"/>
      <c r="AK100" s="13"/>
      <c r="AL100" s="13"/>
      <c r="AM100" s="13"/>
      <c r="AN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19:51" x14ac:dyDescent="0.25">
      <c r="S101" s="13"/>
      <c r="T101" s="13"/>
      <c r="V101" s="13"/>
      <c r="W101" s="13"/>
      <c r="X101" s="13"/>
      <c r="Y101" s="13"/>
      <c r="Z101" s="13"/>
      <c r="AA101" s="13"/>
      <c r="AB101" s="13"/>
      <c r="AC101" s="13"/>
      <c r="AD101" s="13"/>
      <c r="AF101" s="13"/>
      <c r="AG101" s="13"/>
      <c r="AH101" s="13"/>
      <c r="AI101" s="13"/>
      <c r="AJ101" s="13"/>
      <c r="AK101" s="13"/>
      <c r="AL101" s="13"/>
      <c r="AM101" s="13"/>
      <c r="AN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19:51" x14ac:dyDescent="0.25">
      <c r="S102" s="13"/>
      <c r="T102" s="13"/>
      <c r="V102" s="13"/>
      <c r="W102" s="13"/>
      <c r="X102" s="13"/>
      <c r="Y102" s="13"/>
      <c r="Z102" s="13"/>
      <c r="AA102" s="13"/>
      <c r="AB102" s="13"/>
      <c r="AC102" s="13"/>
      <c r="AD102" s="13"/>
      <c r="AF102" s="13"/>
      <c r="AG102" s="13"/>
      <c r="AH102" s="13"/>
      <c r="AI102" s="13"/>
      <c r="AJ102" s="13"/>
      <c r="AK102" s="13"/>
      <c r="AL102" s="13"/>
      <c r="AM102" s="13"/>
      <c r="AN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19:51" x14ac:dyDescent="0.25">
      <c r="S103" s="13"/>
      <c r="T103" s="13"/>
      <c r="V103" s="13"/>
      <c r="W103" s="13"/>
      <c r="X103" s="13"/>
      <c r="Y103" s="13"/>
      <c r="Z103" s="13"/>
      <c r="AA103" s="13"/>
      <c r="AB103" s="13"/>
      <c r="AC103" s="13"/>
      <c r="AD103" s="13"/>
      <c r="AF103" s="13"/>
      <c r="AG103" s="13"/>
      <c r="AH103" s="13"/>
      <c r="AI103" s="13"/>
      <c r="AJ103" s="13"/>
      <c r="AK103" s="13"/>
      <c r="AL103" s="13"/>
      <c r="AM103" s="13"/>
      <c r="AN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19:51" x14ac:dyDescent="0.25">
      <c r="S104" s="13"/>
      <c r="T104" s="13"/>
      <c r="V104" s="13"/>
      <c r="W104" s="13"/>
      <c r="X104" s="13"/>
      <c r="Y104" s="13"/>
      <c r="Z104" s="13"/>
      <c r="AA104" s="13"/>
      <c r="AB104" s="13"/>
      <c r="AC104" s="13"/>
      <c r="AD104" s="13"/>
      <c r="AF104" s="13"/>
      <c r="AG104" s="13"/>
      <c r="AH104" s="13"/>
      <c r="AI104" s="13"/>
      <c r="AJ104" s="13"/>
      <c r="AK104" s="13"/>
      <c r="AL104" s="13"/>
      <c r="AM104" s="13"/>
      <c r="AN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19:51" x14ac:dyDescent="0.25">
      <c r="S105" s="13"/>
      <c r="T105" s="13"/>
      <c r="V105" s="13"/>
      <c r="W105" s="13"/>
      <c r="X105" s="13"/>
      <c r="Y105" s="13"/>
      <c r="Z105" s="13"/>
      <c r="AA105" s="13"/>
      <c r="AB105" s="13"/>
      <c r="AC105" s="13"/>
      <c r="AD105" s="13"/>
      <c r="AF105" s="13"/>
      <c r="AG105" s="13"/>
      <c r="AH105" s="13"/>
      <c r="AI105" s="13"/>
      <c r="AJ105" s="13"/>
      <c r="AK105" s="13"/>
      <c r="AL105" s="13"/>
      <c r="AM105" s="13"/>
      <c r="AN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19:51" x14ac:dyDescent="0.25">
      <c r="U106" s="14"/>
      <c r="AE106" s="14"/>
      <c r="AO106" s="14"/>
      <c r="AY106" s="14"/>
    </row>
    <row r="107" spans="19:51" x14ac:dyDescent="0.25">
      <c r="U107" s="14"/>
      <c r="AE107" s="14"/>
      <c r="AO107" s="14"/>
      <c r="AY107" s="14"/>
    </row>
    <row r="108" spans="19:51" x14ac:dyDescent="0.25">
      <c r="U108" s="14"/>
      <c r="AE108" s="14"/>
      <c r="AO108" s="14"/>
      <c r="AY108" s="14"/>
    </row>
    <row r="109" spans="19:51" x14ac:dyDescent="0.25">
      <c r="U109" s="14"/>
      <c r="AE109" s="14"/>
      <c r="AO109" s="14"/>
      <c r="AY109" s="14"/>
    </row>
    <row r="110" spans="19:51" x14ac:dyDescent="0.25">
      <c r="U110" s="14"/>
      <c r="AE110" s="14"/>
      <c r="AO110" s="14"/>
      <c r="AY110" s="14"/>
    </row>
    <row r="111" spans="19:51" x14ac:dyDescent="0.25">
      <c r="U111" s="14"/>
      <c r="AE111" s="14"/>
      <c r="AO111" s="14"/>
      <c r="AY111" s="14"/>
    </row>
    <row r="112" spans="19:51" x14ac:dyDescent="0.25">
      <c r="U112" s="14"/>
      <c r="AE112" s="14"/>
      <c r="AO112" s="14"/>
      <c r="AY112" s="14"/>
    </row>
    <row r="113" spans="21:51" x14ac:dyDescent="0.25">
      <c r="U113" s="14"/>
      <c r="AE113" s="14"/>
      <c r="AO113" s="14"/>
      <c r="AY113" s="14"/>
    </row>
    <row r="114" spans="21:51" x14ac:dyDescent="0.25">
      <c r="U114" s="14"/>
      <c r="AE114" s="14"/>
      <c r="AO114" s="14"/>
      <c r="AY114" s="14"/>
    </row>
    <row r="115" spans="21:51" x14ac:dyDescent="0.25">
      <c r="U115" s="14"/>
      <c r="AE115" s="14"/>
      <c r="AO115" s="14"/>
      <c r="AY115" s="14"/>
    </row>
  </sheetData>
  <mergeCells count="101">
    <mergeCell ref="J2:L2"/>
    <mergeCell ref="P2:R2"/>
    <mergeCell ref="A2:A6"/>
    <mergeCell ref="D2:F2"/>
    <mergeCell ref="B4:B6"/>
    <mergeCell ref="A7:A11"/>
    <mergeCell ref="B9:B11"/>
    <mergeCell ref="H9:H11"/>
    <mergeCell ref="N9:N11"/>
    <mergeCell ref="H4:H6"/>
    <mergeCell ref="N4:N6"/>
    <mergeCell ref="D7:F7"/>
    <mergeCell ref="J7:L7"/>
    <mergeCell ref="P7:R7"/>
    <mergeCell ref="D17:F17"/>
    <mergeCell ref="J17:L17"/>
    <mergeCell ref="P17:R17"/>
    <mergeCell ref="A17:A21"/>
    <mergeCell ref="B19:B21"/>
    <mergeCell ref="H19:H21"/>
    <mergeCell ref="N19:N21"/>
    <mergeCell ref="D12:F12"/>
    <mergeCell ref="J12:L12"/>
    <mergeCell ref="P12:R12"/>
    <mergeCell ref="A12:A16"/>
    <mergeCell ref="B14:B16"/>
    <mergeCell ref="H14:H16"/>
    <mergeCell ref="N14:N16"/>
    <mergeCell ref="P27:R27"/>
    <mergeCell ref="A27:A31"/>
    <mergeCell ref="B29:B31"/>
    <mergeCell ref="H29:H31"/>
    <mergeCell ref="N29:N31"/>
    <mergeCell ref="N24:N26"/>
    <mergeCell ref="D27:F27"/>
    <mergeCell ref="J27:L27"/>
    <mergeCell ref="P22:R22"/>
    <mergeCell ref="A22:A26"/>
    <mergeCell ref="D22:F22"/>
    <mergeCell ref="J22:L22"/>
    <mergeCell ref="B24:B26"/>
    <mergeCell ref="H24:H26"/>
    <mergeCell ref="B39:B41"/>
    <mergeCell ref="H39:H41"/>
    <mergeCell ref="N39:N41"/>
    <mergeCell ref="D42:F42"/>
    <mergeCell ref="D37:F37"/>
    <mergeCell ref="J37:L37"/>
    <mergeCell ref="P37:R37"/>
    <mergeCell ref="A37:A41"/>
    <mergeCell ref="J32:L32"/>
    <mergeCell ref="P32:R32"/>
    <mergeCell ref="A32:A36"/>
    <mergeCell ref="B34:B36"/>
    <mergeCell ref="H34:H36"/>
    <mergeCell ref="N34:N36"/>
    <mergeCell ref="D32:F32"/>
    <mergeCell ref="D47:F47"/>
    <mergeCell ref="J47:L47"/>
    <mergeCell ref="P47:R47"/>
    <mergeCell ref="A47:A51"/>
    <mergeCell ref="J42:L42"/>
    <mergeCell ref="P42:R42"/>
    <mergeCell ref="A42:A46"/>
    <mergeCell ref="B44:B46"/>
    <mergeCell ref="H44:H46"/>
    <mergeCell ref="N44:N46"/>
    <mergeCell ref="J52:L52"/>
    <mergeCell ref="P52:R52"/>
    <mergeCell ref="A52:A56"/>
    <mergeCell ref="B54:B56"/>
    <mergeCell ref="H54:H56"/>
    <mergeCell ref="N54:N56"/>
    <mergeCell ref="B49:B51"/>
    <mergeCell ref="H49:H51"/>
    <mergeCell ref="N49:N51"/>
    <mergeCell ref="D52:F52"/>
    <mergeCell ref="V1:AD1"/>
    <mergeCell ref="AF1:AN1"/>
    <mergeCell ref="AP1:AX1"/>
    <mergeCell ref="D67:F67"/>
    <mergeCell ref="J67:L67"/>
    <mergeCell ref="P67:R67"/>
    <mergeCell ref="A67:A71"/>
    <mergeCell ref="B69:B71"/>
    <mergeCell ref="H69:H71"/>
    <mergeCell ref="N69:N71"/>
    <mergeCell ref="A62:A66"/>
    <mergeCell ref="B64:B66"/>
    <mergeCell ref="H64:H66"/>
    <mergeCell ref="N64:N66"/>
    <mergeCell ref="D62:F62"/>
    <mergeCell ref="J62:L62"/>
    <mergeCell ref="P62:R62"/>
    <mergeCell ref="B59:B61"/>
    <mergeCell ref="H59:H61"/>
    <mergeCell ref="N59:N61"/>
    <mergeCell ref="D57:F57"/>
    <mergeCell ref="J57:L57"/>
    <mergeCell ref="P57:R57"/>
    <mergeCell ref="A57:A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EC27-B201-48E7-B718-C1C0D681B722}">
  <dimension ref="A1:BR73"/>
  <sheetViews>
    <sheetView showGridLines="0" topLeftCell="L1" workbookViewId="0">
      <selection activeCell="T33" sqref="T33:T37"/>
    </sheetView>
  </sheetViews>
  <sheetFormatPr defaultRowHeight="15" customHeight="1" x14ac:dyDescent="0.25"/>
  <cols>
    <col min="1" max="1" width="19.140625" customWidth="1"/>
    <col min="2" max="2" width="2.28515625" style="14" bestFit="1" customWidth="1"/>
    <col min="3" max="3" width="2.28515625" style="13" bestFit="1" customWidth="1"/>
    <col min="4" max="4" width="2.140625" style="13" bestFit="1" customWidth="1"/>
    <col min="5" max="5" width="2.28515625" style="13" bestFit="1" customWidth="1"/>
    <col min="6" max="6" width="2.140625" style="13" bestFit="1" customWidth="1"/>
    <col min="7" max="7" width="0.85546875" style="13" customWidth="1"/>
    <col min="8" max="9" width="2.28515625" style="13" bestFit="1" customWidth="1"/>
    <col min="10" max="10" width="2.140625" style="13" bestFit="1" customWidth="1"/>
    <col min="11" max="11" width="2.28515625" style="13" bestFit="1" customWidth="1"/>
    <col min="12" max="12" width="2.140625" style="13" bestFit="1" customWidth="1"/>
    <col min="13" max="13" width="0.85546875" style="13" customWidth="1"/>
    <col min="14" max="15" width="2.28515625" style="13" bestFit="1" customWidth="1"/>
    <col min="16" max="16" width="2.140625" style="13" bestFit="1" customWidth="1"/>
    <col min="17" max="17" width="2.28515625" style="13" bestFit="1" customWidth="1"/>
    <col min="18" max="18" width="2.140625" style="13" bestFit="1" customWidth="1"/>
    <col min="20" max="20" width="19.140625" customWidth="1"/>
    <col min="21" max="21" width="2.28515625" style="14" bestFit="1" customWidth="1"/>
    <col min="22" max="22" width="2.28515625" style="13" bestFit="1" customWidth="1"/>
    <col min="23" max="23" width="2.140625" style="13" bestFit="1" customWidth="1"/>
    <col min="24" max="24" width="2.28515625" style="13" bestFit="1" customWidth="1"/>
    <col min="25" max="25" width="2.140625" style="13" bestFit="1" customWidth="1"/>
    <col min="26" max="26" width="0.85546875" style="13" customWidth="1"/>
    <col min="27" max="28" width="2.28515625" style="13" bestFit="1" customWidth="1"/>
    <col min="29" max="29" width="2.140625" style="13" bestFit="1" customWidth="1"/>
    <col min="30" max="30" width="2.28515625" style="13" bestFit="1" customWidth="1"/>
    <col min="31" max="31" width="2.140625" style="13" bestFit="1" customWidth="1"/>
    <col min="32" max="32" width="0.85546875" style="13" customWidth="1"/>
    <col min="33" max="34" width="2.28515625" style="13" bestFit="1" customWidth="1"/>
    <col min="35" max="35" width="2.140625" style="13" bestFit="1" customWidth="1"/>
    <col min="36" max="36" width="2.28515625" style="13" bestFit="1" customWidth="1"/>
    <col min="37" max="37" width="2.140625" style="13" bestFit="1" customWidth="1"/>
    <col min="39" max="39" width="19.7109375" customWidth="1"/>
    <col min="40" max="40" width="0.85546875" style="13" customWidth="1"/>
    <col min="41" max="49" width="2.28515625" customWidth="1"/>
    <col min="50" max="50" width="0.85546875" style="13" customWidth="1"/>
    <col min="51" max="59" width="2.28515625" customWidth="1"/>
    <col min="60" max="60" width="0.85546875" style="13" customWidth="1"/>
    <col min="61" max="69" width="2.28515625" customWidth="1"/>
    <col min="70" max="70" width="0.85546875" style="13" customWidth="1"/>
  </cols>
  <sheetData>
    <row r="1" spans="1:70" ht="20.25" thickBot="1" x14ac:dyDescent="0.35">
      <c r="A1" s="216" t="s">
        <v>67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T1" s="216" t="s">
        <v>66</v>
      </c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</row>
    <row r="2" spans="1:70" s="13" customFormat="1" ht="15" customHeight="1" thickTop="1" thickBot="1" x14ac:dyDescent="0.3">
      <c r="A2"/>
      <c r="B2" s="213" t="s">
        <v>51</v>
      </c>
      <c r="C2" s="213"/>
      <c r="D2" s="213"/>
      <c r="E2" s="213"/>
      <c r="F2" s="213"/>
      <c r="G2" s="45"/>
      <c r="H2" s="214" t="s">
        <v>52</v>
      </c>
      <c r="I2" s="214"/>
      <c r="J2" s="214"/>
      <c r="K2" s="214"/>
      <c r="L2" s="214"/>
      <c r="N2" s="213" t="s">
        <v>53</v>
      </c>
      <c r="O2" s="213"/>
      <c r="P2" s="213"/>
      <c r="Q2" s="213"/>
      <c r="R2" s="213"/>
      <c r="S2"/>
      <c r="T2"/>
      <c r="U2" s="213" t="s">
        <v>51</v>
      </c>
      <c r="V2" s="213"/>
      <c r="W2" s="213"/>
      <c r="X2" s="213"/>
      <c r="Y2" s="213"/>
      <c r="Z2" s="45"/>
      <c r="AA2" s="214" t="s">
        <v>52</v>
      </c>
      <c r="AB2" s="214"/>
      <c r="AC2" s="214"/>
      <c r="AD2" s="214"/>
      <c r="AE2" s="214"/>
      <c r="AG2" s="213" t="s">
        <v>53</v>
      </c>
      <c r="AH2" s="213"/>
      <c r="AI2" s="213"/>
      <c r="AJ2" s="213"/>
      <c r="AK2" s="213"/>
      <c r="AL2"/>
      <c r="AM2"/>
      <c r="AO2" s="205" t="s">
        <v>48</v>
      </c>
      <c r="AP2" s="205"/>
      <c r="AQ2" s="205"/>
      <c r="AR2" s="205"/>
      <c r="AS2" s="205"/>
      <c r="AT2" s="205"/>
      <c r="AU2" s="205"/>
      <c r="AV2" s="205"/>
      <c r="AW2" s="205"/>
      <c r="AY2" s="205" t="s">
        <v>49</v>
      </c>
      <c r="AZ2" s="205"/>
      <c r="BA2" s="205"/>
      <c r="BB2" s="205"/>
      <c r="BC2" s="205"/>
      <c r="BD2" s="205"/>
      <c r="BE2" s="205"/>
      <c r="BF2" s="205"/>
      <c r="BG2" s="205"/>
      <c r="BI2" s="205" t="s">
        <v>50</v>
      </c>
      <c r="BJ2" s="205"/>
      <c r="BK2" s="205"/>
      <c r="BL2" s="205"/>
      <c r="BM2" s="205"/>
      <c r="BN2" s="205"/>
      <c r="BO2" s="205"/>
      <c r="BP2" s="205"/>
      <c r="BQ2" s="205"/>
    </row>
    <row r="3" spans="1:70" s="13" customFormat="1" ht="15" customHeight="1" thickTop="1" thickBot="1" x14ac:dyDescent="0.3">
      <c r="A3" s="194" t="str">
        <f>'DE-9IM Matrixes'!A2</f>
        <v>A Overlaps B</v>
      </c>
      <c r="B3" s="20"/>
      <c r="C3" s="11"/>
      <c r="D3" s="206" t="s">
        <v>31</v>
      </c>
      <c r="E3" s="206"/>
      <c r="F3" s="206"/>
      <c r="G3" s="12"/>
      <c r="H3" s="11"/>
      <c r="I3" s="11"/>
      <c r="J3" s="206" t="s">
        <v>31</v>
      </c>
      <c r="K3" s="206"/>
      <c r="L3" s="206"/>
      <c r="M3" s="12"/>
      <c r="N3" s="11"/>
      <c r="O3" s="11"/>
      <c r="P3" s="206" t="s">
        <v>31</v>
      </c>
      <c r="Q3" s="206"/>
      <c r="R3" s="206"/>
      <c r="S3"/>
      <c r="T3" s="194" t="str">
        <f>SUBSTITUTE(SUBSTITUTE(SUBSTITUTE(SUBSTITUTE(A3,"A","x"),"B","A"),"x","B"),"Ao","Bo")</f>
        <v>B Overlaps A</v>
      </c>
      <c r="U3" s="20"/>
      <c r="V3" s="11"/>
      <c r="W3" s="206" t="s">
        <v>31</v>
      </c>
      <c r="X3" s="206"/>
      <c r="Y3" s="206"/>
      <c r="Z3" s="12"/>
      <c r="AA3" s="11"/>
      <c r="AB3" s="11"/>
      <c r="AC3" s="206" t="s">
        <v>31</v>
      </c>
      <c r="AD3" s="206"/>
      <c r="AE3" s="206"/>
      <c r="AF3" s="12"/>
      <c r="AG3" s="11"/>
      <c r="AH3" s="11"/>
      <c r="AI3" s="206" t="s">
        <v>31</v>
      </c>
      <c r="AJ3" s="206"/>
      <c r="AK3" s="206"/>
      <c r="AL3"/>
      <c r="AM3" s="24" t="str">
        <f>A3</f>
        <v>A Overlaps B</v>
      </c>
      <c r="AN3" s="25"/>
      <c r="AO3" s="83" t="str">
        <f>D5</f>
        <v>T</v>
      </c>
      <c r="AP3" s="86" t="str">
        <f t="shared" ref="AP3:AQ3" si="0">E5</f>
        <v>*</v>
      </c>
      <c r="AQ3" s="88" t="str">
        <f t="shared" si="0"/>
        <v>T</v>
      </c>
      <c r="AR3" s="87" t="str">
        <f>D6</f>
        <v>*</v>
      </c>
      <c r="AS3" s="84" t="str">
        <f t="shared" ref="AS3:AT3" si="1">E6</f>
        <v>*</v>
      </c>
      <c r="AT3" s="90" t="str">
        <f t="shared" si="1"/>
        <v>*</v>
      </c>
      <c r="AU3" s="80" t="str">
        <f>D7</f>
        <v>T</v>
      </c>
      <c r="AV3" s="82" t="str">
        <f t="shared" ref="AV3:AW3" si="2">E7</f>
        <v>*</v>
      </c>
      <c r="AW3" s="85" t="str">
        <f t="shared" si="2"/>
        <v>*</v>
      </c>
      <c r="AX3" s="25"/>
      <c r="AY3" s="83" t="str">
        <f>J5</f>
        <v>*</v>
      </c>
      <c r="AZ3" s="86" t="str">
        <f t="shared" ref="AZ3:BA3" si="3">K5</f>
        <v>*</v>
      </c>
      <c r="BA3" s="88" t="str">
        <f t="shared" si="3"/>
        <v>*</v>
      </c>
      <c r="BB3" s="87" t="str">
        <f>J6</f>
        <v>*</v>
      </c>
      <c r="BC3" s="84" t="str">
        <f t="shared" ref="BC3:BD3" si="4">K6</f>
        <v>*</v>
      </c>
      <c r="BD3" s="90" t="str">
        <f t="shared" si="4"/>
        <v>*</v>
      </c>
      <c r="BE3" s="80" t="str">
        <f>J7</f>
        <v>*</v>
      </c>
      <c r="BF3" s="82" t="str">
        <f t="shared" ref="BF3:BG3" si="5">K7</f>
        <v>*</v>
      </c>
      <c r="BG3" s="85" t="str">
        <f t="shared" si="5"/>
        <v>*</v>
      </c>
      <c r="BH3" s="25"/>
      <c r="BI3" s="83" t="str">
        <f>P5</f>
        <v>*</v>
      </c>
      <c r="BJ3" s="86" t="str">
        <f t="shared" ref="BJ3:BK3" si="6">Q5</f>
        <v>*</v>
      </c>
      <c r="BK3" s="88" t="str">
        <f t="shared" si="6"/>
        <v>*</v>
      </c>
      <c r="BL3" s="87" t="str">
        <f>P6</f>
        <v>*</v>
      </c>
      <c r="BM3" s="84" t="str">
        <f t="shared" ref="BM3:BN3" si="7">Q6</f>
        <v>*</v>
      </c>
      <c r="BN3" s="90" t="str">
        <f t="shared" si="7"/>
        <v>*</v>
      </c>
      <c r="BO3" s="80" t="str">
        <f>P7</f>
        <v>*</v>
      </c>
      <c r="BP3" s="82" t="str">
        <f t="shared" ref="BP3:BQ3" si="8">Q7</f>
        <v>*</v>
      </c>
      <c r="BQ3" s="85" t="str">
        <f t="shared" si="8"/>
        <v>*</v>
      </c>
      <c r="BR3" s="28"/>
    </row>
    <row r="4" spans="1:70" s="13" customFormat="1" ht="15" customHeight="1" thickTop="1" thickBot="1" x14ac:dyDescent="0.3">
      <c r="A4" s="185"/>
      <c r="B4" s="21"/>
      <c r="C4" s="16" t="s">
        <v>33</v>
      </c>
      <c r="D4" s="13" t="s">
        <v>34</v>
      </c>
      <c r="E4" s="13" t="s">
        <v>31</v>
      </c>
      <c r="F4" s="13" t="s">
        <v>35</v>
      </c>
      <c r="G4" s="17"/>
      <c r="I4" s="16" t="s">
        <v>33</v>
      </c>
      <c r="J4" s="13" t="s">
        <v>34</v>
      </c>
      <c r="K4" s="13" t="s">
        <v>31</v>
      </c>
      <c r="L4" s="13" t="s">
        <v>35</v>
      </c>
      <c r="M4" s="17"/>
      <c r="O4" s="16" t="s">
        <v>33</v>
      </c>
      <c r="P4" s="13" t="s">
        <v>34</v>
      </c>
      <c r="Q4" s="13" t="s">
        <v>31</v>
      </c>
      <c r="R4" s="13" t="s">
        <v>35</v>
      </c>
      <c r="S4"/>
      <c r="T4" s="185"/>
      <c r="U4" s="21"/>
      <c r="V4" s="16" t="s">
        <v>33</v>
      </c>
      <c r="W4" s="13" t="s">
        <v>34</v>
      </c>
      <c r="X4" s="13" t="s">
        <v>31</v>
      </c>
      <c r="Y4" s="13" t="s">
        <v>35</v>
      </c>
      <c r="Z4" s="17"/>
      <c r="AB4" s="16" t="s">
        <v>33</v>
      </c>
      <c r="AC4" s="13" t="s">
        <v>34</v>
      </c>
      <c r="AD4" s="13" t="s">
        <v>31</v>
      </c>
      <c r="AE4" s="13" t="s">
        <v>35</v>
      </c>
      <c r="AF4" s="17"/>
      <c r="AH4" s="16" t="s">
        <v>33</v>
      </c>
      <c r="AI4" s="13" t="s">
        <v>34</v>
      </c>
      <c r="AJ4" s="13" t="s">
        <v>31</v>
      </c>
      <c r="AK4" s="13" t="s">
        <v>35</v>
      </c>
      <c r="AL4"/>
      <c r="AM4" s="150" t="s">
        <v>80</v>
      </c>
      <c r="AN4" s="151"/>
      <c r="AO4" s="152" t="str">
        <f>AO3</f>
        <v>T</v>
      </c>
      <c r="AP4" s="152" t="str">
        <f>IF(ISERROR(SEARCH("Not",$AM6)),AP3,AR3)</f>
        <v>*</v>
      </c>
      <c r="AQ4" s="152" t="str">
        <f>IF(ISERROR(SEARCH("Not",$AM6)),AQ3,AU3)</f>
        <v>T</v>
      </c>
      <c r="AR4" s="152" t="str">
        <f>IF(ISERROR(SEARCH("Not",$AM6)),AR3,AP3)</f>
        <v>*</v>
      </c>
      <c r="AS4" s="152" t="str">
        <f>AS3</f>
        <v>*</v>
      </c>
      <c r="AT4" s="152" t="str">
        <f>IF(ISERROR(SEARCH("Not",$AM6)),AT3,AV3)</f>
        <v>*</v>
      </c>
      <c r="AU4" s="152" t="str">
        <f>IF(ISERROR(SEARCH("Not",$AM6)),AU3,AQ3)</f>
        <v>T</v>
      </c>
      <c r="AV4" s="152" t="str">
        <f>IF(ISERROR(SEARCH("Not",$AM6)),AV3,AT3)</f>
        <v>*</v>
      </c>
      <c r="AW4" s="152" t="str">
        <f>AW3</f>
        <v>*</v>
      </c>
      <c r="AX4" s="152"/>
      <c r="AY4" s="152" t="str">
        <f>AY3</f>
        <v>*</v>
      </c>
      <c r="AZ4" s="152" t="str">
        <f>IF(ISERROR(SEARCH("Not",$AM6)),AZ3,BB3)</f>
        <v>*</v>
      </c>
      <c r="BA4" s="152" t="str">
        <f>IF(ISERROR(SEARCH("Not",$AM6)),BA3,BE3)</f>
        <v>*</v>
      </c>
      <c r="BB4" s="152" t="str">
        <f>IF(ISERROR(SEARCH("Not",$AM6)),BB3,AZ3)</f>
        <v>*</v>
      </c>
      <c r="BC4" s="152" t="str">
        <f>BC3</f>
        <v>*</v>
      </c>
      <c r="BD4" s="152" t="str">
        <f>IF(ISERROR(SEARCH("Not",$AM6)),BD3,BF3)</f>
        <v>*</v>
      </c>
      <c r="BE4" s="152" t="str">
        <f>IF(ISERROR(SEARCH("Not",$AM6)),BE3,BA3)</f>
        <v>*</v>
      </c>
      <c r="BF4" s="152" t="str">
        <f>IF(ISERROR(SEARCH("Not",$AM6)),BF3,BD3)</f>
        <v>*</v>
      </c>
      <c r="BG4" s="152" t="str">
        <f>BG3</f>
        <v>*</v>
      </c>
      <c r="BH4" s="152"/>
      <c r="BI4" s="152" t="str">
        <f>BI3</f>
        <v>*</v>
      </c>
      <c r="BJ4" s="152" t="str">
        <f>IF(ISERROR(SEARCH("Not",$AM6)),BJ3,BL3)</f>
        <v>*</v>
      </c>
      <c r="BK4" s="152" t="str">
        <f>IF(ISERROR(SEARCH("Not",$AM6)),BK3,BO3)</f>
        <v>*</v>
      </c>
      <c r="BL4" s="152" t="str">
        <f>IF(ISERROR(SEARCH("Not",$AM6)),BL3,BJ3)</f>
        <v>*</v>
      </c>
      <c r="BM4" s="152" t="str">
        <f>BM3</f>
        <v>*</v>
      </c>
      <c r="BN4" s="152" t="str">
        <f>IF(ISERROR(SEARCH("Not",$AM6)),BN3,BP3)</f>
        <v>*</v>
      </c>
      <c r="BO4" s="152" t="str">
        <f>IF(ISERROR(SEARCH("Not",$AM6)),BO3,BK3)</f>
        <v>*</v>
      </c>
      <c r="BP4" s="152" t="str">
        <f>IF(ISERROR(SEARCH("Not",$AM6)),BP3,BN3)</f>
        <v>*</v>
      </c>
      <c r="BQ4" s="152" t="str">
        <f>BQ3</f>
        <v>*</v>
      </c>
      <c r="BR4" s="124"/>
    </row>
    <row r="5" spans="1:70" s="13" customFormat="1" ht="15" customHeight="1" thickTop="1" thickBot="1" x14ac:dyDescent="0.3">
      <c r="A5" s="185"/>
      <c r="B5" s="207" t="s">
        <v>36</v>
      </c>
      <c r="C5" s="13" t="s">
        <v>34</v>
      </c>
      <c r="D5" s="97" t="str">
        <f>'DE-9IM Matrixes'!D4</f>
        <v>T</v>
      </c>
      <c r="E5" s="98" t="str">
        <f>'DE-9IM Matrixes'!E4</f>
        <v>*</v>
      </c>
      <c r="F5" s="99" t="str">
        <f>'DE-9IM Matrixes'!F4</f>
        <v>T</v>
      </c>
      <c r="G5" s="17"/>
      <c r="H5" s="207" t="s">
        <v>36</v>
      </c>
      <c r="I5" s="13" t="s">
        <v>34</v>
      </c>
      <c r="J5" s="97" t="str">
        <f>'DE-9IM Matrixes'!J4</f>
        <v>*</v>
      </c>
      <c r="K5" s="98" t="str">
        <f>'DE-9IM Matrixes'!K4</f>
        <v>*</v>
      </c>
      <c r="L5" s="99" t="str">
        <f>'DE-9IM Matrixes'!L4</f>
        <v>*</v>
      </c>
      <c r="M5" s="17"/>
      <c r="N5" s="207" t="s">
        <v>36</v>
      </c>
      <c r="O5" s="13" t="s">
        <v>34</v>
      </c>
      <c r="P5" s="97" t="str">
        <f>'DE-9IM Matrixes'!P4</f>
        <v>*</v>
      </c>
      <c r="Q5" s="98" t="str">
        <f>'DE-9IM Matrixes'!Q4</f>
        <v>*</v>
      </c>
      <c r="R5" s="99" t="str">
        <f>'DE-9IM Matrixes'!R4</f>
        <v>*</v>
      </c>
      <c r="S5"/>
      <c r="T5" s="185"/>
      <c r="U5" s="207" t="s">
        <v>36</v>
      </c>
      <c r="V5" s="13" t="s">
        <v>34</v>
      </c>
      <c r="W5" s="101" t="str">
        <f>D5</f>
        <v>T</v>
      </c>
      <c r="X5" s="102" t="str">
        <f>D6</f>
        <v>*</v>
      </c>
      <c r="Y5" s="103" t="str">
        <f>D7</f>
        <v>T</v>
      </c>
      <c r="Z5" s="17"/>
      <c r="AA5" s="209" t="s">
        <v>36</v>
      </c>
      <c r="AB5" s="13" t="s">
        <v>34</v>
      </c>
      <c r="AC5" s="101" t="str">
        <f>J5</f>
        <v>*</v>
      </c>
      <c r="AD5" s="102" t="str">
        <f>J6</f>
        <v>*</v>
      </c>
      <c r="AE5" s="103" t="str">
        <f>J7</f>
        <v>*</v>
      </c>
      <c r="AF5" s="17"/>
      <c r="AG5" s="211" t="s">
        <v>36</v>
      </c>
      <c r="AH5" s="13" t="s">
        <v>34</v>
      </c>
      <c r="AI5" s="101" t="str">
        <f>P5</f>
        <v>*</v>
      </c>
      <c r="AJ5" s="102" t="str">
        <f>P6</f>
        <v>*</v>
      </c>
      <c r="AK5" s="103" t="str">
        <f>P7</f>
        <v>*</v>
      </c>
      <c r="AL5"/>
      <c r="AM5" s="24" t="str">
        <f>T3</f>
        <v>B Overlaps A</v>
      </c>
      <c r="AN5" s="25"/>
      <c r="AO5" s="83" t="str">
        <f>W5</f>
        <v>T</v>
      </c>
      <c r="AP5" s="87" t="str">
        <f>X5</f>
        <v>*</v>
      </c>
      <c r="AQ5" s="89" t="str">
        <f>Y5</f>
        <v>T</v>
      </c>
      <c r="AR5" s="86" t="str">
        <f>W6</f>
        <v>*</v>
      </c>
      <c r="AS5" s="84" t="str">
        <f>X6</f>
        <v>*</v>
      </c>
      <c r="AT5" s="91" t="str">
        <f>Y6</f>
        <v>*</v>
      </c>
      <c r="AU5" s="79" t="str">
        <f>W7</f>
        <v>T</v>
      </c>
      <c r="AV5" s="81" t="str">
        <f>X7</f>
        <v>*</v>
      </c>
      <c r="AW5" s="85" t="str">
        <f>Y7</f>
        <v>*</v>
      </c>
      <c r="AX5" s="25"/>
      <c r="AY5" s="83" t="str">
        <f>AC5</f>
        <v>*</v>
      </c>
      <c r="AZ5" s="87" t="str">
        <f>AD5</f>
        <v>*</v>
      </c>
      <c r="BA5" s="89" t="str">
        <f>AE5</f>
        <v>*</v>
      </c>
      <c r="BB5" s="86" t="str">
        <f>AC6</f>
        <v>*</v>
      </c>
      <c r="BC5" s="84" t="str">
        <f>AD6</f>
        <v>*</v>
      </c>
      <c r="BD5" s="91" t="str">
        <f>AE6</f>
        <v>*</v>
      </c>
      <c r="BE5" s="79" t="str">
        <f>AC7</f>
        <v>*</v>
      </c>
      <c r="BF5" s="81" t="str">
        <f>AD7</f>
        <v>*</v>
      </c>
      <c r="BG5" s="85" t="str">
        <f>AE7</f>
        <v>*</v>
      </c>
      <c r="BH5" s="25"/>
      <c r="BI5" s="83" t="str">
        <f>AI5</f>
        <v>*</v>
      </c>
      <c r="BJ5" s="87" t="str">
        <f>AJ5</f>
        <v>*</v>
      </c>
      <c r="BK5" s="89" t="str">
        <f>AK5</f>
        <v>*</v>
      </c>
      <c r="BL5" s="86" t="str">
        <f>AI6</f>
        <v>*</v>
      </c>
      <c r="BM5" s="84" t="str">
        <f>AJ6</f>
        <v>*</v>
      </c>
      <c r="BN5" s="91" t="str">
        <f>AK6</f>
        <v>*</v>
      </c>
      <c r="BO5" s="79" t="str">
        <f>AI7</f>
        <v>*</v>
      </c>
      <c r="BP5" s="81" t="str">
        <f>AJ7</f>
        <v>*</v>
      </c>
      <c r="BQ5" s="85" t="str">
        <f>AK7</f>
        <v>*</v>
      </c>
      <c r="BR5" s="28"/>
    </row>
    <row r="6" spans="1:70" s="13" customFormat="1" ht="15" customHeight="1" x14ac:dyDescent="0.25">
      <c r="A6" s="185"/>
      <c r="B6" s="207"/>
      <c r="C6" s="13" t="s">
        <v>31</v>
      </c>
      <c r="D6" s="92" t="str">
        <f>'DE-9IM Matrixes'!D5</f>
        <v>*</v>
      </c>
      <c r="E6" s="93" t="str">
        <f>'DE-9IM Matrixes'!E5</f>
        <v>*</v>
      </c>
      <c r="F6" s="94" t="str">
        <f>'DE-9IM Matrixes'!F5</f>
        <v>*</v>
      </c>
      <c r="G6" s="17"/>
      <c r="H6" s="207"/>
      <c r="I6" s="13" t="s">
        <v>31</v>
      </c>
      <c r="J6" s="92" t="str">
        <f>'DE-9IM Matrixes'!J5</f>
        <v>*</v>
      </c>
      <c r="K6" s="93" t="str">
        <f>'DE-9IM Matrixes'!K5</f>
        <v>*</v>
      </c>
      <c r="L6" s="94" t="str">
        <f>'DE-9IM Matrixes'!L5</f>
        <v>*</v>
      </c>
      <c r="M6" s="17"/>
      <c r="N6" s="207"/>
      <c r="O6" s="13" t="s">
        <v>31</v>
      </c>
      <c r="P6" s="92" t="str">
        <f>'DE-9IM Matrixes'!P5</f>
        <v>*</v>
      </c>
      <c r="Q6" s="93" t="str">
        <f>'DE-9IM Matrixes'!Q5</f>
        <v>*</v>
      </c>
      <c r="R6" s="94" t="str">
        <f>'DE-9IM Matrixes'!R5</f>
        <v>*</v>
      </c>
      <c r="S6"/>
      <c r="T6" s="185"/>
      <c r="U6" s="207"/>
      <c r="V6" s="13" t="s">
        <v>31</v>
      </c>
      <c r="W6" s="105" t="str">
        <f>E5</f>
        <v>*</v>
      </c>
      <c r="X6" s="106" t="str">
        <f>E6</f>
        <v>*</v>
      </c>
      <c r="Y6" s="107" t="str">
        <f>E7</f>
        <v>*</v>
      </c>
      <c r="Z6" s="17"/>
      <c r="AA6" s="209"/>
      <c r="AB6" s="13" t="s">
        <v>31</v>
      </c>
      <c r="AC6" s="105" t="str">
        <f>K5</f>
        <v>*</v>
      </c>
      <c r="AD6" s="106" t="str">
        <f>K6</f>
        <v>*</v>
      </c>
      <c r="AE6" s="107" t="str">
        <f>K7</f>
        <v>*</v>
      </c>
      <c r="AF6" s="17"/>
      <c r="AG6" s="211"/>
      <c r="AH6" s="13" t="s">
        <v>31</v>
      </c>
      <c r="AI6" s="105" t="str">
        <f>Q5</f>
        <v>*</v>
      </c>
      <c r="AJ6" s="106" t="str">
        <f>Q6</f>
        <v>*</v>
      </c>
      <c r="AK6" s="107" t="str">
        <f>Q7</f>
        <v>*</v>
      </c>
      <c r="AL6"/>
      <c r="AM6" s="149" t="s">
        <v>10</v>
      </c>
      <c r="AN6" s="120"/>
      <c r="AO6" s="120" t="str">
        <f>IF(AO4=AO5,"","X")</f>
        <v/>
      </c>
      <c r="AP6" s="120" t="str">
        <f t="shared" ref="AP6:BR6" si="9">IF(AP4=AP5,"","X")</f>
        <v/>
      </c>
      <c r="AQ6" s="120" t="str">
        <f t="shared" si="9"/>
        <v/>
      </c>
      <c r="AR6" s="120" t="str">
        <f t="shared" si="9"/>
        <v/>
      </c>
      <c r="AS6" s="120" t="str">
        <f t="shared" si="9"/>
        <v/>
      </c>
      <c r="AT6" s="120" t="str">
        <f t="shared" si="9"/>
        <v/>
      </c>
      <c r="AU6" s="120" t="str">
        <f t="shared" si="9"/>
        <v/>
      </c>
      <c r="AV6" s="120" t="str">
        <f t="shared" si="9"/>
        <v/>
      </c>
      <c r="AW6" s="120" t="str">
        <f t="shared" si="9"/>
        <v/>
      </c>
      <c r="AX6" s="120" t="str">
        <f t="shared" si="9"/>
        <v/>
      </c>
      <c r="AY6" s="120" t="str">
        <f t="shared" si="9"/>
        <v/>
      </c>
      <c r="AZ6" s="120" t="str">
        <f t="shared" si="9"/>
        <v/>
      </c>
      <c r="BA6" s="120" t="str">
        <f t="shared" si="9"/>
        <v/>
      </c>
      <c r="BB6" s="120" t="str">
        <f t="shared" si="9"/>
        <v/>
      </c>
      <c r="BC6" s="120" t="str">
        <f t="shared" si="9"/>
        <v/>
      </c>
      <c r="BD6" s="120" t="str">
        <f t="shared" si="9"/>
        <v/>
      </c>
      <c r="BE6" s="120" t="str">
        <f t="shared" si="9"/>
        <v/>
      </c>
      <c r="BF6" s="120" t="str">
        <f t="shared" si="9"/>
        <v/>
      </c>
      <c r="BG6" s="120" t="str">
        <f t="shared" si="9"/>
        <v/>
      </c>
      <c r="BH6" s="120" t="str">
        <f t="shared" si="9"/>
        <v/>
      </c>
      <c r="BI6" s="120" t="str">
        <f t="shared" si="9"/>
        <v/>
      </c>
      <c r="BJ6" s="120" t="str">
        <f t="shared" si="9"/>
        <v/>
      </c>
      <c r="BK6" s="120" t="str">
        <f t="shared" si="9"/>
        <v/>
      </c>
      <c r="BL6" s="120" t="str">
        <f t="shared" si="9"/>
        <v/>
      </c>
      <c r="BM6" s="120" t="str">
        <f t="shared" si="9"/>
        <v/>
      </c>
      <c r="BN6" s="120" t="str">
        <f t="shared" si="9"/>
        <v/>
      </c>
      <c r="BO6" s="120" t="str">
        <f t="shared" si="9"/>
        <v/>
      </c>
      <c r="BP6" s="120" t="str">
        <f t="shared" si="9"/>
        <v/>
      </c>
      <c r="BQ6" s="120" t="str">
        <f t="shared" si="9"/>
        <v/>
      </c>
      <c r="BR6" s="120" t="str">
        <f t="shared" si="9"/>
        <v/>
      </c>
    </row>
    <row r="7" spans="1:70" s="13" customFormat="1" ht="15" customHeight="1" thickBot="1" x14ac:dyDescent="0.3">
      <c r="A7" s="186"/>
      <c r="B7" s="208"/>
      <c r="C7" s="18" t="s">
        <v>35</v>
      </c>
      <c r="D7" s="95" t="str">
        <f>'DE-9IM Matrixes'!D6</f>
        <v>T</v>
      </c>
      <c r="E7" s="96" t="str">
        <f>'DE-9IM Matrixes'!E6</f>
        <v>*</v>
      </c>
      <c r="F7" s="111" t="str">
        <f>'DE-9IM Matrixes'!F6</f>
        <v>*</v>
      </c>
      <c r="G7" s="19"/>
      <c r="H7" s="208"/>
      <c r="I7" s="18" t="s">
        <v>35</v>
      </c>
      <c r="J7" s="95" t="str">
        <f>'DE-9IM Matrixes'!J6</f>
        <v>*</v>
      </c>
      <c r="K7" s="96" t="str">
        <f>'DE-9IM Matrixes'!K6</f>
        <v>*</v>
      </c>
      <c r="L7" s="111" t="str">
        <f>'DE-9IM Matrixes'!L6</f>
        <v>*</v>
      </c>
      <c r="M7" s="19"/>
      <c r="N7" s="208"/>
      <c r="O7" s="18" t="s">
        <v>35</v>
      </c>
      <c r="P7" s="95" t="str">
        <f>'DE-9IM Matrixes'!P6</f>
        <v>*</v>
      </c>
      <c r="Q7" s="96" t="str">
        <f>'DE-9IM Matrixes'!Q6</f>
        <v>*</v>
      </c>
      <c r="R7" s="111" t="str">
        <f>'DE-9IM Matrixes'!R6</f>
        <v>*</v>
      </c>
      <c r="S7"/>
      <c r="T7" s="186"/>
      <c r="U7" s="208"/>
      <c r="V7" s="18" t="s">
        <v>35</v>
      </c>
      <c r="W7" s="109" t="str">
        <f>F5</f>
        <v>T</v>
      </c>
      <c r="X7" s="110" t="str">
        <f>F6</f>
        <v>*</v>
      </c>
      <c r="Y7" s="112" t="str">
        <f>F7</f>
        <v>*</v>
      </c>
      <c r="Z7" s="19"/>
      <c r="AA7" s="210"/>
      <c r="AB7" s="18" t="s">
        <v>35</v>
      </c>
      <c r="AC7" s="109" t="str">
        <f>L5</f>
        <v>*</v>
      </c>
      <c r="AD7" s="110" t="str">
        <f>L6</f>
        <v>*</v>
      </c>
      <c r="AE7" s="112" t="str">
        <f>L7</f>
        <v>*</v>
      </c>
      <c r="AF7" s="19"/>
      <c r="AG7" s="212"/>
      <c r="AH7" s="18" t="s">
        <v>35</v>
      </c>
      <c r="AI7" s="109" t="str">
        <f>R5</f>
        <v>*</v>
      </c>
      <c r="AJ7" s="110" t="str">
        <f>R6</f>
        <v>*</v>
      </c>
      <c r="AK7" s="112" t="str">
        <f>R7</f>
        <v>*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s="13" customFormat="1" ht="15" customHeight="1" thickTop="1" thickBot="1" x14ac:dyDescent="0.3">
      <c r="A8" s="181" t="str">
        <f>'DE-9IM Matrixes'!A7</f>
        <v>A is Partitioned by  B</v>
      </c>
      <c r="B8" s="20"/>
      <c r="C8" s="11"/>
      <c r="D8" s="206" t="s">
        <v>31</v>
      </c>
      <c r="E8" s="206"/>
      <c r="F8" s="206"/>
      <c r="G8" s="12"/>
      <c r="H8" s="11"/>
      <c r="I8" s="11"/>
      <c r="J8" s="206" t="s">
        <v>31</v>
      </c>
      <c r="K8" s="206"/>
      <c r="L8" s="206"/>
      <c r="M8" s="12"/>
      <c r="N8" s="11"/>
      <c r="O8" s="11"/>
      <c r="P8" s="206" t="s">
        <v>31</v>
      </c>
      <c r="Q8" s="206"/>
      <c r="R8" s="206"/>
      <c r="S8"/>
      <c r="T8" s="194" t="str">
        <f t="shared" ref="T8" si="10">SUBSTITUTE(SUBSTITUTE(SUBSTITUTE(SUBSTITUTE(A8,"A","x"),"B","A"),"x","B"),"Ao","Bo")</f>
        <v>B is Partitioned by  A</v>
      </c>
      <c r="U8" s="20"/>
      <c r="V8" s="11"/>
      <c r="W8" s="206" t="s">
        <v>31</v>
      </c>
      <c r="X8" s="206"/>
      <c r="Y8" s="206"/>
      <c r="Z8" s="12"/>
      <c r="AA8" s="11"/>
      <c r="AB8" s="11"/>
      <c r="AC8" s="206" t="s">
        <v>31</v>
      </c>
      <c r="AD8" s="206"/>
      <c r="AE8" s="206"/>
      <c r="AF8" s="12"/>
      <c r="AG8" s="11"/>
      <c r="AH8" s="11"/>
      <c r="AI8" s="206" t="s">
        <v>31</v>
      </c>
      <c r="AJ8" s="206"/>
      <c r="AK8" s="206"/>
      <c r="AL8"/>
      <c r="AM8" s="24" t="str">
        <f t="shared" ref="AM8" si="11">A8</f>
        <v>A is Partitioned by  B</v>
      </c>
      <c r="AN8" s="25"/>
      <c r="AO8" s="83" t="str">
        <f t="shared" ref="AO8" si="12">D10</f>
        <v>T</v>
      </c>
      <c r="AP8" s="86" t="str">
        <f t="shared" ref="AP8" si="13">E10</f>
        <v>*</v>
      </c>
      <c r="AQ8" s="88" t="str">
        <f t="shared" ref="AQ8" si="14">F10</f>
        <v>T</v>
      </c>
      <c r="AR8" s="87" t="str">
        <f t="shared" ref="AR8" si="15">D11</f>
        <v>*</v>
      </c>
      <c r="AS8" s="84" t="str">
        <f t="shared" ref="AS8" si="16">E11</f>
        <v>T</v>
      </c>
      <c r="AT8" s="90" t="str">
        <f t="shared" ref="AT8" si="17">F11</f>
        <v>*</v>
      </c>
      <c r="AU8" s="80" t="str">
        <f t="shared" ref="AU8" si="18">D12</f>
        <v>F</v>
      </c>
      <c r="AV8" s="82" t="str">
        <f t="shared" ref="AV8" si="19">E12</f>
        <v>*</v>
      </c>
      <c r="AW8" s="85" t="str">
        <f t="shared" ref="AW8" si="20">F12</f>
        <v>*</v>
      </c>
      <c r="AX8" s="25"/>
      <c r="AY8" s="83" t="str">
        <f t="shared" ref="AY8" si="21">J10</f>
        <v>*</v>
      </c>
      <c r="AZ8" s="86" t="str">
        <f t="shared" ref="AZ8" si="22">K10</f>
        <v>*</v>
      </c>
      <c r="BA8" s="88" t="str">
        <f t="shared" ref="BA8" si="23">L10</f>
        <v>*</v>
      </c>
      <c r="BB8" s="87" t="str">
        <f t="shared" ref="BB8" si="24">J11</f>
        <v>*</v>
      </c>
      <c r="BC8" s="84" t="str">
        <f t="shared" ref="BC8" si="25">K11</f>
        <v>*</v>
      </c>
      <c r="BD8" s="90" t="str">
        <f t="shared" ref="BD8" si="26">L11</f>
        <v>*</v>
      </c>
      <c r="BE8" s="80" t="str">
        <f t="shared" ref="BE8" si="27">J12</f>
        <v>*</v>
      </c>
      <c r="BF8" s="82" t="str">
        <f t="shared" ref="BF8" si="28">K12</f>
        <v>*</v>
      </c>
      <c r="BG8" s="85" t="str">
        <f t="shared" ref="BG8" si="29">L12</f>
        <v>*</v>
      </c>
      <c r="BH8" s="25"/>
      <c r="BI8" s="83" t="str">
        <f t="shared" ref="BI8" si="30">P10</f>
        <v>*</v>
      </c>
      <c r="BJ8" s="86" t="str">
        <f t="shared" ref="BJ8" si="31">Q10</f>
        <v>*</v>
      </c>
      <c r="BK8" s="88" t="str">
        <f t="shared" ref="BK8" si="32">R10</f>
        <v>*</v>
      </c>
      <c r="BL8" s="87" t="str">
        <f t="shared" ref="BL8" si="33">P11</f>
        <v>*</v>
      </c>
      <c r="BM8" s="84" t="str">
        <f t="shared" ref="BM8" si="34">Q11</f>
        <v>*</v>
      </c>
      <c r="BN8" s="90" t="str">
        <f t="shared" ref="BN8" si="35">R11</f>
        <v>*</v>
      </c>
      <c r="BO8" s="80" t="str">
        <f t="shared" ref="BO8" si="36">P12</f>
        <v>*</v>
      </c>
      <c r="BP8" s="82" t="str">
        <f t="shared" ref="BP8" si="37">Q12</f>
        <v>*</v>
      </c>
      <c r="BQ8" s="85" t="str">
        <f t="shared" ref="BQ8" si="38">R12</f>
        <v>*</v>
      </c>
      <c r="BR8" s="28"/>
    </row>
    <row r="9" spans="1:70" s="13" customFormat="1" ht="15" customHeight="1" thickTop="1" thickBot="1" x14ac:dyDescent="0.3">
      <c r="A9" s="182"/>
      <c r="B9" s="21"/>
      <c r="C9" s="16" t="s">
        <v>33</v>
      </c>
      <c r="D9" s="13" t="s">
        <v>34</v>
      </c>
      <c r="E9" s="13" t="s">
        <v>31</v>
      </c>
      <c r="F9" s="13" t="s">
        <v>35</v>
      </c>
      <c r="G9" s="17"/>
      <c r="I9" s="16" t="s">
        <v>33</v>
      </c>
      <c r="J9" s="13" t="s">
        <v>34</v>
      </c>
      <c r="K9" s="13" t="s">
        <v>31</v>
      </c>
      <c r="L9" s="13" t="s">
        <v>35</v>
      </c>
      <c r="M9" s="17"/>
      <c r="O9" s="16" t="s">
        <v>33</v>
      </c>
      <c r="P9" s="13" t="s">
        <v>34</v>
      </c>
      <c r="Q9" s="13" t="s">
        <v>31</v>
      </c>
      <c r="R9" s="13" t="s">
        <v>35</v>
      </c>
      <c r="S9"/>
      <c r="T9" s="185"/>
      <c r="U9" s="21"/>
      <c r="V9" s="16" t="s">
        <v>33</v>
      </c>
      <c r="W9" s="13" t="s">
        <v>34</v>
      </c>
      <c r="X9" s="13" t="s">
        <v>31</v>
      </c>
      <c r="Y9" s="13" t="s">
        <v>35</v>
      </c>
      <c r="Z9" s="17"/>
      <c r="AB9" s="16" t="s">
        <v>33</v>
      </c>
      <c r="AC9" s="13" t="s">
        <v>34</v>
      </c>
      <c r="AD9" s="13" t="s">
        <v>31</v>
      </c>
      <c r="AE9" s="13" t="s">
        <v>35</v>
      </c>
      <c r="AF9" s="17"/>
      <c r="AH9" s="16" t="s">
        <v>33</v>
      </c>
      <c r="AI9" s="13" t="s">
        <v>34</v>
      </c>
      <c r="AJ9" s="13" t="s">
        <v>31</v>
      </c>
      <c r="AK9" s="13" t="s">
        <v>35</v>
      </c>
      <c r="AL9"/>
      <c r="AM9" s="150" t="s">
        <v>80</v>
      </c>
      <c r="AN9" s="151"/>
      <c r="AO9" s="152" t="str">
        <f t="shared" ref="AO9" si="39">AO8</f>
        <v>T</v>
      </c>
      <c r="AP9" s="152" t="str">
        <f t="shared" ref="AP9" si="40">IF(ISERROR(SEARCH("Not",$AM11)),AP8,AR8)</f>
        <v>*</v>
      </c>
      <c r="AQ9" s="152" t="str">
        <f t="shared" ref="AQ9" si="41">IF(ISERROR(SEARCH("Not",$AM11)),AQ8,AU8)</f>
        <v>F</v>
      </c>
      <c r="AR9" s="152" t="str">
        <f t="shared" ref="AR9" si="42">IF(ISERROR(SEARCH("Not",$AM11)),AR8,AP8)</f>
        <v>*</v>
      </c>
      <c r="AS9" s="152" t="str">
        <f t="shared" ref="AS9" si="43">AS8</f>
        <v>T</v>
      </c>
      <c r="AT9" s="152" t="str">
        <f t="shared" ref="AT9" si="44">IF(ISERROR(SEARCH("Not",$AM11)),AT8,AV8)</f>
        <v>*</v>
      </c>
      <c r="AU9" s="152" t="str">
        <f t="shared" ref="AU9" si="45">IF(ISERROR(SEARCH("Not",$AM11)),AU8,AQ8)</f>
        <v>T</v>
      </c>
      <c r="AV9" s="152" t="str">
        <f t="shared" ref="AV9" si="46">IF(ISERROR(SEARCH("Not",$AM11)),AV8,AT8)</f>
        <v>*</v>
      </c>
      <c r="AW9" s="152" t="str">
        <f t="shared" ref="AW9" si="47">AW8</f>
        <v>*</v>
      </c>
      <c r="AX9" s="152"/>
      <c r="AY9" s="152" t="str">
        <f t="shared" ref="AY9" si="48">AY8</f>
        <v>*</v>
      </c>
      <c r="AZ9" s="152" t="str">
        <f t="shared" ref="AZ9" si="49">IF(ISERROR(SEARCH("Not",$AM11)),AZ8,BB8)</f>
        <v>*</v>
      </c>
      <c r="BA9" s="152" t="str">
        <f t="shared" ref="BA9" si="50">IF(ISERROR(SEARCH("Not",$AM11)),BA8,BE8)</f>
        <v>*</v>
      </c>
      <c r="BB9" s="152" t="str">
        <f t="shared" ref="BB9" si="51">IF(ISERROR(SEARCH("Not",$AM11)),BB8,AZ8)</f>
        <v>*</v>
      </c>
      <c r="BC9" s="152" t="str">
        <f t="shared" ref="BC9" si="52">BC8</f>
        <v>*</v>
      </c>
      <c r="BD9" s="152" t="str">
        <f t="shared" ref="BD9" si="53">IF(ISERROR(SEARCH("Not",$AM11)),BD8,BF8)</f>
        <v>*</v>
      </c>
      <c r="BE9" s="152" t="str">
        <f t="shared" ref="BE9" si="54">IF(ISERROR(SEARCH("Not",$AM11)),BE8,BA8)</f>
        <v>*</v>
      </c>
      <c r="BF9" s="152" t="str">
        <f t="shared" ref="BF9" si="55">IF(ISERROR(SEARCH("Not",$AM11)),BF8,BD8)</f>
        <v>*</v>
      </c>
      <c r="BG9" s="152" t="str">
        <f t="shared" ref="BG9" si="56">BG8</f>
        <v>*</v>
      </c>
      <c r="BH9" s="152"/>
      <c r="BI9" s="152" t="str">
        <f t="shared" ref="BI9" si="57">BI8</f>
        <v>*</v>
      </c>
      <c r="BJ9" s="152" t="str">
        <f t="shared" ref="BJ9" si="58">IF(ISERROR(SEARCH("Not",$AM11)),BJ8,BL8)</f>
        <v>*</v>
      </c>
      <c r="BK9" s="152" t="str">
        <f t="shared" ref="BK9" si="59">IF(ISERROR(SEARCH("Not",$AM11)),BK8,BO8)</f>
        <v>*</v>
      </c>
      <c r="BL9" s="152" t="str">
        <f t="shared" ref="BL9" si="60">IF(ISERROR(SEARCH("Not",$AM11)),BL8,BJ8)</f>
        <v>*</v>
      </c>
      <c r="BM9" s="152" t="str">
        <f t="shared" ref="BM9" si="61">BM8</f>
        <v>*</v>
      </c>
      <c r="BN9" s="152" t="str">
        <f t="shared" ref="BN9" si="62">IF(ISERROR(SEARCH("Not",$AM11)),BN8,BP8)</f>
        <v>*</v>
      </c>
      <c r="BO9" s="152" t="str">
        <f t="shared" ref="BO9" si="63">IF(ISERROR(SEARCH("Not",$AM11)),BO8,BK8)</f>
        <v>*</v>
      </c>
      <c r="BP9" s="152" t="str">
        <f t="shared" ref="BP9" si="64">IF(ISERROR(SEARCH("Not",$AM11)),BP8,BN8)</f>
        <v>*</v>
      </c>
      <c r="BQ9" s="152" t="str">
        <f t="shared" ref="BQ9" si="65">BQ8</f>
        <v>*</v>
      </c>
      <c r="BR9" s="124"/>
    </row>
    <row r="10" spans="1:70" s="13" customFormat="1" ht="15" customHeight="1" thickTop="1" thickBot="1" x14ac:dyDescent="0.3">
      <c r="A10" s="182"/>
      <c r="B10" s="207" t="s">
        <v>36</v>
      </c>
      <c r="C10" s="13" t="s">
        <v>34</v>
      </c>
      <c r="D10" s="97" t="str">
        <f>'DE-9IM Matrixes'!D9</f>
        <v>T</v>
      </c>
      <c r="E10" s="98" t="str">
        <f>'DE-9IM Matrixes'!E9</f>
        <v>*</v>
      </c>
      <c r="F10" s="99" t="str">
        <f>'DE-9IM Matrixes'!F9</f>
        <v>T</v>
      </c>
      <c r="G10" s="17"/>
      <c r="H10" s="207" t="s">
        <v>36</v>
      </c>
      <c r="I10" s="13" t="s">
        <v>34</v>
      </c>
      <c r="J10" s="97" t="str">
        <f>'DE-9IM Matrixes'!J9</f>
        <v>*</v>
      </c>
      <c r="K10" s="98" t="str">
        <f>'DE-9IM Matrixes'!K9</f>
        <v>*</v>
      </c>
      <c r="L10" s="99" t="str">
        <f>'DE-9IM Matrixes'!L9</f>
        <v>*</v>
      </c>
      <c r="M10" s="17"/>
      <c r="N10" s="207" t="s">
        <v>36</v>
      </c>
      <c r="O10" s="13" t="s">
        <v>34</v>
      </c>
      <c r="P10" s="97" t="str">
        <f>'DE-9IM Matrixes'!P9</f>
        <v>*</v>
      </c>
      <c r="Q10" s="98" t="str">
        <f>'DE-9IM Matrixes'!Q9</f>
        <v>*</v>
      </c>
      <c r="R10" s="99" t="str">
        <f>'DE-9IM Matrixes'!R9</f>
        <v>*</v>
      </c>
      <c r="S10"/>
      <c r="T10" s="185"/>
      <c r="U10" s="207" t="s">
        <v>36</v>
      </c>
      <c r="V10" s="100" t="s">
        <v>34</v>
      </c>
      <c r="W10" s="101" t="str">
        <f>D10</f>
        <v>T</v>
      </c>
      <c r="X10" s="102" t="str">
        <f>D11</f>
        <v>*</v>
      </c>
      <c r="Y10" s="103" t="str">
        <f>D12</f>
        <v>F</v>
      </c>
      <c r="Z10" s="17"/>
      <c r="AA10" s="209" t="s">
        <v>36</v>
      </c>
      <c r="AB10" s="13" t="s">
        <v>34</v>
      </c>
      <c r="AC10" s="101" t="str">
        <f>J10</f>
        <v>*</v>
      </c>
      <c r="AD10" s="102" t="str">
        <f>J11</f>
        <v>*</v>
      </c>
      <c r="AE10" s="103" t="str">
        <f>J12</f>
        <v>*</v>
      </c>
      <c r="AF10" s="17"/>
      <c r="AG10" s="211" t="s">
        <v>36</v>
      </c>
      <c r="AH10" s="13" t="s">
        <v>34</v>
      </c>
      <c r="AI10" s="101" t="str">
        <f>P10</f>
        <v>*</v>
      </c>
      <c r="AJ10" s="102" t="str">
        <f>P11</f>
        <v>*</v>
      </c>
      <c r="AK10" s="103" t="str">
        <f>P12</f>
        <v>*</v>
      </c>
      <c r="AL10"/>
      <c r="AM10" s="24" t="str">
        <f t="shared" ref="AM10" si="66">T8</f>
        <v>B is Partitioned by  A</v>
      </c>
      <c r="AN10" s="25"/>
      <c r="AO10" s="83" t="str">
        <f t="shared" ref="AO10" si="67">W10</f>
        <v>T</v>
      </c>
      <c r="AP10" s="87" t="str">
        <f t="shared" ref="AP10" si="68">X10</f>
        <v>*</v>
      </c>
      <c r="AQ10" s="89" t="str">
        <f t="shared" ref="AQ10" si="69">Y10</f>
        <v>F</v>
      </c>
      <c r="AR10" s="86" t="str">
        <f t="shared" ref="AR10" si="70">W11</f>
        <v>*</v>
      </c>
      <c r="AS10" s="84" t="str">
        <f t="shared" ref="AS10" si="71">X11</f>
        <v>T</v>
      </c>
      <c r="AT10" s="91" t="str">
        <f t="shared" ref="AT10" si="72">Y11</f>
        <v>*</v>
      </c>
      <c r="AU10" s="79" t="str">
        <f t="shared" ref="AU10:AW10" si="73">W12</f>
        <v>T</v>
      </c>
      <c r="AV10" s="81" t="str">
        <f t="shared" si="73"/>
        <v>*</v>
      </c>
      <c r="AW10" s="85" t="str">
        <f t="shared" si="73"/>
        <v>*</v>
      </c>
      <c r="AX10" s="25"/>
      <c r="AY10" s="83" t="str">
        <f t="shared" ref="AY10" si="74">AC10</f>
        <v>*</v>
      </c>
      <c r="AZ10" s="87" t="str">
        <f t="shared" ref="AZ10" si="75">AD10</f>
        <v>*</v>
      </c>
      <c r="BA10" s="89" t="str">
        <f t="shared" ref="BA10" si="76">AE10</f>
        <v>*</v>
      </c>
      <c r="BB10" s="86" t="str">
        <f t="shared" ref="BB10" si="77">AC11</f>
        <v>*</v>
      </c>
      <c r="BC10" s="84" t="str">
        <f t="shared" ref="BC10" si="78">AD11</f>
        <v>*</v>
      </c>
      <c r="BD10" s="91" t="str">
        <f t="shared" ref="BD10" si="79">AE11</f>
        <v>*</v>
      </c>
      <c r="BE10" s="79" t="str">
        <f t="shared" ref="BE10:BG10" si="80">AC12</f>
        <v>*</v>
      </c>
      <c r="BF10" s="81" t="str">
        <f t="shared" si="80"/>
        <v>*</v>
      </c>
      <c r="BG10" s="85" t="str">
        <f t="shared" si="80"/>
        <v>*</v>
      </c>
      <c r="BH10" s="25"/>
      <c r="BI10" s="83" t="str">
        <f t="shared" ref="BI10" si="81">AI10</f>
        <v>*</v>
      </c>
      <c r="BJ10" s="87" t="str">
        <f t="shared" ref="BJ10" si="82">AJ10</f>
        <v>*</v>
      </c>
      <c r="BK10" s="89" t="str">
        <f t="shared" ref="BK10" si="83">AK10</f>
        <v>*</v>
      </c>
      <c r="BL10" s="86" t="str">
        <f t="shared" ref="BL10" si="84">AI11</f>
        <v>*</v>
      </c>
      <c r="BM10" s="84" t="str">
        <f t="shared" ref="BM10" si="85">AJ11</f>
        <v>*</v>
      </c>
      <c r="BN10" s="91" t="str">
        <f t="shared" ref="BN10" si="86">AK11</f>
        <v>*</v>
      </c>
      <c r="BO10" s="79" t="str">
        <f t="shared" ref="BO10:BQ10" si="87">AI12</f>
        <v>*</v>
      </c>
      <c r="BP10" s="81" t="str">
        <f t="shared" si="87"/>
        <v>*</v>
      </c>
      <c r="BQ10" s="85" t="str">
        <f t="shared" si="87"/>
        <v>*</v>
      </c>
      <c r="BR10" s="28"/>
    </row>
    <row r="11" spans="1:70" s="13" customFormat="1" ht="15" customHeight="1" x14ac:dyDescent="0.25">
      <c r="A11" s="182"/>
      <c r="B11" s="207"/>
      <c r="C11" s="13" t="s">
        <v>31</v>
      </c>
      <c r="D11" s="92" t="str">
        <f>'DE-9IM Matrixes'!D10</f>
        <v>*</v>
      </c>
      <c r="E11" s="93" t="str">
        <f>'DE-9IM Matrixes'!E10</f>
        <v>T</v>
      </c>
      <c r="F11" s="94" t="str">
        <f>'DE-9IM Matrixes'!F10</f>
        <v>*</v>
      </c>
      <c r="G11" s="17"/>
      <c r="H11" s="207"/>
      <c r="I11" s="13" t="s">
        <v>31</v>
      </c>
      <c r="J11" s="92" t="str">
        <f>'DE-9IM Matrixes'!J10</f>
        <v>*</v>
      </c>
      <c r="K11" s="93" t="str">
        <f>'DE-9IM Matrixes'!K10</f>
        <v>*</v>
      </c>
      <c r="L11" s="94" t="str">
        <f>'DE-9IM Matrixes'!L10</f>
        <v>*</v>
      </c>
      <c r="M11" s="17"/>
      <c r="N11" s="207"/>
      <c r="O11" s="13" t="s">
        <v>31</v>
      </c>
      <c r="P11" s="92" t="str">
        <f>'DE-9IM Matrixes'!P10</f>
        <v>*</v>
      </c>
      <c r="Q11" s="93" t="str">
        <f>'DE-9IM Matrixes'!Q10</f>
        <v>*</v>
      </c>
      <c r="R11" s="94" t="str">
        <f>'DE-9IM Matrixes'!R10</f>
        <v>*</v>
      </c>
      <c r="S11"/>
      <c r="T11" s="185"/>
      <c r="U11" s="207"/>
      <c r="V11" s="104" t="s">
        <v>31</v>
      </c>
      <c r="W11" s="105" t="str">
        <f>E10</f>
        <v>*</v>
      </c>
      <c r="X11" s="106" t="str">
        <f>E11</f>
        <v>T</v>
      </c>
      <c r="Y11" s="107" t="str">
        <f>E12</f>
        <v>*</v>
      </c>
      <c r="Z11" s="17"/>
      <c r="AA11" s="209"/>
      <c r="AB11" s="13" t="s">
        <v>31</v>
      </c>
      <c r="AC11" s="105" t="str">
        <f>K10</f>
        <v>*</v>
      </c>
      <c r="AD11" s="106" t="str">
        <f>K11</f>
        <v>*</v>
      </c>
      <c r="AE11" s="107" t="str">
        <f>K12</f>
        <v>*</v>
      </c>
      <c r="AF11" s="17"/>
      <c r="AG11" s="211"/>
      <c r="AH11" s="13" t="s">
        <v>31</v>
      </c>
      <c r="AI11" s="105" t="str">
        <f>Q10</f>
        <v>*</v>
      </c>
      <c r="AJ11" s="106" t="str">
        <f>Q11</f>
        <v>*</v>
      </c>
      <c r="AK11" s="107" t="str">
        <f>Q12</f>
        <v>*</v>
      </c>
      <c r="AL11"/>
      <c r="AM11" s="149" t="s">
        <v>79</v>
      </c>
      <c r="AN11" s="120"/>
      <c r="AO11" s="120" t="str">
        <f t="shared" ref="AO11" si="88">IF(AO9=AO10,"","X")</f>
        <v/>
      </c>
      <c r="AP11" s="120" t="str">
        <f t="shared" ref="AP11" si="89">IF(AP9=AP10,"","X")</f>
        <v/>
      </c>
      <c r="AQ11" s="120" t="str">
        <f t="shared" ref="AQ11" si="90">IF(AQ9=AQ10,"","X")</f>
        <v/>
      </c>
      <c r="AR11" s="120" t="str">
        <f t="shared" ref="AR11" si="91">IF(AR9=AR10,"","X")</f>
        <v/>
      </c>
      <c r="AS11" s="120" t="str">
        <f t="shared" ref="AS11" si="92">IF(AS9=AS10,"","X")</f>
        <v/>
      </c>
      <c r="AT11" s="120" t="str">
        <f t="shared" ref="AT11" si="93">IF(AT9=AT10,"","X")</f>
        <v/>
      </c>
      <c r="AU11" s="120" t="str">
        <f t="shared" ref="AU11" si="94">IF(AU9=AU10,"","X")</f>
        <v/>
      </c>
      <c r="AV11" s="120" t="str">
        <f t="shared" ref="AV11" si="95">IF(AV9=AV10,"","X")</f>
        <v/>
      </c>
      <c r="AW11" s="120" t="str">
        <f t="shared" ref="AW11" si="96">IF(AW9=AW10,"","X")</f>
        <v/>
      </c>
      <c r="AX11" s="120" t="str">
        <f t="shared" ref="AX11" si="97">IF(AX9=AX10,"","X")</f>
        <v/>
      </c>
      <c r="AY11" s="120" t="str">
        <f t="shared" ref="AY11" si="98">IF(AY9=AY10,"","X")</f>
        <v/>
      </c>
      <c r="AZ11" s="120" t="str">
        <f t="shared" ref="AZ11" si="99">IF(AZ9=AZ10,"","X")</f>
        <v/>
      </c>
      <c r="BA11" s="120" t="str">
        <f t="shared" ref="BA11" si="100">IF(BA9=BA10,"","X")</f>
        <v/>
      </c>
      <c r="BB11" s="120" t="str">
        <f t="shared" ref="BB11" si="101">IF(BB9=BB10,"","X")</f>
        <v/>
      </c>
      <c r="BC11" s="120" t="str">
        <f t="shared" ref="BC11" si="102">IF(BC9=BC10,"","X")</f>
        <v/>
      </c>
      <c r="BD11" s="120" t="str">
        <f t="shared" ref="BD11" si="103">IF(BD9=BD10,"","X")</f>
        <v/>
      </c>
      <c r="BE11" s="120" t="str">
        <f t="shared" ref="BE11" si="104">IF(BE9=BE10,"","X")</f>
        <v/>
      </c>
      <c r="BF11" s="120" t="str">
        <f t="shared" ref="BF11" si="105">IF(BF9=BF10,"","X")</f>
        <v/>
      </c>
      <c r="BG11" s="120" t="str">
        <f t="shared" ref="BG11" si="106">IF(BG9=BG10,"","X")</f>
        <v/>
      </c>
      <c r="BH11" s="120" t="str">
        <f t="shared" ref="BH11" si="107">IF(BH9=BH10,"","X")</f>
        <v/>
      </c>
      <c r="BI11" s="120" t="str">
        <f t="shared" ref="BI11" si="108">IF(BI9=BI10,"","X")</f>
        <v/>
      </c>
      <c r="BJ11" s="120" t="str">
        <f t="shared" ref="BJ11" si="109">IF(BJ9=BJ10,"","X")</f>
        <v/>
      </c>
      <c r="BK11" s="120" t="str">
        <f t="shared" ref="BK11" si="110">IF(BK9=BK10,"","X")</f>
        <v/>
      </c>
      <c r="BL11" s="120" t="str">
        <f t="shared" ref="BL11" si="111">IF(BL9=BL10,"","X")</f>
        <v/>
      </c>
      <c r="BM11" s="120" t="str">
        <f t="shared" ref="BM11" si="112">IF(BM9=BM10,"","X")</f>
        <v/>
      </c>
      <c r="BN11" s="120" t="str">
        <f t="shared" ref="BN11" si="113">IF(BN9=BN10,"","X")</f>
        <v/>
      </c>
      <c r="BO11" s="120" t="str">
        <f t="shared" ref="BO11" si="114">IF(BO9=BO10,"","X")</f>
        <v/>
      </c>
      <c r="BP11" s="120" t="str">
        <f t="shared" ref="BP11" si="115">IF(BP9=BP10,"","X")</f>
        <v/>
      </c>
      <c r="BQ11" s="120" t="str">
        <f t="shared" ref="BQ11" si="116">IF(BQ9=BQ10,"","X")</f>
        <v/>
      </c>
      <c r="BR11" s="120" t="str">
        <f t="shared" ref="BR11" si="117">IF(BR9=BR10,"","X")</f>
        <v/>
      </c>
    </row>
    <row r="12" spans="1:70" s="13" customFormat="1" ht="15" customHeight="1" thickBot="1" x14ac:dyDescent="0.3">
      <c r="A12" s="198"/>
      <c r="B12" s="208"/>
      <c r="C12" s="18" t="s">
        <v>35</v>
      </c>
      <c r="D12" s="95" t="str">
        <f>'DE-9IM Matrixes'!D11</f>
        <v>F</v>
      </c>
      <c r="E12" s="96" t="str">
        <f>'DE-9IM Matrixes'!E11</f>
        <v>*</v>
      </c>
      <c r="F12" s="111" t="str">
        <f>'DE-9IM Matrixes'!F11</f>
        <v>*</v>
      </c>
      <c r="G12" s="19"/>
      <c r="H12" s="208"/>
      <c r="I12" s="18" t="s">
        <v>35</v>
      </c>
      <c r="J12" s="95" t="str">
        <f>'DE-9IM Matrixes'!J11</f>
        <v>*</v>
      </c>
      <c r="K12" s="96" t="str">
        <f>'DE-9IM Matrixes'!K11</f>
        <v>*</v>
      </c>
      <c r="L12" s="111" t="str">
        <f>'DE-9IM Matrixes'!L11</f>
        <v>*</v>
      </c>
      <c r="M12" s="19"/>
      <c r="N12" s="208"/>
      <c r="O12" s="18" t="s">
        <v>35</v>
      </c>
      <c r="P12" s="95" t="str">
        <f>'DE-9IM Matrixes'!P11</f>
        <v>*</v>
      </c>
      <c r="Q12" s="96" t="str">
        <f>'DE-9IM Matrixes'!Q11</f>
        <v>*</v>
      </c>
      <c r="R12" s="111" t="str">
        <f>'DE-9IM Matrixes'!R11</f>
        <v>*</v>
      </c>
      <c r="S12"/>
      <c r="T12" s="186"/>
      <c r="U12" s="208"/>
      <c r="V12" s="108" t="s">
        <v>35</v>
      </c>
      <c r="W12" s="109" t="str">
        <f>F10</f>
        <v>T</v>
      </c>
      <c r="X12" s="110" t="str">
        <f>F11</f>
        <v>*</v>
      </c>
      <c r="Y12" s="112" t="str">
        <f>F12</f>
        <v>*</v>
      </c>
      <c r="Z12" s="19"/>
      <c r="AA12" s="210"/>
      <c r="AB12" s="13" t="s">
        <v>35</v>
      </c>
      <c r="AC12" s="109" t="str">
        <f>L10</f>
        <v>*</v>
      </c>
      <c r="AD12" s="110" t="str">
        <f>L11</f>
        <v>*</v>
      </c>
      <c r="AE12" s="112" t="str">
        <f>L12</f>
        <v>*</v>
      </c>
      <c r="AF12" s="19"/>
      <c r="AG12" s="212"/>
      <c r="AH12" s="13" t="s">
        <v>35</v>
      </c>
      <c r="AI12" s="109" t="str">
        <f>R10</f>
        <v>*</v>
      </c>
      <c r="AJ12" s="110" t="str">
        <f>R11</f>
        <v>*</v>
      </c>
      <c r="AK12" s="112" t="str">
        <f>R12</f>
        <v>*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s="13" customFormat="1" ht="15" customHeight="1" thickTop="1" thickBot="1" x14ac:dyDescent="0.3">
      <c r="A13" s="181" t="str">
        <f>'DE-9IM Matrixes'!A12</f>
        <v>A Partitions B</v>
      </c>
      <c r="B13" s="20"/>
      <c r="C13" s="11"/>
      <c r="D13" s="215" t="s">
        <v>31</v>
      </c>
      <c r="E13" s="215"/>
      <c r="F13" s="215"/>
      <c r="G13" s="12"/>
      <c r="H13" s="11"/>
      <c r="I13" s="11"/>
      <c r="J13" s="206" t="s">
        <v>31</v>
      </c>
      <c r="K13" s="206"/>
      <c r="L13" s="206"/>
      <c r="M13" s="12"/>
      <c r="N13" s="11"/>
      <c r="O13" s="11"/>
      <c r="P13" s="206" t="s">
        <v>31</v>
      </c>
      <c r="Q13" s="206"/>
      <c r="R13" s="206"/>
      <c r="S13"/>
      <c r="T13" s="194" t="str">
        <f t="shared" ref="T13" si="118">SUBSTITUTE(SUBSTITUTE(SUBSTITUTE(SUBSTITUTE(A13,"A","x"),"B","A"),"x","B"),"Ao","Bo")</f>
        <v>B Partitions A</v>
      </c>
      <c r="U13" s="20"/>
      <c r="V13" s="11"/>
      <c r="W13" s="206" t="s">
        <v>31</v>
      </c>
      <c r="X13" s="206"/>
      <c r="Y13" s="206"/>
      <c r="Z13" s="12"/>
      <c r="AA13" s="11"/>
      <c r="AB13" s="11"/>
      <c r="AC13" s="206" t="s">
        <v>31</v>
      </c>
      <c r="AD13" s="206"/>
      <c r="AE13" s="206"/>
      <c r="AF13" s="12"/>
      <c r="AG13" s="11"/>
      <c r="AH13" s="11"/>
      <c r="AI13" s="206" t="s">
        <v>31</v>
      </c>
      <c r="AJ13" s="206"/>
      <c r="AK13" s="206"/>
      <c r="AL13"/>
      <c r="AM13" s="24" t="str">
        <f t="shared" ref="AM13" si="119">A13</f>
        <v>A Partitions B</v>
      </c>
      <c r="AN13" s="25"/>
      <c r="AO13" s="83" t="str">
        <f t="shared" ref="AO13" si="120">D15</f>
        <v>T</v>
      </c>
      <c r="AP13" s="86" t="str">
        <f t="shared" ref="AP13" si="121">E15</f>
        <v>*</v>
      </c>
      <c r="AQ13" s="88" t="str">
        <f t="shared" ref="AQ13" si="122">F15</f>
        <v>F</v>
      </c>
      <c r="AR13" s="87" t="str">
        <f t="shared" ref="AR13" si="123">D16</f>
        <v>*</v>
      </c>
      <c r="AS13" s="84" t="str">
        <f t="shared" ref="AS13" si="124">E16</f>
        <v>T</v>
      </c>
      <c r="AT13" s="90" t="str">
        <f t="shared" ref="AT13" si="125">F16</f>
        <v>*</v>
      </c>
      <c r="AU13" s="80" t="str">
        <f t="shared" ref="AU13" si="126">D17</f>
        <v>T</v>
      </c>
      <c r="AV13" s="82" t="str">
        <f t="shared" ref="AV13" si="127">E17</f>
        <v>*</v>
      </c>
      <c r="AW13" s="85" t="str">
        <f t="shared" ref="AW13" si="128">F17</f>
        <v>*</v>
      </c>
      <c r="AX13" s="25"/>
      <c r="AY13" s="83" t="str">
        <f t="shared" ref="AY13" si="129">J15</f>
        <v>*</v>
      </c>
      <c r="AZ13" s="86" t="str">
        <f t="shared" ref="AZ13" si="130">K15</f>
        <v>*</v>
      </c>
      <c r="BA13" s="88" t="str">
        <f t="shared" ref="BA13" si="131">L15</f>
        <v>*</v>
      </c>
      <c r="BB13" s="87" t="str">
        <f t="shared" ref="BB13" si="132">J16</f>
        <v>*</v>
      </c>
      <c r="BC13" s="84" t="str">
        <f t="shared" ref="BC13" si="133">K16</f>
        <v>*</v>
      </c>
      <c r="BD13" s="90" t="str">
        <f t="shared" ref="BD13" si="134">L16</f>
        <v>*</v>
      </c>
      <c r="BE13" s="80" t="str">
        <f t="shared" ref="BE13" si="135">J17</f>
        <v>*</v>
      </c>
      <c r="BF13" s="82" t="str">
        <f t="shared" ref="BF13" si="136">K17</f>
        <v>*</v>
      </c>
      <c r="BG13" s="85" t="str">
        <f t="shared" ref="BG13" si="137">L17</f>
        <v>*</v>
      </c>
      <c r="BH13" s="25"/>
      <c r="BI13" s="83" t="str">
        <f t="shared" ref="BI13" si="138">P15</f>
        <v>*</v>
      </c>
      <c r="BJ13" s="86" t="str">
        <f t="shared" ref="BJ13" si="139">Q15</f>
        <v>*</v>
      </c>
      <c r="BK13" s="88" t="str">
        <f t="shared" ref="BK13" si="140">R15</f>
        <v>*</v>
      </c>
      <c r="BL13" s="87" t="str">
        <f t="shared" ref="BL13" si="141">P16</f>
        <v>*</v>
      </c>
      <c r="BM13" s="84" t="str">
        <f t="shared" ref="BM13" si="142">Q16</f>
        <v>*</v>
      </c>
      <c r="BN13" s="90" t="str">
        <f t="shared" ref="BN13" si="143">R16</f>
        <v>*</v>
      </c>
      <c r="BO13" s="80" t="str">
        <f t="shared" ref="BO13" si="144">P17</f>
        <v>*</v>
      </c>
      <c r="BP13" s="82" t="str">
        <f t="shared" ref="BP13" si="145">Q17</f>
        <v>*</v>
      </c>
      <c r="BQ13" s="85" t="str">
        <f t="shared" ref="BQ13" si="146">R17</f>
        <v>*</v>
      </c>
      <c r="BR13" s="28"/>
    </row>
    <row r="14" spans="1:70" s="13" customFormat="1" ht="15" customHeight="1" thickTop="1" thickBot="1" x14ac:dyDescent="0.3">
      <c r="A14" s="182"/>
      <c r="B14" s="21"/>
      <c r="C14" s="16" t="s">
        <v>33</v>
      </c>
      <c r="D14" s="13" t="s">
        <v>34</v>
      </c>
      <c r="E14" s="13" t="s">
        <v>31</v>
      </c>
      <c r="F14" s="13" t="s">
        <v>35</v>
      </c>
      <c r="G14" s="17"/>
      <c r="I14" s="16" t="s">
        <v>33</v>
      </c>
      <c r="J14" s="13" t="s">
        <v>34</v>
      </c>
      <c r="K14" s="13" t="s">
        <v>31</v>
      </c>
      <c r="L14" s="13" t="s">
        <v>35</v>
      </c>
      <c r="M14" s="17"/>
      <c r="O14" s="16" t="s">
        <v>33</v>
      </c>
      <c r="P14" s="13" t="s">
        <v>34</v>
      </c>
      <c r="Q14" s="13" t="s">
        <v>31</v>
      </c>
      <c r="R14" s="13" t="s">
        <v>35</v>
      </c>
      <c r="S14"/>
      <c r="T14" s="185"/>
      <c r="U14" s="21"/>
      <c r="V14" s="16" t="s">
        <v>33</v>
      </c>
      <c r="W14" s="13" t="s">
        <v>34</v>
      </c>
      <c r="X14" s="13" t="s">
        <v>31</v>
      </c>
      <c r="Y14" s="13" t="s">
        <v>35</v>
      </c>
      <c r="Z14" s="17"/>
      <c r="AB14" s="16" t="s">
        <v>33</v>
      </c>
      <c r="AC14" s="13" t="s">
        <v>34</v>
      </c>
      <c r="AD14" s="13" t="s">
        <v>31</v>
      </c>
      <c r="AE14" s="13" t="s">
        <v>35</v>
      </c>
      <c r="AF14" s="17"/>
      <c r="AH14" s="16" t="s">
        <v>33</v>
      </c>
      <c r="AI14" s="13" t="s">
        <v>34</v>
      </c>
      <c r="AJ14" s="13" t="s">
        <v>31</v>
      </c>
      <c r="AK14" s="13" t="s">
        <v>35</v>
      </c>
      <c r="AL14"/>
      <c r="AM14" s="150" t="s">
        <v>80</v>
      </c>
      <c r="AN14" s="151"/>
      <c r="AO14" s="152" t="str">
        <f t="shared" ref="AO14" si="147">AO13</f>
        <v>T</v>
      </c>
      <c r="AP14" s="152" t="str">
        <f t="shared" ref="AP14" si="148">IF(ISERROR(SEARCH("Not",$AM16)),AP13,AR13)</f>
        <v>*</v>
      </c>
      <c r="AQ14" s="152" t="str">
        <f t="shared" ref="AQ14" si="149">IF(ISERROR(SEARCH("Not",$AM16)),AQ13,AU13)</f>
        <v>T</v>
      </c>
      <c r="AR14" s="152" t="str">
        <f t="shared" ref="AR14" si="150">IF(ISERROR(SEARCH("Not",$AM16)),AR13,AP13)</f>
        <v>*</v>
      </c>
      <c r="AS14" s="152" t="str">
        <f t="shared" ref="AS14" si="151">AS13</f>
        <v>T</v>
      </c>
      <c r="AT14" s="152" t="str">
        <f t="shared" ref="AT14" si="152">IF(ISERROR(SEARCH("Not",$AM16)),AT13,AV13)</f>
        <v>*</v>
      </c>
      <c r="AU14" s="152" t="str">
        <f t="shared" ref="AU14" si="153">IF(ISERROR(SEARCH("Not",$AM16)),AU13,AQ13)</f>
        <v>F</v>
      </c>
      <c r="AV14" s="152" t="str">
        <f t="shared" ref="AV14" si="154">IF(ISERROR(SEARCH("Not",$AM16)),AV13,AT13)</f>
        <v>*</v>
      </c>
      <c r="AW14" s="152" t="str">
        <f t="shared" ref="AW14" si="155">AW13</f>
        <v>*</v>
      </c>
      <c r="AX14" s="152"/>
      <c r="AY14" s="152" t="str">
        <f t="shared" ref="AY14" si="156">AY13</f>
        <v>*</v>
      </c>
      <c r="AZ14" s="152" t="str">
        <f t="shared" ref="AZ14" si="157">IF(ISERROR(SEARCH("Not",$AM16)),AZ13,BB13)</f>
        <v>*</v>
      </c>
      <c r="BA14" s="152" t="str">
        <f t="shared" ref="BA14" si="158">IF(ISERROR(SEARCH("Not",$AM16)),BA13,BE13)</f>
        <v>*</v>
      </c>
      <c r="BB14" s="152" t="str">
        <f t="shared" ref="BB14" si="159">IF(ISERROR(SEARCH("Not",$AM16)),BB13,AZ13)</f>
        <v>*</v>
      </c>
      <c r="BC14" s="152" t="str">
        <f t="shared" ref="BC14" si="160">BC13</f>
        <v>*</v>
      </c>
      <c r="BD14" s="152" t="str">
        <f t="shared" ref="BD14" si="161">IF(ISERROR(SEARCH("Not",$AM16)),BD13,BF13)</f>
        <v>*</v>
      </c>
      <c r="BE14" s="152" t="str">
        <f t="shared" ref="BE14" si="162">IF(ISERROR(SEARCH("Not",$AM16)),BE13,BA13)</f>
        <v>*</v>
      </c>
      <c r="BF14" s="152" t="str">
        <f t="shared" ref="BF14" si="163">IF(ISERROR(SEARCH("Not",$AM16)),BF13,BD13)</f>
        <v>*</v>
      </c>
      <c r="BG14" s="152" t="str">
        <f t="shared" ref="BG14" si="164">BG13</f>
        <v>*</v>
      </c>
      <c r="BH14" s="152"/>
      <c r="BI14" s="152" t="str">
        <f t="shared" ref="BI14" si="165">BI13</f>
        <v>*</v>
      </c>
      <c r="BJ14" s="152" t="str">
        <f t="shared" ref="BJ14" si="166">IF(ISERROR(SEARCH("Not",$AM16)),BJ13,BL13)</f>
        <v>*</v>
      </c>
      <c r="BK14" s="152" t="str">
        <f t="shared" ref="BK14" si="167">IF(ISERROR(SEARCH("Not",$AM16)),BK13,BO13)</f>
        <v>*</v>
      </c>
      <c r="BL14" s="152" t="str">
        <f t="shared" ref="BL14" si="168">IF(ISERROR(SEARCH("Not",$AM16)),BL13,BJ13)</f>
        <v>*</v>
      </c>
      <c r="BM14" s="152" t="str">
        <f t="shared" ref="BM14" si="169">BM13</f>
        <v>*</v>
      </c>
      <c r="BN14" s="152" t="str">
        <f t="shared" ref="BN14" si="170">IF(ISERROR(SEARCH("Not",$AM16)),BN13,BP13)</f>
        <v>*</v>
      </c>
      <c r="BO14" s="152" t="str">
        <f t="shared" ref="BO14" si="171">IF(ISERROR(SEARCH("Not",$AM16)),BO13,BK13)</f>
        <v>*</v>
      </c>
      <c r="BP14" s="152" t="str">
        <f t="shared" ref="BP14" si="172">IF(ISERROR(SEARCH("Not",$AM16)),BP13,BN13)</f>
        <v>*</v>
      </c>
      <c r="BQ14" s="152" t="str">
        <f t="shared" ref="BQ14" si="173">BQ13</f>
        <v>*</v>
      </c>
      <c r="BR14" s="124"/>
    </row>
    <row r="15" spans="1:70" s="13" customFormat="1" ht="15" customHeight="1" thickTop="1" thickBot="1" x14ac:dyDescent="0.3">
      <c r="A15" s="182"/>
      <c r="B15" s="207" t="s">
        <v>36</v>
      </c>
      <c r="C15" s="13" t="s">
        <v>34</v>
      </c>
      <c r="D15" s="97" t="str">
        <f>'DE-9IM Matrixes'!D14</f>
        <v>T</v>
      </c>
      <c r="E15" s="98" t="str">
        <f>'DE-9IM Matrixes'!E14</f>
        <v>*</v>
      </c>
      <c r="F15" s="99" t="str">
        <f>'DE-9IM Matrixes'!F14</f>
        <v>F</v>
      </c>
      <c r="G15" s="17"/>
      <c r="H15" s="209" t="s">
        <v>36</v>
      </c>
      <c r="I15" s="13" t="s">
        <v>34</v>
      </c>
      <c r="J15" s="97" t="str">
        <f>'DE-9IM Matrixes'!J14</f>
        <v>*</v>
      </c>
      <c r="K15" s="98" t="str">
        <f>'DE-9IM Matrixes'!K14</f>
        <v>*</v>
      </c>
      <c r="L15" s="99" t="str">
        <f>'DE-9IM Matrixes'!L14</f>
        <v>*</v>
      </c>
      <c r="M15" s="17"/>
      <c r="N15" s="207" t="s">
        <v>36</v>
      </c>
      <c r="O15" s="13" t="s">
        <v>34</v>
      </c>
      <c r="P15" s="97" t="str">
        <f>'DE-9IM Matrixes'!P14</f>
        <v>*</v>
      </c>
      <c r="Q15" s="98" t="str">
        <f>'DE-9IM Matrixes'!Q14</f>
        <v>*</v>
      </c>
      <c r="R15" s="99" t="str">
        <f>'DE-9IM Matrixes'!R14</f>
        <v>*</v>
      </c>
      <c r="S15"/>
      <c r="T15" s="185"/>
      <c r="U15" s="207" t="s">
        <v>36</v>
      </c>
      <c r="V15" s="13" t="s">
        <v>34</v>
      </c>
      <c r="W15" s="101" t="str">
        <f>D15</f>
        <v>T</v>
      </c>
      <c r="X15" s="102" t="str">
        <f>D16</f>
        <v>*</v>
      </c>
      <c r="Y15" s="103" t="str">
        <f>D17</f>
        <v>T</v>
      </c>
      <c r="Z15" s="17"/>
      <c r="AA15" s="209" t="s">
        <v>36</v>
      </c>
      <c r="AB15" s="13" t="s">
        <v>34</v>
      </c>
      <c r="AC15" s="101" t="str">
        <f>J15</f>
        <v>*</v>
      </c>
      <c r="AD15" s="102" t="str">
        <f>J16</f>
        <v>*</v>
      </c>
      <c r="AE15" s="103" t="str">
        <f>J17</f>
        <v>*</v>
      </c>
      <c r="AF15" s="17"/>
      <c r="AG15" s="211" t="s">
        <v>36</v>
      </c>
      <c r="AH15" s="13" t="s">
        <v>34</v>
      </c>
      <c r="AI15" s="101" t="str">
        <f>P15</f>
        <v>*</v>
      </c>
      <c r="AJ15" s="102" t="str">
        <f>P16</f>
        <v>*</v>
      </c>
      <c r="AK15" s="103" t="str">
        <f>P17</f>
        <v>*</v>
      </c>
      <c r="AL15"/>
      <c r="AM15" s="24" t="str">
        <f t="shared" ref="AM15" si="174">T13</f>
        <v>B Partitions A</v>
      </c>
      <c r="AN15" s="25"/>
      <c r="AO15" s="83" t="str">
        <f t="shared" ref="AO15" si="175">W15</f>
        <v>T</v>
      </c>
      <c r="AP15" s="87" t="str">
        <f t="shared" ref="AP15" si="176">X15</f>
        <v>*</v>
      </c>
      <c r="AQ15" s="89" t="str">
        <f t="shared" ref="AQ15" si="177">Y15</f>
        <v>T</v>
      </c>
      <c r="AR15" s="86" t="str">
        <f t="shared" ref="AR15" si="178">W16</f>
        <v>*</v>
      </c>
      <c r="AS15" s="84" t="str">
        <f t="shared" ref="AS15" si="179">X16</f>
        <v>T</v>
      </c>
      <c r="AT15" s="91" t="str">
        <f t="shared" ref="AT15" si="180">Y16</f>
        <v>*</v>
      </c>
      <c r="AU15" s="79" t="str">
        <f t="shared" ref="AU15:AW15" si="181">W17</f>
        <v>F</v>
      </c>
      <c r="AV15" s="81" t="str">
        <f t="shared" si="181"/>
        <v>*</v>
      </c>
      <c r="AW15" s="85" t="str">
        <f t="shared" si="181"/>
        <v>*</v>
      </c>
      <c r="AX15" s="25"/>
      <c r="AY15" s="83" t="str">
        <f t="shared" ref="AY15" si="182">AC15</f>
        <v>*</v>
      </c>
      <c r="AZ15" s="87" t="str">
        <f t="shared" ref="AZ15" si="183">AD15</f>
        <v>*</v>
      </c>
      <c r="BA15" s="89" t="str">
        <f t="shared" ref="BA15" si="184">AE15</f>
        <v>*</v>
      </c>
      <c r="BB15" s="86" t="str">
        <f t="shared" ref="BB15" si="185">AC16</f>
        <v>*</v>
      </c>
      <c r="BC15" s="84" t="str">
        <f t="shared" ref="BC15" si="186">AD16</f>
        <v>*</v>
      </c>
      <c r="BD15" s="91" t="str">
        <f t="shared" ref="BD15" si="187">AE16</f>
        <v>*</v>
      </c>
      <c r="BE15" s="79" t="str">
        <f t="shared" ref="BE15:BG15" si="188">AC17</f>
        <v>*</v>
      </c>
      <c r="BF15" s="81" t="str">
        <f t="shared" si="188"/>
        <v>*</v>
      </c>
      <c r="BG15" s="85" t="str">
        <f t="shared" si="188"/>
        <v>*</v>
      </c>
      <c r="BH15" s="25"/>
      <c r="BI15" s="83" t="str">
        <f t="shared" ref="BI15" si="189">AI15</f>
        <v>*</v>
      </c>
      <c r="BJ15" s="87" t="str">
        <f t="shared" ref="BJ15" si="190">AJ15</f>
        <v>*</v>
      </c>
      <c r="BK15" s="89" t="str">
        <f t="shared" ref="BK15" si="191">AK15</f>
        <v>*</v>
      </c>
      <c r="BL15" s="86" t="str">
        <f t="shared" ref="BL15" si="192">AI16</f>
        <v>*</v>
      </c>
      <c r="BM15" s="84" t="str">
        <f t="shared" ref="BM15" si="193">AJ16</f>
        <v>*</v>
      </c>
      <c r="BN15" s="91" t="str">
        <f t="shared" ref="BN15" si="194">AK16</f>
        <v>*</v>
      </c>
      <c r="BO15" s="79" t="str">
        <f t="shared" ref="BO15:BQ15" si="195">AI17</f>
        <v>*</v>
      </c>
      <c r="BP15" s="81" t="str">
        <f t="shared" si="195"/>
        <v>*</v>
      </c>
      <c r="BQ15" s="85" t="str">
        <f t="shared" si="195"/>
        <v>*</v>
      </c>
      <c r="BR15" s="28"/>
    </row>
    <row r="16" spans="1:70" s="13" customFormat="1" ht="15" customHeight="1" x14ac:dyDescent="0.25">
      <c r="A16" s="182"/>
      <c r="B16" s="207"/>
      <c r="C16" s="13" t="s">
        <v>31</v>
      </c>
      <c r="D16" s="92" t="str">
        <f>'DE-9IM Matrixes'!D15</f>
        <v>*</v>
      </c>
      <c r="E16" s="93" t="str">
        <f>'DE-9IM Matrixes'!E15</f>
        <v>T</v>
      </c>
      <c r="F16" s="94" t="str">
        <f>'DE-9IM Matrixes'!F15</f>
        <v>*</v>
      </c>
      <c r="G16" s="17"/>
      <c r="H16" s="209"/>
      <c r="I16" s="13" t="s">
        <v>31</v>
      </c>
      <c r="J16" s="92" t="str">
        <f>'DE-9IM Matrixes'!J15</f>
        <v>*</v>
      </c>
      <c r="K16" s="93" t="str">
        <f>'DE-9IM Matrixes'!K15</f>
        <v>*</v>
      </c>
      <c r="L16" s="94" t="str">
        <f>'DE-9IM Matrixes'!L15</f>
        <v>*</v>
      </c>
      <c r="M16" s="17"/>
      <c r="N16" s="207"/>
      <c r="O16" s="13" t="s">
        <v>31</v>
      </c>
      <c r="P16" s="92" t="str">
        <f>'DE-9IM Matrixes'!P15</f>
        <v>*</v>
      </c>
      <c r="Q16" s="93" t="str">
        <f>'DE-9IM Matrixes'!Q15</f>
        <v>*</v>
      </c>
      <c r="R16" s="94" t="str">
        <f>'DE-9IM Matrixes'!R15</f>
        <v>*</v>
      </c>
      <c r="S16"/>
      <c r="T16" s="185"/>
      <c r="U16" s="207"/>
      <c r="V16" s="13" t="s">
        <v>31</v>
      </c>
      <c r="W16" s="105" t="str">
        <f>E15</f>
        <v>*</v>
      </c>
      <c r="X16" s="106" t="str">
        <f>E16</f>
        <v>T</v>
      </c>
      <c r="Y16" s="107" t="str">
        <f>E17</f>
        <v>*</v>
      </c>
      <c r="Z16" s="17"/>
      <c r="AA16" s="209"/>
      <c r="AB16" s="13" t="s">
        <v>31</v>
      </c>
      <c r="AC16" s="105" t="str">
        <f>K15</f>
        <v>*</v>
      </c>
      <c r="AD16" s="106" t="str">
        <f>K16</f>
        <v>*</v>
      </c>
      <c r="AE16" s="107" t="str">
        <f>K17</f>
        <v>*</v>
      </c>
      <c r="AF16" s="17"/>
      <c r="AG16" s="211"/>
      <c r="AH16" s="13" t="s">
        <v>31</v>
      </c>
      <c r="AI16" s="105" t="str">
        <f>Q15</f>
        <v>*</v>
      </c>
      <c r="AJ16" s="106" t="str">
        <f>Q16</f>
        <v>*</v>
      </c>
      <c r="AK16" s="107" t="str">
        <f>Q17</f>
        <v>*</v>
      </c>
      <c r="AL16"/>
      <c r="AM16" s="149" t="s">
        <v>79</v>
      </c>
      <c r="AN16" s="120"/>
      <c r="AO16" s="120" t="str">
        <f t="shared" ref="AO16" si="196">IF(AO14=AO15,"","X")</f>
        <v/>
      </c>
      <c r="AP16" s="120" t="str">
        <f t="shared" ref="AP16" si="197">IF(AP14=AP15,"","X")</f>
        <v/>
      </c>
      <c r="AQ16" s="120" t="str">
        <f t="shared" ref="AQ16" si="198">IF(AQ14=AQ15,"","X")</f>
        <v/>
      </c>
      <c r="AR16" s="120" t="str">
        <f t="shared" ref="AR16" si="199">IF(AR14=AR15,"","X")</f>
        <v/>
      </c>
      <c r="AS16" s="120" t="str">
        <f t="shared" ref="AS16" si="200">IF(AS14=AS15,"","X")</f>
        <v/>
      </c>
      <c r="AT16" s="120" t="str">
        <f t="shared" ref="AT16" si="201">IF(AT14=AT15,"","X")</f>
        <v/>
      </c>
      <c r="AU16" s="120" t="str">
        <f t="shared" ref="AU16" si="202">IF(AU14=AU15,"","X")</f>
        <v/>
      </c>
      <c r="AV16" s="120" t="str">
        <f t="shared" ref="AV16" si="203">IF(AV14=AV15,"","X")</f>
        <v/>
      </c>
      <c r="AW16" s="120" t="str">
        <f t="shared" ref="AW16" si="204">IF(AW14=AW15,"","X")</f>
        <v/>
      </c>
      <c r="AX16" s="120" t="str">
        <f t="shared" ref="AX16" si="205">IF(AX14=AX15,"","X")</f>
        <v/>
      </c>
      <c r="AY16" s="120" t="str">
        <f t="shared" ref="AY16" si="206">IF(AY14=AY15,"","X")</f>
        <v/>
      </c>
      <c r="AZ16" s="120" t="str">
        <f t="shared" ref="AZ16" si="207">IF(AZ14=AZ15,"","X")</f>
        <v/>
      </c>
      <c r="BA16" s="120" t="str">
        <f t="shared" ref="BA16" si="208">IF(BA14=BA15,"","X")</f>
        <v/>
      </c>
      <c r="BB16" s="120" t="str">
        <f t="shared" ref="BB16" si="209">IF(BB14=BB15,"","X")</f>
        <v/>
      </c>
      <c r="BC16" s="120" t="str">
        <f t="shared" ref="BC16" si="210">IF(BC14=BC15,"","X")</f>
        <v/>
      </c>
      <c r="BD16" s="120" t="str">
        <f t="shared" ref="BD16" si="211">IF(BD14=BD15,"","X")</f>
        <v/>
      </c>
      <c r="BE16" s="120" t="str">
        <f t="shared" ref="BE16" si="212">IF(BE14=BE15,"","X")</f>
        <v/>
      </c>
      <c r="BF16" s="120" t="str">
        <f t="shared" ref="BF16" si="213">IF(BF14=BF15,"","X")</f>
        <v/>
      </c>
      <c r="BG16" s="120" t="str">
        <f t="shared" ref="BG16" si="214">IF(BG14=BG15,"","X")</f>
        <v/>
      </c>
      <c r="BH16" s="120" t="str">
        <f t="shared" ref="BH16" si="215">IF(BH14=BH15,"","X")</f>
        <v/>
      </c>
      <c r="BI16" s="120" t="str">
        <f t="shared" ref="BI16" si="216">IF(BI14=BI15,"","X")</f>
        <v/>
      </c>
      <c r="BJ16" s="120" t="str">
        <f t="shared" ref="BJ16" si="217">IF(BJ14=BJ15,"","X")</f>
        <v/>
      </c>
      <c r="BK16" s="120" t="str">
        <f t="shared" ref="BK16" si="218">IF(BK14=BK15,"","X")</f>
        <v/>
      </c>
      <c r="BL16" s="120" t="str">
        <f t="shared" ref="BL16" si="219">IF(BL14=BL15,"","X")</f>
        <v/>
      </c>
      <c r="BM16" s="120" t="str">
        <f t="shared" ref="BM16" si="220">IF(BM14=BM15,"","X")</f>
        <v/>
      </c>
      <c r="BN16" s="120" t="str">
        <f t="shared" ref="BN16" si="221">IF(BN14=BN15,"","X")</f>
        <v/>
      </c>
      <c r="BO16" s="120" t="str">
        <f t="shared" ref="BO16" si="222">IF(BO14=BO15,"","X")</f>
        <v/>
      </c>
      <c r="BP16" s="120" t="str">
        <f t="shared" ref="BP16" si="223">IF(BP14=BP15,"","X")</f>
        <v/>
      </c>
      <c r="BQ16" s="120" t="str">
        <f t="shared" ref="BQ16" si="224">IF(BQ14=BQ15,"","X")</f>
        <v/>
      </c>
      <c r="BR16" s="120" t="str">
        <f t="shared" ref="BR16" si="225">IF(BR14=BR15,"","X")</f>
        <v/>
      </c>
    </row>
    <row r="17" spans="1:70" s="13" customFormat="1" ht="15" customHeight="1" thickBot="1" x14ac:dyDescent="0.3">
      <c r="A17" s="198"/>
      <c r="B17" s="208"/>
      <c r="C17" s="13" t="s">
        <v>35</v>
      </c>
      <c r="D17" s="95" t="str">
        <f>'DE-9IM Matrixes'!D16</f>
        <v>T</v>
      </c>
      <c r="E17" s="96" t="str">
        <f>'DE-9IM Matrixes'!E16</f>
        <v>*</v>
      </c>
      <c r="F17" s="111" t="str">
        <f>'DE-9IM Matrixes'!F16</f>
        <v>*</v>
      </c>
      <c r="G17" s="19"/>
      <c r="H17" s="210"/>
      <c r="I17" s="13" t="s">
        <v>35</v>
      </c>
      <c r="J17" s="95" t="str">
        <f>'DE-9IM Matrixes'!J16</f>
        <v>*</v>
      </c>
      <c r="K17" s="96" t="str">
        <f>'DE-9IM Matrixes'!K16</f>
        <v>*</v>
      </c>
      <c r="L17" s="111" t="str">
        <f>'DE-9IM Matrixes'!L16</f>
        <v>*</v>
      </c>
      <c r="M17" s="19"/>
      <c r="N17" s="208"/>
      <c r="O17" s="13" t="s">
        <v>35</v>
      </c>
      <c r="P17" s="95" t="str">
        <f>'DE-9IM Matrixes'!P16</f>
        <v>*</v>
      </c>
      <c r="Q17" s="96" t="str">
        <f>'DE-9IM Matrixes'!Q16</f>
        <v>*</v>
      </c>
      <c r="R17" s="111" t="str">
        <f>'DE-9IM Matrixes'!R16</f>
        <v>*</v>
      </c>
      <c r="S17"/>
      <c r="T17" s="186"/>
      <c r="U17" s="208"/>
      <c r="V17" s="13" t="s">
        <v>35</v>
      </c>
      <c r="W17" s="109" t="str">
        <f>F15</f>
        <v>F</v>
      </c>
      <c r="X17" s="110" t="str">
        <f>F16</f>
        <v>*</v>
      </c>
      <c r="Y17" s="112" t="str">
        <f>F17</f>
        <v>*</v>
      </c>
      <c r="Z17" s="19"/>
      <c r="AA17" s="210"/>
      <c r="AB17" s="13" t="s">
        <v>35</v>
      </c>
      <c r="AC17" s="109" t="str">
        <f>L15</f>
        <v>*</v>
      </c>
      <c r="AD17" s="110" t="str">
        <f>L16</f>
        <v>*</v>
      </c>
      <c r="AE17" s="112" t="str">
        <f>L17</f>
        <v>*</v>
      </c>
      <c r="AF17" s="19"/>
      <c r="AG17" s="212"/>
      <c r="AH17" s="13" t="s">
        <v>35</v>
      </c>
      <c r="AI17" s="109" t="str">
        <f>R15</f>
        <v>*</v>
      </c>
      <c r="AJ17" s="110" t="str">
        <f>R16</f>
        <v>*</v>
      </c>
      <c r="AK17" s="112" t="str">
        <f>R17</f>
        <v>*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s="13" customFormat="1" ht="15" customHeight="1" thickTop="1" thickBot="1" x14ac:dyDescent="0.3">
      <c r="A18" s="181" t="str">
        <f>'DE-9IM Matrixes'!A17</f>
        <v>A Equals B</v>
      </c>
      <c r="B18" s="20"/>
      <c r="C18" s="11"/>
      <c r="D18" s="206" t="s">
        <v>31</v>
      </c>
      <c r="E18" s="206"/>
      <c r="F18" s="206"/>
      <c r="G18" s="12"/>
      <c r="H18" s="11"/>
      <c r="I18" s="11"/>
      <c r="J18" s="206" t="s">
        <v>31</v>
      </c>
      <c r="K18" s="206"/>
      <c r="L18" s="206"/>
      <c r="M18" s="12"/>
      <c r="N18" s="11"/>
      <c r="O18" s="11"/>
      <c r="P18" s="206" t="s">
        <v>31</v>
      </c>
      <c r="Q18" s="206"/>
      <c r="R18" s="206"/>
      <c r="S18"/>
      <c r="T18" s="194" t="str">
        <f t="shared" ref="T18" si="226">SUBSTITUTE(SUBSTITUTE(SUBSTITUTE(SUBSTITUTE(A18,"A","x"),"B","A"),"x","B"),"Ao","Bo")</f>
        <v>B Equals A</v>
      </c>
      <c r="U18" s="20"/>
      <c r="V18" s="11"/>
      <c r="W18" s="206" t="s">
        <v>31</v>
      </c>
      <c r="X18" s="206"/>
      <c r="Y18" s="206"/>
      <c r="Z18" s="12"/>
      <c r="AA18" s="11"/>
      <c r="AB18" s="11"/>
      <c r="AC18" s="206" t="s">
        <v>31</v>
      </c>
      <c r="AD18" s="206"/>
      <c r="AE18" s="206"/>
      <c r="AF18" s="12"/>
      <c r="AG18" s="11"/>
      <c r="AH18" s="11"/>
      <c r="AI18" s="206" t="s">
        <v>31</v>
      </c>
      <c r="AJ18" s="206"/>
      <c r="AK18" s="206"/>
      <c r="AL18"/>
      <c r="AM18" s="24" t="str">
        <f t="shared" ref="AM18" si="227">A18</f>
        <v>A Equals B</v>
      </c>
      <c r="AN18" s="25"/>
      <c r="AO18" s="83" t="str">
        <f t="shared" ref="AO18" si="228">D20</f>
        <v>T</v>
      </c>
      <c r="AP18" s="86" t="str">
        <f t="shared" ref="AP18" si="229">E20</f>
        <v>*</v>
      </c>
      <c r="AQ18" s="88" t="str">
        <f t="shared" ref="AQ18" si="230">F20</f>
        <v>F</v>
      </c>
      <c r="AR18" s="87" t="str">
        <f t="shared" ref="AR18" si="231">D21</f>
        <v>*</v>
      </c>
      <c r="AS18" s="84" t="str">
        <f t="shared" ref="AS18" si="232">E21</f>
        <v>T</v>
      </c>
      <c r="AT18" s="90" t="str">
        <f t="shared" ref="AT18" si="233">F21</f>
        <v>*</v>
      </c>
      <c r="AU18" s="80" t="str">
        <f t="shared" ref="AU18" si="234">D22</f>
        <v>F</v>
      </c>
      <c r="AV18" s="82" t="str">
        <f t="shared" ref="AV18" si="235">E22</f>
        <v>*</v>
      </c>
      <c r="AW18" s="85" t="str">
        <f t="shared" ref="AW18" si="236">F22</f>
        <v>*</v>
      </c>
      <c r="AX18" s="25"/>
      <c r="AY18" s="83" t="str">
        <f t="shared" ref="AY18" si="237">J20</f>
        <v>*</v>
      </c>
      <c r="AZ18" s="86" t="str">
        <f t="shared" ref="AZ18" si="238">K20</f>
        <v>*</v>
      </c>
      <c r="BA18" s="88" t="str">
        <f t="shared" ref="BA18" si="239">L20</f>
        <v>*</v>
      </c>
      <c r="BB18" s="87" t="str">
        <f t="shared" ref="BB18" si="240">J21</f>
        <v>*</v>
      </c>
      <c r="BC18" s="84" t="str">
        <f t="shared" ref="BC18" si="241">K21</f>
        <v>*</v>
      </c>
      <c r="BD18" s="90" t="str">
        <f t="shared" ref="BD18" si="242">L21</f>
        <v>*</v>
      </c>
      <c r="BE18" s="80" t="str">
        <f t="shared" ref="BE18" si="243">J22</f>
        <v>*</v>
      </c>
      <c r="BF18" s="82" t="str">
        <f t="shared" ref="BF18" si="244">K22</f>
        <v>*</v>
      </c>
      <c r="BG18" s="85" t="str">
        <f t="shared" ref="BG18" si="245">L22</f>
        <v>*</v>
      </c>
      <c r="BH18" s="25"/>
      <c r="BI18" s="83" t="str">
        <f t="shared" ref="BI18" si="246">P20</f>
        <v>*</v>
      </c>
      <c r="BJ18" s="86" t="str">
        <f t="shared" ref="BJ18" si="247">Q20</f>
        <v>*</v>
      </c>
      <c r="BK18" s="88" t="str">
        <f t="shared" ref="BK18" si="248">R20</f>
        <v>*</v>
      </c>
      <c r="BL18" s="87" t="str">
        <f t="shared" ref="BL18" si="249">P21</f>
        <v>*</v>
      </c>
      <c r="BM18" s="84" t="str">
        <f t="shared" ref="BM18" si="250">Q21</f>
        <v>*</v>
      </c>
      <c r="BN18" s="90" t="str">
        <f t="shared" ref="BN18" si="251">R21</f>
        <v>*</v>
      </c>
      <c r="BO18" s="80" t="str">
        <f t="shared" ref="BO18" si="252">P22</f>
        <v>*</v>
      </c>
      <c r="BP18" s="82" t="str">
        <f t="shared" ref="BP18" si="253">Q22</f>
        <v>*</v>
      </c>
      <c r="BQ18" s="85" t="str">
        <f t="shared" ref="BQ18" si="254">R22</f>
        <v>*</v>
      </c>
      <c r="BR18" s="28"/>
    </row>
    <row r="19" spans="1:70" s="13" customFormat="1" ht="15" customHeight="1" thickTop="1" thickBot="1" x14ac:dyDescent="0.3">
      <c r="A19" s="182"/>
      <c r="B19" s="21"/>
      <c r="C19" s="16" t="s">
        <v>33</v>
      </c>
      <c r="D19" s="13" t="s">
        <v>34</v>
      </c>
      <c r="E19" s="13" t="s">
        <v>31</v>
      </c>
      <c r="F19" s="13" t="s">
        <v>35</v>
      </c>
      <c r="G19" s="17"/>
      <c r="I19" s="16" t="s">
        <v>33</v>
      </c>
      <c r="J19" s="13" t="s">
        <v>34</v>
      </c>
      <c r="K19" s="13" t="s">
        <v>31</v>
      </c>
      <c r="L19" s="13" t="s">
        <v>35</v>
      </c>
      <c r="M19" s="17"/>
      <c r="O19" s="16" t="s">
        <v>33</v>
      </c>
      <c r="P19" s="13" t="s">
        <v>34</v>
      </c>
      <c r="Q19" s="13" t="s">
        <v>31</v>
      </c>
      <c r="R19" s="13" t="s">
        <v>35</v>
      </c>
      <c r="S19"/>
      <c r="T19" s="185"/>
      <c r="U19" s="21"/>
      <c r="V19" s="16" t="s">
        <v>33</v>
      </c>
      <c r="W19" s="13" t="s">
        <v>34</v>
      </c>
      <c r="X19" s="13" t="s">
        <v>31</v>
      </c>
      <c r="Y19" s="13" t="s">
        <v>35</v>
      </c>
      <c r="Z19" s="17"/>
      <c r="AB19" s="16" t="s">
        <v>33</v>
      </c>
      <c r="AC19" s="13" t="s">
        <v>34</v>
      </c>
      <c r="AD19" s="13" t="s">
        <v>31</v>
      </c>
      <c r="AE19" s="13" t="s">
        <v>35</v>
      </c>
      <c r="AF19" s="17"/>
      <c r="AH19" s="16" t="s">
        <v>33</v>
      </c>
      <c r="AI19" s="13" t="s">
        <v>34</v>
      </c>
      <c r="AJ19" s="13" t="s">
        <v>31</v>
      </c>
      <c r="AK19" s="13" t="s">
        <v>35</v>
      </c>
      <c r="AL19"/>
      <c r="AM19" s="150" t="s">
        <v>80</v>
      </c>
      <c r="AN19" s="151"/>
      <c r="AO19" s="152" t="str">
        <f t="shared" ref="AO19" si="255">AO18</f>
        <v>T</v>
      </c>
      <c r="AP19" s="152" t="str">
        <f t="shared" ref="AP19" si="256">IF(ISERROR(SEARCH("Not",$AM21)),AP18,AR18)</f>
        <v>*</v>
      </c>
      <c r="AQ19" s="152" t="str">
        <f t="shared" ref="AQ19" si="257">IF(ISERROR(SEARCH("Not",$AM21)),AQ18,AU18)</f>
        <v>F</v>
      </c>
      <c r="AR19" s="152" t="str">
        <f t="shared" ref="AR19" si="258">IF(ISERROR(SEARCH("Not",$AM21)),AR18,AP18)</f>
        <v>*</v>
      </c>
      <c r="AS19" s="152" t="str">
        <f t="shared" ref="AS19" si="259">AS18</f>
        <v>T</v>
      </c>
      <c r="AT19" s="152" t="str">
        <f t="shared" ref="AT19" si="260">IF(ISERROR(SEARCH("Not",$AM21)),AT18,AV18)</f>
        <v>*</v>
      </c>
      <c r="AU19" s="152" t="str">
        <f t="shared" ref="AU19" si="261">IF(ISERROR(SEARCH("Not",$AM21)),AU18,AQ18)</f>
        <v>F</v>
      </c>
      <c r="AV19" s="152" t="str">
        <f t="shared" ref="AV19" si="262">IF(ISERROR(SEARCH("Not",$AM21)),AV18,AT18)</f>
        <v>*</v>
      </c>
      <c r="AW19" s="152" t="str">
        <f t="shared" ref="AW19" si="263">AW18</f>
        <v>*</v>
      </c>
      <c r="AX19" s="152"/>
      <c r="AY19" s="152" t="str">
        <f t="shared" ref="AY19" si="264">AY18</f>
        <v>*</v>
      </c>
      <c r="AZ19" s="152" t="str">
        <f t="shared" ref="AZ19" si="265">IF(ISERROR(SEARCH("Not",$AM21)),AZ18,BB18)</f>
        <v>*</v>
      </c>
      <c r="BA19" s="152" t="str">
        <f t="shared" ref="BA19" si="266">IF(ISERROR(SEARCH("Not",$AM21)),BA18,BE18)</f>
        <v>*</v>
      </c>
      <c r="BB19" s="152" t="str">
        <f t="shared" ref="BB19" si="267">IF(ISERROR(SEARCH("Not",$AM21)),BB18,AZ18)</f>
        <v>*</v>
      </c>
      <c r="BC19" s="152" t="str">
        <f t="shared" ref="BC19" si="268">BC18</f>
        <v>*</v>
      </c>
      <c r="BD19" s="152" t="str">
        <f t="shared" ref="BD19" si="269">IF(ISERROR(SEARCH("Not",$AM21)),BD18,BF18)</f>
        <v>*</v>
      </c>
      <c r="BE19" s="152" t="str">
        <f t="shared" ref="BE19" si="270">IF(ISERROR(SEARCH("Not",$AM21)),BE18,BA18)</f>
        <v>*</v>
      </c>
      <c r="BF19" s="152" t="str">
        <f t="shared" ref="BF19" si="271">IF(ISERROR(SEARCH("Not",$AM21)),BF18,BD18)</f>
        <v>*</v>
      </c>
      <c r="BG19" s="152" t="str">
        <f t="shared" ref="BG19" si="272">BG18</f>
        <v>*</v>
      </c>
      <c r="BH19" s="152"/>
      <c r="BI19" s="152" t="str">
        <f t="shared" ref="BI19" si="273">BI18</f>
        <v>*</v>
      </c>
      <c r="BJ19" s="152" t="str">
        <f t="shared" ref="BJ19" si="274">IF(ISERROR(SEARCH("Not",$AM21)),BJ18,BL18)</f>
        <v>*</v>
      </c>
      <c r="BK19" s="152" t="str">
        <f t="shared" ref="BK19" si="275">IF(ISERROR(SEARCH("Not",$AM21)),BK18,BO18)</f>
        <v>*</v>
      </c>
      <c r="BL19" s="152" t="str">
        <f t="shared" ref="BL19" si="276">IF(ISERROR(SEARCH("Not",$AM21)),BL18,BJ18)</f>
        <v>*</v>
      </c>
      <c r="BM19" s="152" t="str">
        <f t="shared" ref="BM19" si="277">BM18</f>
        <v>*</v>
      </c>
      <c r="BN19" s="152" t="str">
        <f t="shared" ref="BN19" si="278">IF(ISERROR(SEARCH("Not",$AM21)),BN18,BP18)</f>
        <v>*</v>
      </c>
      <c r="BO19" s="152" t="str">
        <f t="shared" ref="BO19" si="279">IF(ISERROR(SEARCH("Not",$AM21)),BO18,BK18)</f>
        <v>*</v>
      </c>
      <c r="BP19" s="152" t="str">
        <f t="shared" ref="BP19" si="280">IF(ISERROR(SEARCH("Not",$AM21)),BP18,BN18)</f>
        <v>*</v>
      </c>
      <c r="BQ19" s="152" t="str">
        <f t="shared" ref="BQ19" si="281">BQ18</f>
        <v>*</v>
      </c>
      <c r="BR19" s="124"/>
    </row>
    <row r="20" spans="1:70" s="13" customFormat="1" ht="15" customHeight="1" thickTop="1" thickBot="1" x14ac:dyDescent="0.3">
      <c r="A20" s="182"/>
      <c r="B20" s="207" t="s">
        <v>36</v>
      </c>
      <c r="C20" s="13" t="s">
        <v>34</v>
      </c>
      <c r="D20" s="97" t="str">
        <f>'DE-9IM Matrixes'!D19</f>
        <v>T</v>
      </c>
      <c r="E20" s="98" t="str">
        <f>'DE-9IM Matrixes'!E19</f>
        <v>*</v>
      </c>
      <c r="F20" s="99" t="str">
        <f>'DE-9IM Matrixes'!F19</f>
        <v>F</v>
      </c>
      <c r="G20" s="17"/>
      <c r="H20" s="209" t="s">
        <v>36</v>
      </c>
      <c r="I20" s="13" t="s">
        <v>34</v>
      </c>
      <c r="J20" s="97" t="str">
        <f>'DE-9IM Matrixes'!J19</f>
        <v>*</v>
      </c>
      <c r="K20" s="98" t="str">
        <f>'DE-9IM Matrixes'!K19</f>
        <v>*</v>
      </c>
      <c r="L20" s="99" t="str">
        <f>'DE-9IM Matrixes'!L19</f>
        <v>*</v>
      </c>
      <c r="M20" s="17"/>
      <c r="N20" s="211" t="s">
        <v>36</v>
      </c>
      <c r="O20" s="13" t="s">
        <v>34</v>
      </c>
      <c r="P20" s="97" t="str">
        <f>'DE-9IM Matrixes'!P19</f>
        <v>*</v>
      </c>
      <c r="Q20" s="98" t="str">
        <f>'DE-9IM Matrixes'!Q19</f>
        <v>*</v>
      </c>
      <c r="R20" s="99" t="str">
        <f>'DE-9IM Matrixes'!R19</f>
        <v>*</v>
      </c>
      <c r="S20"/>
      <c r="T20" s="185"/>
      <c r="U20" s="207" t="s">
        <v>36</v>
      </c>
      <c r="V20" s="13" t="s">
        <v>34</v>
      </c>
      <c r="W20" s="101" t="str">
        <f>D20</f>
        <v>T</v>
      </c>
      <c r="X20" s="102" t="str">
        <f>D21</f>
        <v>*</v>
      </c>
      <c r="Y20" s="103" t="str">
        <f>D22</f>
        <v>F</v>
      </c>
      <c r="Z20" s="17"/>
      <c r="AA20" s="209" t="s">
        <v>36</v>
      </c>
      <c r="AB20" s="13" t="s">
        <v>34</v>
      </c>
      <c r="AC20" s="101" t="str">
        <f>J20</f>
        <v>*</v>
      </c>
      <c r="AD20" s="102" t="str">
        <f>J21</f>
        <v>*</v>
      </c>
      <c r="AE20" s="103" t="str">
        <f>J22</f>
        <v>*</v>
      </c>
      <c r="AF20" s="17"/>
      <c r="AG20" s="211" t="s">
        <v>36</v>
      </c>
      <c r="AH20" s="13" t="s">
        <v>34</v>
      </c>
      <c r="AI20" s="101" t="str">
        <f>P20</f>
        <v>*</v>
      </c>
      <c r="AJ20" s="102" t="str">
        <f>P21</f>
        <v>*</v>
      </c>
      <c r="AK20" s="103" t="str">
        <f>P22</f>
        <v>*</v>
      </c>
      <c r="AL20"/>
      <c r="AM20" s="24" t="str">
        <f t="shared" ref="AM20" si="282">T18</f>
        <v>B Equals A</v>
      </c>
      <c r="AN20" s="25"/>
      <c r="AO20" s="83" t="str">
        <f t="shared" ref="AO20" si="283">W20</f>
        <v>T</v>
      </c>
      <c r="AP20" s="87" t="str">
        <f t="shared" ref="AP20" si="284">X20</f>
        <v>*</v>
      </c>
      <c r="AQ20" s="89" t="str">
        <f t="shared" ref="AQ20" si="285">Y20</f>
        <v>F</v>
      </c>
      <c r="AR20" s="86" t="str">
        <f t="shared" ref="AR20" si="286">W21</f>
        <v>*</v>
      </c>
      <c r="AS20" s="84" t="str">
        <f t="shared" ref="AS20" si="287">X21</f>
        <v>T</v>
      </c>
      <c r="AT20" s="91" t="str">
        <f t="shared" ref="AT20" si="288">Y21</f>
        <v>*</v>
      </c>
      <c r="AU20" s="79" t="str">
        <f t="shared" ref="AU20:AW20" si="289">W22</f>
        <v>F</v>
      </c>
      <c r="AV20" s="81" t="str">
        <f t="shared" si="289"/>
        <v>*</v>
      </c>
      <c r="AW20" s="85" t="str">
        <f t="shared" si="289"/>
        <v>*</v>
      </c>
      <c r="AX20" s="25"/>
      <c r="AY20" s="83" t="str">
        <f t="shared" ref="AY20" si="290">AC20</f>
        <v>*</v>
      </c>
      <c r="AZ20" s="87" t="str">
        <f t="shared" ref="AZ20" si="291">AD20</f>
        <v>*</v>
      </c>
      <c r="BA20" s="89" t="str">
        <f t="shared" ref="BA20" si="292">AE20</f>
        <v>*</v>
      </c>
      <c r="BB20" s="86" t="str">
        <f t="shared" ref="BB20" si="293">AC21</f>
        <v>*</v>
      </c>
      <c r="BC20" s="84" t="str">
        <f t="shared" ref="BC20" si="294">AD21</f>
        <v>*</v>
      </c>
      <c r="BD20" s="91" t="str">
        <f t="shared" ref="BD20" si="295">AE21</f>
        <v>*</v>
      </c>
      <c r="BE20" s="79" t="str">
        <f t="shared" ref="BE20:BG20" si="296">AC22</f>
        <v>*</v>
      </c>
      <c r="BF20" s="81" t="str">
        <f t="shared" si="296"/>
        <v>*</v>
      </c>
      <c r="BG20" s="85" t="str">
        <f t="shared" si="296"/>
        <v>*</v>
      </c>
      <c r="BH20" s="25"/>
      <c r="BI20" s="83" t="str">
        <f t="shared" ref="BI20" si="297">AI20</f>
        <v>*</v>
      </c>
      <c r="BJ20" s="87" t="str">
        <f t="shared" ref="BJ20" si="298">AJ20</f>
        <v>*</v>
      </c>
      <c r="BK20" s="89" t="str">
        <f t="shared" ref="BK20" si="299">AK20</f>
        <v>*</v>
      </c>
      <c r="BL20" s="86" t="str">
        <f t="shared" ref="BL20" si="300">AI21</f>
        <v>*</v>
      </c>
      <c r="BM20" s="84" t="str">
        <f t="shared" ref="BM20" si="301">AJ21</f>
        <v>*</v>
      </c>
      <c r="BN20" s="91" t="str">
        <f t="shared" ref="BN20" si="302">AK21</f>
        <v>*</v>
      </c>
      <c r="BO20" s="79" t="str">
        <f t="shared" ref="BO20:BQ20" si="303">AI22</f>
        <v>*</v>
      </c>
      <c r="BP20" s="81" t="str">
        <f t="shared" si="303"/>
        <v>*</v>
      </c>
      <c r="BQ20" s="85" t="str">
        <f t="shared" si="303"/>
        <v>*</v>
      </c>
      <c r="BR20" s="28"/>
    </row>
    <row r="21" spans="1:70" s="13" customFormat="1" ht="15" customHeight="1" x14ac:dyDescent="0.25">
      <c r="A21" s="182"/>
      <c r="B21" s="207"/>
      <c r="C21" s="13" t="s">
        <v>31</v>
      </c>
      <c r="D21" s="92" t="str">
        <f>'DE-9IM Matrixes'!D20</f>
        <v>*</v>
      </c>
      <c r="E21" s="93" t="str">
        <f>'DE-9IM Matrixes'!E20</f>
        <v>T</v>
      </c>
      <c r="F21" s="94" t="str">
        <f>'DE-9IM Matrixes'!F20</f>
        <v>*</v>
      </c>
      <c r="G21" s="17"/>
      <c r="H21" s="209"/>
      <c r="I21" s="13" t="s">
        <v>31</v>
      </c>
      <c r="J21" s="92" t="str">
        <f>'DE-9IM Matrixes'!J20</f>
        <v>*</v>
      </c>
      <c r="K21" s="93" t="str">
        <f>'DE-9IM Matrixes'!K20</f>
        <v>*</v>
      </c>
      <c r="L21" s="94" t="str">
        <f>'DE-9IM Matrixes'!L20</f>
        <v>*</v>
      </c>
      <c r="M21" s="17"/>
      <c r="N21" s="211"/>
      <c r="O21" s="13" t="s">
        <v>31</v>
      </c>
      <c r="P21" s="92" t="str">
        <f>'DE-9IM Matrixes'!P20</f>
        <v>*</v>
      </c>
      <c r="Q21" s="93" t="str">
        <f>'DE-9IM Matrixes'!Q20</f>
        <v>*</v>
      </c>
      <c r="R21" s="94" t="str">
        <f>'DE-9IM Matrixes'!R20</f>
        <v>*</v>
      </c>
      <c r="S21"/>
      <c r="T21" s="185"/>
      <c r="U21" s="207"/>
      <c r="V21" s="13" t="s">
        <v>31</v>
      </c>
      <c r="W21" s="105" t="str">
        <f>E20</f>
        <v>*</v>
      </c>
      <c r="X21" s="106" t="str">
        <f>E21</f>
        <v>T</v>
      </c>
      <c r="Y21" s="107" t="str">
        <f>E22</f>
        <v>*</v>
      </c>
      <c r="Z21" s="17"/>
      <c r="AA21" s="209"/>
      <c r="AB21" s="13" t="s">
        <v>31</v>
      </c>
      <c r="AC21" s="105" t="str">
        <f>K20</f>
        <v>*</v>
      </c>
      <c r="AD21" s="106" t="str">
        <f>K21</f>
        <v>*</v>
      </c>
      <c r="AE21" s="107" t="str">
        <f>K22</f>
        <v>*</v>
      </c>
      <c r="AF21" s="17"/>
      <c r="AG21" s="211"/>
      <c r="AH21" s="13" t="s">
        <v>31</v>
      </c>
      <c r="AI21" s="105" t="str">
        <f>Q20</f>
        <v>*</v>
      </c>
      <c r="AJ21" s="106" t="str">
        <f>Q21</f>
        <v>*</v>
      </c>
      <c r="AK21" s="107" t="str">
        <f>Q22</f>
        <v>*</v>
      </c>
      <c r="AL21"/>
      <c r="AM21" s="149" t="s">
        <v>10</v>
      </c>
      <c r="AN21" s="120"/>
      <c r="AO21" s="120" t="str">
        <f t="shared" ref="AO21" si="304">IF(AO19=AO20,"","X")</f>
        <v/>
      </c>
      <c r="AP21" s="120" t="str">
        <f t="shared" ref="AP21" si="305">IF(AP19=AP20,"","X")</f>
        <v/>
      </c>
      <c r="AQ21" s="120" t="str">
        <f t="shared" ref="AQ21" si="306">IF(AQ19=AQ20,"","X")</f>
        <v/>
      </c>
      <c r="AR21" s="120" t="str">
        <f t="shared" ref="AR21" si="307">IF(AR19=AR20,"","X")</f>
        <v/>
      </c>
      <c r="AS21" s="120" t="str">
        <f t="shared" ref="AS21" si="308">IF(AS19=AS20,"","X")</f>
        <v/>
      </c>
      <c r="AT21" s="120" t="str">
        <f t="shared" ref="AT21" si="309">IF(AT19=AT20,"","X")</f>
        <v/>
      </c>
      <c r="AU21" s="120" t="str">
        <f t="shared" ref="AU21" si="310">IF(AU19=AU20,"","X")</f>
        <v/>
      </c>
      <c r="AV21" s="120" t="str">
        <f t="shared" ref="AV21" si="311">IF(AV19=AV20,"","X")</f>
        <v/>
      </c>
      <c r="AW21" s="120" t="str">
        <f t="shared" ref="AW21" si="312">IF(AW19=AW20,"","X")</f>
        <v/>
      </c>
      <c r="AX21" s="120" t="str">
        <f t="shared" ref="AX21" si="313">IF(AX19=AX20,"","X")</f>
        <v/>
      </c>
      <c r="AY21" s="120" t="str">
        <f t="shared" ref="AY21" si="314">IF(AY19=AY20,"","X")</f>
        <v/>
      </c>
      <c r="AZ21" s="120" t="str">
        <f t="shared" ref="AZ21" si="315">IF(AZ19=AZ20,"","X")</f>
        <v/>
      </c>
      <c r="BA21" s="120" t="str">
        <f t="shared" ref="BA21" si="316">IF(BA19=BA20,"","X")</f>
        <v/>
      </c>
      <c r="BB21" s="120" t="str">
        <f t="shared" ref="BB21" si="317">IF(BB19=BB20,"","X")</f>
        <v/>
      </c>
      <c r="BC21" s="120" t="str">
        <f t="shared" ref="BC21" si="318">IF(BC19=BC20,"","X")</f>
        <v/>
      </c>
      <c r="BD21" s="120" t="str">
        <f t="shared" ref="BD21" si="319">IF(BD19=BD20,"","X")</f>
        <v/>
      </c>
      <c r="BE21" s="120" t="str">
        <f t="shared" ref="BE21" si="320">IF(BE19=BE20,"","X")</f>
        <v/>
      </c>
      <c r="BF21" s="120" t="str">
        <f t="shared" ref="BF21" si="321">IF(BF19=BF20,"","X")</f>
        <v/>
      </c>
      <c r="BG21" s="120" t="str">
        <f t="shared" ref="BG21" si="322">IF(BG19=BG20,"","X")</f>
        <v/>
      </c>
      <c r="BH21" s="120" t="str">
        <f t="shared" ref="BH21" si="323">IF(BH19=BH20,"","X")</f>
        <v/>
      </c>
      <c r="BI21" s="120" t="str">
        <f t="shared" ref="BI21" si="324">IF(BI19=BI20,"","X")</f>
        <v/>
      </c>
      <c r="BJ21" s="120" t="str">
        <f t="shared" ref="BJ21" si="325">IF(BJ19=BJ20,"","X")</f>
        <v/>
      </c>
      <c r="BK21" s="120" t="str">
        <f t="shared" ref="BK21" si="326">IF(BK19=BK20,"","X")</f>
        <v/>
      </c>
      <c r="BL21" s="120" t="str">
        <f t="shared" ref="BL21" si="327">IF(BL19=BL20,"","X")</f>
        <v/>
      </c>
      <c r="BM21" s="120" t="str">
        <f t="shared" ref="BM21" si="328">IF(BM19=BM20,"","X")</f>
        <v/>
      </c>
      <c r="BN21" s="120" t="str">
        <f t="shared" ref="BN21" si="329">IF(BN19=BN20,"","X")</f>
        <v/>
      </c>
      <c r="BO21" s="120" t="str">
        <f t="shared" ref="BO21" si="330">IF(BO19=BO20,"","X")</f>
        <v/>
      </c>
      <c r="BP21" s="120" t="str">
        <f t="shared" ref="BP21" si="331">IF(BP19=BP20,"","X")</f>
        <v/>
      </c>
      <c r="BQ21" s="120" t="str">
        <f t="shared" ref="BQ21" si="332">IF(BQ19=BQ20,"","X")</f>
        <v/>
      </c>
      <c r="BR21" s="120" t="str">
        <f t="shared" ref="BR21" si="333">IF(BR19=BR20,"","X")</f>
        <v/>
      </c>
    </row>
    <row r="22" spans="1:70" s="13" customFormat="1" ht="15" customHeight="1" thickBot="1" x14ac:dyDescent="0.3">
      <c r="A22" s="198"/>
      <c r="B22" s="208"/>
      <c r="C22" s="13" t="s">
        <v>35</v>
      </c>
      <c r="D22" s="95" t="str">
        <f>'DE-9IM Matrixes'!D21</f>
        <v>F</v>
      </c>
      <c r="E22" s="96" t="str">
        <f>'DE-9IM Matrixes'!E21</f>
        <v>*</v>
      </c>
      <c r="F22" s="111" t="str">
        <f>'DE-9IM Matrixes'!F21</f>
        <v>*</v>
      </c>
      <c r="G22" s="19"/>
      <c r="H22" s="210"/>
      <c r="I22" s="13" t="s">
        <v>35</v>
      </c>
      <c r="J22" s="95" t="str">
        <f>'DE-9IM Matrixes'!J21</f>
        <v>*</v>
      </c>
      <c r="K22" s="96" t="str">
        <f>'DE-9IM Matrixes'!K21</f>
        <v>*</v>
      </c>
      <c r="L22" s="111" t="str">
        <f>'DE-9IM Matrixes'!L21</f>
        <v>*</v>
      </c>
      <c r="M22" s="19"/>
      <c r="N22" s="212"/>
      <c r="O22" s="13" t="s">
        <v>35</v>
      </c>
      <c r="P22" s="95" t="str">
        <f>'DE-9IM Matrixes'!P21</f>
        <v>*</v>
      </c>
      <c r="Q22" s="96" t="str">
        <f>'DE-9IM Matrixes'!Q21</f>
        <v>*</v>
      </c>
      <c r="R22" s="111" t="str">
        <f>'DE-9IM Matrixes'!R21</f>
        <v>*</v>
      </c>
      <c r="S22"/>
      <c r="T22" s="186"/>
      <c r="U22" s="208"/>
      <c r="V22" s="13" t="s">
        <v>35</v>
      </c>
      <c r="W22" s="109" t="str">
        <f>F20</f>
        <v>F</v>
      </c>
      <c r="X22" s="110" t="str">
        <f>F21</f>
        <v>*</v>
      </c>
      <c r="Y22" s="112" t="str">
        <f>F22</f>
        <v>*</v>
      </c>
      <c r="Z22" s="19"/>
      <c r="AA22" s="210"/>
      <c r="AB22" s="13" t="s">
        <v>35</v>
      </c>
      <c r="AC22" s="109" t="str">
        <f>L20</f>
        <v>*</v>
      </c>
      <c r="AD22" s="110" t="str">
        <f>L21</f>
        <v>*</v>
      </c>
      <c r="AE22" s="112" t="str">
        <f>L22</f>
        <v>*</v>
      </c>
      <c r="AF22" s="19"/>
      <c r="AG22" s="212"/>
      <c r="AH22" s="13" t="s">
        <v>35</v>
      </c>
      <c r="AI22" s="109" t="str">
        <f>R20</f>
        <v>*</v>
      </c>
      <c r="AJ22" s="110" t="str">
        <f>R21</f>
        <v>*</v>
      </c>
      <c r="AK22" s="112" t="str">
        <f>R22</f>
        <v>*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</row>
    <row r="23" spans="1:70" s="13" customFormat="1" ht="15" customHeight="1" thickTop="1" thickBot="1" x14ac:dyDescent="0.3">
      <c r="A23" s="194" t="str">
        <f>'DE-9IM Matrixes'!A22</f>
        <v>A Confines B</v>
      </c>
      <c r="B23" s="20"/>
      <c r="C23" s="11"/>
      <c r="D23" s="206" t="s">
        <v>31</v>
      </c>
      <c r="E23" s="206"/>
      <c r="F23" s="206"/>
      <c r="G23" s="12"/>
      <c r="H23" s="11"/>
      <c r="I23" s="11"/>
      <c r="J23" s="206" t="s">
        <v>31</v>
      </c>
      <c r="K23" s="206"/>
      <c r="L23" s="206"/>
      <c r="M23" s="12"/>
      <c r="N23" s="11"/>
      <c r="O23" s="11"/>
      <c r="P23" s="206" t="s">
        <v>31</v>
      </c>
      <c r="Q23" s="206"/>
      <c r="R23" s="206"/>
      <c r="S23"/>
      <c r="T23" s="194" t="str">
        <f t="shared" ref="T23" si="334">SUBSTITUTE(SUBSTITUTE(SUBSTITUTE(SUBSTITUTE(A23,"A","x"),"B","A"),"x","B"),"Ao","Bo")</f>
        <v>B Confines A</v>
      </c>
      <c r="U23" s="20"/>
      <c r="V23" s="11"/>
      <c r="W23" s="206" t="s">
        <v>31</v>
      </c>
      <c r="X23" s="206"/>
      <c r="Y23" s="206"/>
      <c r="Z23" s="12"/>
      <c r="AA23" s="11"/>
      <c r="AB23" s="11"/>
      <c r="AC23" s="206" t="s">
        <v>31</v>
      </c>
      <c r="AD23" s="206"/>
      <c r="AE23" s="206"/>
      <c r="AF23" s="12"/>
      <c r="AG23" s="11"/>
      <c r="AH23" s="11"/>
      <c r="AI23" s="206" t="s">
        <v>31</v>
      </c>
      <c r="AJ23" s="206"/>
      <c r="AK23" s="206"/>
      <c r="AL23"/>
      <c r="AM23" s="24" t="str">
        <f t="shared" ref="AM23" si="335">A23</f>
        <v>A Confines B</v>
      </c>
      <c r="AN23" s="25"/>
      <c r="AO23" s="83" t="str">
        <f t="shared" ref="AO23" si="336">D25</f>
        <v>F</v>
      </c>
      <c r="AP23" s="86" t="str">
        <f t="shared" ref="AP23" si="337">E25</f>
        <v>*</v>
      </c>
      <c r="AQ23" s="88" t="str">
        <f t="shared" ref="AQ23" si="338">F25</f>
        <v>*</v>
      </c>
      <c r="AR23" s="87" t="str">
        <f t="shared" ref="AR23" si="339">D26</f>
        <v>*</v>
      </c>
      <c r="AS23" s="84" t="str">
        <f t="shared" ref="AS23" si="340">E26</f>
        <v>T</v>
      </c>
      <c r="AT23" s="90" t="str">
        <f t="shared" ref="AT23" si="341">F26</f>
        <v>*</v>
      </c>
      <c r="AU23" s="80" t="str">
        <f t="shared" ref="AU23" si="342">D27</f>
        <v>*</v>
      </c>
      <c r="AV23" s="82" t="str">
        <f t="shared" ref="AV23" si="343">E27</f>
        <v>*</v>
      </c>
      <c r="AW23" s="85" t="str">
        <f t="shared" ref="AW23" si="344">F27</f>
        <v>*</v>
      </c>
      <c r="AX23" s="25"/>
      <c r="AY23" s="83" t="str">
        <f t="shared" ref="AY23" si="345">J25</f>
        <v>T</v>
      </c>
      <c r="AZ23" s="86" t="str">
        <f t="shared" ref="AZ23" si="346">K25</f>
        <v>*</v>
      </c>
      <c r="BA23" s="88" t="str">
        <f t="shared" ref="BA23" si="347">L25</f>
        <v>T</v>
      </c>
      <c r="BB23" s="87" t="str">
        <f t="shared" ref="BB23" si="348">J26</f>
        <v>*</v>
      </c>
      <c r="BC23" s="84" t="str">
        <f t="shared" ref="BC23" si="349">K26</f>
        <v>*</v>
      </c>
      <c r="BD23" s="90" t="str">
        <f t="shared" ref="BD23" si="350">L26</f>
        <v>*</v>
      </c>
      <c r="BE23" s="80" t="str">
        <f t="shared" ref="BE23" si="351">J27</f>
        <v>F</v>
      </c>
      <c r="BF23" s="82" t="str">
        <f t="shared" ref="BF23" si="352">K27</f>
        <v>*</v>
      </c>
      <c r="BG23" s="85" t="str">
        <f t="shared" ref="BG23" si="353">L27</f>
        <v>*</v>
      </c>
      <c r="BH23" s="25"/>
      <c r="BI23" s="83" t="str">
        <f t="shared" ref="BI23" si="354">P25</f>
        <v>*</v>
      </c>
      <c r="BJ23" s="86" t="str">
        <f t="shared" ref="BJ23" si="355">Q25</f>
        <v>*</v>
      </c>
      <c r="BK23" s="88" t="str">
        <f t="shared" ref="BK23" si="356">R25</f>
        <v>*</v>
      </c>
      <c r="BL23" s="87" t="str">
        <f t="shared" ref="BL23" si="357">P26</f>
        <v>*</v>
      </c>
      <c r="BM23" s="84" t="str">
        <f t="shared" ref="BM23" si="358">Q26</f>
        <v>*</v>
      </c>
      <c r="BN23" s="90" t="str">
        <f t="shared" ref="BN23" si="359">R26</f>
        <v>*</v>
      </c>
      <c r="BO23" s="80" t="str">
        <f t="shared" ref="BO23" si="360">P27</f>
        <v>*</v>
      </c>
      <c r="BP23" s="82" t="str">
        <f t="shared" ref="BP23" si="361">Q27</f>
        <v>*</v>
      </c>
      <c r="BQ23" s="85" t="str">
        <f t="shared" ref="BQ23" si="362">R27</f>
        <v>*</v>
      </c>
      <c r="BR23" s="28"/>
    </row>
    <row r="24" spans="1:70" s="13" customFormat="1" ht="15" customHeight="1" thickTop="1" thickBot="1" x14ac:dyDescent="0.3">
      <c r="A24" s="185"/>
      <c r="B24" s="21"/>
      <c r="C24" s="16" t="s">
        <v>33</v>
      </c>
      <c r="D24" s="13" t="s">
        <v>34</v>
      </c>
      <c r="E24" s="13" t="s">
        <v>31</v>
      </c>
      <c r="F24" s="13" t="s">
        <v>35</v>
      </c>
      <c r="G24" s="17"/>
      <c r="I24" s="16" t="s">
        <v>33</v>
      </c>
      <c r="J24" s="13" t="s">
        <v>34</v>
      </c>
      <c r="K24" s="13" t="s">
        <v>31</v>
      </c>
      <c r="L24" s="13" t="s">
        <v>35</v>
      </c>
      <c r="M24" s="17"/>
      <c r="O24" s="16" t="s">
        <v>33</v>
      </c>
      <c r="P24" s="13" t="s">
        <v>34</v>
      </c>
      <c r="Q24" s="13" t="s">
        <v>31</v>
      </c>
      <c r="R24" s="13" t="s">
        <v>35</v>
      </c>
      <c r="S24"/>
      <c r="T24" s="185"/>
      <c r="U24" s="21"/>
      <c r="V24" s="16" t="s">
        <v>33</v>
      </c>
      <c r="W24" s="13" t="s">
        <v>34</v>
      </c>
      <c r="X24" s="13" t="s">
        <v>31</v>
      </c>
      <c r="Y24" s="13" t="s">
        <v>35</v>
      </c>
      <c r="Z24" s="17"/>
      <c r="AB24" s="16" t="s">
        <v>33</v>
      </c>
      <c r="AC24" s="13" t="s">
        <v>34</v>
      </c>
      <c r="AD24" s="13" t="s">
        <v>31</v>
      </c>
      <c r="AE24" s="13" t="s">
        <v>35</v>
      </c>
      <c r="AF24" s="17"/>
      <c r="AH24" s="16" t="s">
        <v>33</v>
      </c>
      <c r="AI24" s="13" t="s">
        <v>34</v>
      </c>
      <c r="AJ24" s="13" t="s">
        <v>31</v>
      </c>
      <c r="AK24" s="13" t="s">
        <v>35</v>
      </c>
      <c r="AL24"/>
      <c r="AM24" s="150" t="s">
        <v>80</v>
      </c>
      <c r="AN24" s="151"/>
      <c r="AO24" s="152" t="str">
        <f t="shared" ref="AO24" si="363">AO23</f>
        <v>F</v>
      </c>
      <c r="AP24" s="152" t="str">
        <f t="shared" ref="AP24" si="364">IF(ISERROR(SEARCH("Not",$AM26)),AP23,AR23)</f>
        <v>*</v>
      </c>
      <c r="AQ24" s="152" t="str">
        <f t="shared" ref="AQ24" si="365">IF(ISERROR(SEARCH("Not",$AM26)),AQ23,AU23)</f>
        <v>*</v>
      </c>
      <c r="AR24" s="152" t="str">
        <f t="shared" ref="AR24" si="366">IF(ISERROR(SEARCH("Not",$AM26)),AR23,AP23)</f>
        <v>*</v>
      </c>
      <c r="AS24" s="152" t="str">
        <f t="shared" ref="AS24" si="367">AS23</f>
        <v>T</v>
      </c>
      <c r="AT24" s="152" t="str">
        <f t="shared" ref="AT24" si="368">IF(ISERROR(SEARCH("Not",$AM26)),AT23,AV23)</f>
        <v>*</v>
      </c>
      <c r="AU24" s="152" t="str">
        <f t="shared" ref="AU24" si="369">IF(ISERROR(SEARCH("Not",$AM26)),AU23,AQ23)</f>
        <v>*</v>
      </c>
      <c r="AV24" s="152" t="str">
        <f t="shared" ref="AV24" si="370">IF(ISERROR(SEARCH("Not",$AM26)),AV23,AT23)</f>
        <v>*</v>
      </c>
      <c r="AW24" s="152" t="str">
        <f t="shared" ref="AW24" si="371">AW23</f>
        <v>*</v>
      </c>
      <c r="AX24" s="152"/>
      <c r="AY24" s="152" t="str">
        <f t="shared" ref="AY24" si="372">AY23</f>
        <v>T</v>
      </c>
      <c r="AZ24" s="152" t="str">
        <f t="shared" ref="AZ24" si="373">IF(ISERROR(SEARCH("Not",$AM26)),AZ23,BB23)</f>
        <v>*</v>
      </c>
      <c r="BA24" s="152" t="str">
        <f t="shared" ref="BA24" si="374">IF(ISERROR(SEARCH("Not",$AM26)),BA23,BE23)</f>
        <v>F</v>
      </c>
      <c r="BB24" s="152" t="str">
        <f t="shared" ref="BB24" si="375">IF(ISERROR(SEARCH("Not",$AM26)),BB23,AZ23)</f>
        <v>*</v>
      </c>
      <c r="BC24" s="152" t="str">
        <f t="shared" ref="BC24" si="376">BC23</f>
        <v>*</v>
      </c>
      <c r="BD24" s="152" t="str">
        <f t="shared" ref="BD24" si="377">IF(ISERROR(SEARCH("Not",$AM26)),BD23,BF23)</f>
        <v>*</v>
      </c>
      <c r="BE24" s="152" t="str">
        <f t="shared" ref="BE24" si="378">IF(ISERROR(SEARCH("Not",$AM26)),BE23,BA23)</f>
        <v>T</v>
      </c>
      <c r="BF24" s="152" t="str">
        <f t="shared" ref="BF24" si="379">IF(ISERROR(SEARCH("Not",$AM26)),BF23,BD23)</f>
        <v>*</v>
      </c>
      <c r="BG24" s="152" t="str">
        <f t="shared" ref="BG24" si="380">BG23</f>
        <v>*</v>
      </c>
      <c r="BH24" s="152"/>
      <c r="BI24" s="152" t="str">
        <f t="shared" ref="BI24" si="381">BI23</f>
        <v>*</v>
      </c>
      <c r="BJ24" s="152" t="str">
        <f t="shared" ref="BJ24" si="382">IF(ISERROR(SEARCH("Not",$AM26)),BJ23,BL23)</f>
        <v>*</v>
      </c>
      <c r="BK24" s="152" t="str">
        <f t="shared" ref="BK24" si="383">IF(ISERROR(SEARCH("Not",$AM26)),BK23,BO23)</f>
        <v>*</v>
      </c>
      <c r="BL24" s="152" t="str">
        <f t="shared" ref="BL24" si="384">IF(ISERROR(SEARCH("Not",$AM26)),BL23,BJ23)</f>
        <v>*</v>
      </c>
      <c r="BM24" s="152" t="str">
        <f t="shared" ref="BM24" si="385">BM23</f>
        <v>*</v>
      </c>
      <c r="BN24" s="152" t="str">
        <f t="shared" ref="BN24" si="386">IF(ISERROR(SEARCH("Not",$AM26)),BN23,BP23)</f>
        <v>*</v>
      </c>
      <c r="BO24" s="152" t="str">
        <f t="shared" ref="BO24" si="387">IF(ISERROR(SEARCH("Not",$AM26)),BO23,BK23)</f>
        <v>*</v>
      </c>
      <c r="BP24" s="152" t="str">
        <f t="shared" ref="BP24" si="388">IF(ISERROR(SEARCH("Not",$AM26)),BP23,BN23)</f>
        <v>*</v>
      </c>
      <c r="BQ24" s="152" t="str">
        <f t="shared" ref="BQ24" si="389">BQ23</f>
        <v>*</v>
      </c>
      <c r="BR24" s="124"/>
    </row>
    <row r="25" spans="1:70" s="13" customFormat="1" ht="15" customHeight="1" thickTop="1" thickBot="1" x14ac:dyDescent="0.3">
      <c r="A25" s="185"/>
      <c r="B25" s="207" t="s">
        <v>36</v>
      </c>
      <c r="C25" s="13" t="s">
        <v>34</v>
      </c>
      <c r="D25" s="97" t="str">
        <f>'DE-9IM Matrixes'!D24</f>
        <v>F</v>
      </c>
      <c r="E25" s="98" t="str">
        <f>'DE-9IM Matrixes'!E24</f>
        <v>*</v>
      </c>
      <c r="F25" s="99" t="str">
        <f>'DE-9IM Matrixes'!F24</f>
        <v>*</v>
      </c>
      <c r="G25" s="17"/>
      <c r="H25" s="209" t="s">
        <v>36</v>
      </c>
      <c r="I25" s="13" t="s">
        <v>34</v>
      </c>
      <c r="J25" s="97" t="str">
        <f>'DE-9IM Matrixes'!J24</f>
        <v>T</v>
      </c>
      <c r="K25" s="98" t="str">
        <f>'DE-9IM Matrixes'!K24</f>
        <v>*</v>
      </c>
      <c r="L25" s="99" t="str">
        <f>'DE-9IM Matrixes'!L24</f>
        <v>T</v>
      </c>
      <c r="M25" s="17"/>
      <c r="N25" s="211" t="s">
        <v>36</v>
      </c>
      <c r="O25" s="13" t="s">
        <v>34</v>
      </c>
      <c r="P25" s="97" t="str">
        <f>'DE-9IM Matrixes'!P24</f>
        <v>*</v>
      </c>
      <c r="Q25" s="98" t="str">
        <f>'DE-9IM Matrixes'!Q24</f>
        <v>*</v>
      </c>
      <c r="R25" s="99" t="str">
        <f>'DE-9IM Matrixes'!R24</f>
        <v>*</v>
      </c>
      <c r="S25"/>
      <c r="T25" s="185"/>
      <c r="U25" s="207" t="s">
        <v>36</v>
      </c>
      <c r="V25" s="13" t="s">
        <v>34</v>
      </c>
      <c r="W25" s="101" t="str">
        <f>D25</f>
        <v>F</v>
      </c>
      <c r="X25" s="102" t="str">
        <f>D26</f>
        <v>*</v>
      </c>
      <c r="Y25" s="103" t="str">
        <f>D27</f>
        <v>*</v>
      </c>
      <c r="Z25" s="17"/>
      <c r="AA25" s="209" t="s">
        <v>36</v>
      </c>
      <c r="AB25" s="13" t="s">
        <v>34</v>
      </c>
      <c r="AC25" s="74" t="str">
        <f>J25</f>
        <v>T</v>
      </c>
      <c r="AD25" s="74" t="str">
        <f>J26</f>
        <v>*</v>
      </c>
      <c r="AE25" s="74" t="str">
        <f>J27</f>
        <v>F</v>
      </c>
      <c r="AF25" s="17"/>
      <c r="AG25" s="211" t="s">
        <v>36</v>
      </c>
      <c r="AH25" s="13" t="s">
        <v>34</v>
      </c>
      <c r="AI25" s="101" t="str">
        <f>P25</f>
        <v>*</v>
      </c>
      <c r="AJ25" s="102" t="str">
        <f>P26</f>
        <v>*</v>
      </c>
      <c r="AK25" s="103" t="str">
        <f>P27</f>
        <v>*</v>
      </c>
      <c r="AL25"/>
      <c r="AM25" s="24" t="str">
        <f t="shared" ref="AM25" si="390">T23</f>
        <v>B Confines A</v>
      </c>
      <c r="AN25" s="25"/>
      <c r="AO25" s="83" t="str">
        <f t="shared" ref="AO25" si="391">W25</f>
        <v>F</v>
      </c>
      <c r="AP25" s="87" t="str">
        <f t="shared" ref="AP25" si="392">X25</f>
        <v>*</v>
      </c>
      <c r="AQ25" s="89" t="str">
        <f t="shared" ref="AQ25" si="393">Y25</f>
        <v>*</v>
      </c>
      <c r="AR25" s="86" t="str">
        <f t="shared" ref="AR25" si="394">W26</f>
        <v>*</v>
      </c>
      <c r="AS25" s="84" t="str">
        <f t="shared" ref="AS25" si="395">X26</f>
        <v>T</v>
      </c>
      <c r="AT25" s="91" t="str">
        <f t="shared" ref="AT25" si="396">Y26</f>
        <v>*</v>
      </c>
      <c r="AU25" s="79" t="str">
        <f t="shared" ref="AU25:AW25" si="397">W27</f>
        <v>*</v>
      </c>
      <c r="AV25" s="81" t="str">
        <f t="shared" si="397"/>
        <v>*</v>
      </c>
      <c r="AW25" s="85" t="str">
        <f t="shared" si="397"/>
        <v>*</v>
      </c>
      <c r="AX25" s="25"/>
      <c r="AY25" s="83" t="str">
        <f t="shared" ref="AY25" si="398">AC25</f>
        <v>T</v>
      </c>
      <c r="AZ25" s="87" t="str">
        <f t="shared" ref="AZ25" si="399">AD25</f>
        <v>*</v>
      </c>
      <c r="BA25" s="89" t="str">
        <f t="shared" ref="BA25" si="400">AE25</f>
        <v>F</v>
      </c>
      <c r="BB25" s="86" t="str">
        <f t="shared" ref="BB25" si="401">AC26</f>
        <v>*</v>
      </c>
      <c r="BC25" s="84" t="str">
        <f t="shared" ref="BC25" si="402">AD26</f>
        <v>*</v>
      </c>
      <c r="BD25" s="91" t="str">
        <f t="shared" ref="BD25" si="403">AE26</f>
        <v>*</v>
      </c>
      <c r="BE25" s="79" t="str">
        <f t="shared" ref="BE25:BG25" si="404">AC27</f>
        <v>T</v>
      </c>
      <c r="BF25" s="81" t="str">
        <f t="shared" si="404"/>
        <v>*</v>
      </c>
      <c r="BG25" s="85" t="str">
        <f t="shared" si="404"/>
        <v>*</v>
      </c>
      <c r="BH25" s="25"/>
      <c r="BI25" s="83" t="str">
        <f t="shared" ref="BI25" si="405">AI25</f>
        <v>*</v>
      </c>
      <c r="BJ25" s="87" t="str">
        <f t="shared" ref="BJ25" si="406">AJ25</f>
        <v>*</v>
      </c>
      <c r="BK25" s="89" t="str">
        <f t="shared" ref="BK25" si="407">AK25</f>
        <v>*</v>
      </c>
      <c r="BL25" s="86" t="str">
        <f t="shared" ref="BL25" si="408">AI26</f>
        <v>*</v>
      </c>
      <c r="BM25" s="84" t="str">
        <f t="shared" ref="BM25" si="409">AJ26</f>
        <v>*</v>
      </c>
      <c r="BN25" s="91" t="str">
        <f t="shared" ref="BN25" si="410">AK26</f>
        <v>*</v>
      </c>
      <c r="BO25" s="79" t="str">
        <f t="shared" ref="BO25:BQ25" si="411">AI27</f>
        <v>*</v>
      </c>
      <c r="BP25" s="81" t="str">
        <f t="shared" si="411"/>
        <v>*</v>
      </c>
      <c r="BQ25" s="85" t="str">
        <f t="shared" si="411"/>
        <v>*</v>
      </c>
      <c r="BR25" s="28"/>
    </row>
    <row r="26" spans="1:70" s="13" customFormat="1" ht="15" customHeight="1" x14ac:dyDescent="0.25">
      <c r="A26" s="185"/>
      <c r="B26" s="207"/>
      <c r="C26" s="13" t="s">
        <v>31</v>
      </c>
      <c r="D26" s="92" t="str">
        <f>'DE-9IM Matrixes'!D25</f>
        <v>*</v>
      </c>
      <c r="E26" s="93" t="str">
        <f>'DE-9IM Matrixes'!E25</f>
        <v>T</v>
      </c>
      <c r="F26" s="94" t="str">
        <f>'DE-9IM Matrixes'!F25</f>
        <v>*</v>
      </c>
      <c r="G26" s="17"/>
      <c r="H26" s="209"/>
      <c r="I26" s="13" t="s">
        <v>31</v>
      </c>
      <c r="J26" s="92" t="str">
        <f>'DE-9IM Matrixes'!J25</f>
        <v>*</v>
      </c>
      <c r="K26" s="93" t="str">
        <f>'DE-9IM Matrixes'!K25</f>
        <v>*</v>
      </c>
      <c r="L26" s="94" t="str">
        <f>'DE-9IM Matrixes'!L25</f>
        <v>*</v>
      </c>
      <c r="M26" s="17"/>
      <c r="N26" s="211"/>
      <c r="O26" s="13" t="s">
        <v>31</v>
      </c>
      <c r="P26" s="92" t="str">
        <f>'DE-9IM Matrixes'!P25</f>
        <v>*</v>
      </c>
      <c r="Q26" s="93" t="str">
        <f>'DE-9IM Matrixes'!Q25</f>
        <v>*</v>
      </c>
      <c r="R26" s="94" t="str">
        <f>'DE-9IM Matrixes'!R25</f>
        <v>*</v>
      </c>
      <c r="S26"/>
      <c r="T26" s="185"/>
      <c r="U26" s="207"/>
      <c r="V26" s="13" t="s">
        <v>31</v>
      </c>
      <c r="W26" s="105" t="str">
        <f>E25</f>
        <v>*</v>
      </c>
      <c r="X26" s="106" t="str">
        <f>E26</f>
        <v>T</v>
      </c>
      <c r="Y26" s="107" t="str">
        <f>E27</f>
        <v>*</v>
      </c>
      <c r="Z26" s="17"/>
      <c r="AA26" s="209"/>
      <c r="AB26" s="13" t="s">
        <v>31</v>
      </c>
      <c r="AC26" s="76" t="str">
        <f>K25</f>
        <v>*</v>
      </c>
      <c r="AD26" s="76" t="str">
        <f>K26</f>
        <v>*</v>
      </c>
      <c r="AE26" s="76" t="str">
        <f>K27</f>
        <v>*</v>
      </c>
      <c r="AF26" s="17"/>
      <c r="AG26" s="211"/>
      <c r="AH26" s="13" t="s">
        <v>31</v>
      </c>
      <c r="AI26" s="105" t="str">
        <f>Q25</f>
        <v>*</v>
      </c>
      <c r="AJ26" s="106" t="str">
        <f>Q26</f>
        <v>*</v>
      </c>
      <c r="AK26" s="107" t="str">
        <f>Q27</f>
        <v>*</v>
      </c>
      <c r="AL26"/>
      <c r="AM26" s="149" t="s">
        <v>79</v>
      </c>
      <c r="AN26" s="120"/>
      <c r="AO26" s="120" t="str">
        <f t="shared" ref="AO26" si="412">IF(AO24=AO25,"","X")</f>
        <v/>
      </c>
      <c r="AP26" s="120" t="str">
        <f t="shared" ref="AP26" si="413">IF(AP24=AP25,"","X")</f>
        <v/>
      </c>
      <c r="AQ26" s="120" t="str">
        <f t="shared" ref="AQ26" si="414">IF(AQ24=AQ25,"","X")</f>
        <v/>
      </c>
      <c r="AR26" s="120" t="str">
        <f t="shared" ref="AR26" si="415">IF(AR24=AR25,"","X")</f>
        <v/>
      </c>
      <c r="AS26" s="120" t="str">
        <f t="shared" ref="AS26" si="416">IF(AS24=AS25,"","X")</f>
        <v/>
      </c>
      <c r="AT26" s="120" t="str">
        <f t="shared" ref="AT26" si="417">IF(AT24=AT25,"","X")</f>
        <v/>
      </c>
      <c r="AU26" s="120" t="str">
        <f t="shared" ref="AU26" si="418">IF(AU24=AU25,"","X")</f>
        <v/>
      </c>
      <c r="AV26" s="120" t="str">
        <f t="shared" ref="AV26" si="419">IF(AV24=AV25,"","X")</f>
        <v/>
      </c>
      <c r="AW26" s="120" t="str">
        <f t="shared" ref="AW26" si="420">IF(AW24=AW25,"","X")</f>
        <v/>
      </c>
      <c r="AX26" s="120" t="str">
        <f t="shared" ref="AX26" si="421">IF(AX24=AX25,"","X")</f>
        <v/>
      </c>
      <c r="AY26" s="120" t="str">
        <f t="shared" ref="AY26" si="422">IF(AY24=AY25,"","X")</f>
        <v/>
      </c>
      <c r="AZ26" s="120" t="str">
        <f t="shared" ref="AZ26" si="423">IF(AZ24=AZ25,"","X")</f>
        <v/>
      </c>
      <c r="BA26" s="120" t="str">
        <f t="shared" ref="BA26" si="424">IF(BA24=BA25,"","X")</f>
        <v/>
      </c>
      <c r="BB26" s="120" t="str">
        <f t="shared" ref="BB26" si="425">IF(BB24=BB25,"","X")</f>
        <v/>
      </c>
      <c r="BC26" s="120" t="str">
        <f t="shared" ref="BC26" si="426">IF(BC24=BC25,"","X")</f>
        <v/>
      </c>
      <c r="BD26" s="120" t="str">
        <f t="shared" ref="BD26" si="427">IF(BD24=BD25,"","X")</f>
        <v/>
      </c>
      <c r="BE26" s="120" t="str">
        <f t="shared" ref="BE26" si="428">IF(BE24=BE25,"","X")</f>
        <v/>
      </c>
      <c r="BF26" s="120" t="str">
        <f t="shared" ref="BF26" si="429">IF(BF24=BF25,"","X")</f>
        <v/>
      </c>
      <c r="BG26" s="120" t="str">
        <f t="shared" ref="BG26" si="430">IF(BG24=BG25,"","X")</f>
        <v/>
      </c>
      <c r="BH26" s="120" t="str">
        <f t="shared" ref="BH26" si="431">IF(BH24=BH25,"","X")</f>
        <v/>
      </c>
      <c r="BI26" s="120" t="str">
        <f t="shared" ref="BI26" si="432">IF(BI24=BI25,"","X")</f>
        <v/>
      </c>
      <c r="BJ26" s="120" t="str">
        <f t="shared" ref="BJ26" si="433">IF(BJ24=BJ25,"","X")</f>
        <v/>
      </c>
      <c r="BK26" s="120" t="str">
        <f t="shared" ref="BK26" si="434">IF(BK24=BK25,"","X")</f>
        <v/>
      </c>
      <c r="BL26" s="120" t="str">
        <f t="shared" ref="BL26" si="435">IF(BL24=BL25,"","X")</f>
        <v/>
      </c>
      <c r="BM26" s="120" t="str">
        <f t="shared" ref="BM26" si="436">IF(BM24=BM25,"","X")</f>
        <v/>
      </c>
      <c r="BN26" s="120" t="str">
        <f t="shared" ref="BN26" si="437">IF(BN24=BN25,"","X")</f>
        <v/>
      </c>
      <c r="BO26" s="120" t="str">
        <f t="shared" ref="BO26" si="438">IF(BO24=BO25,"","X")</f>
        <v/>
      </c>
      <c r="BP26" s="120" t="str">
        <f t="shared" ref="BP26" si="439">IF(BP24=BP25,"","X")</f>
        <v/>
      </c>
      <c r="BQ26" s="120" t="str">
        <f t="shared" ref="BQ26" si="440">IF(BQ24=BQ25,"","X")</f>
        <v/>
      </c>
      <c r="BR26" s="120" t="str">
        <f t="shared" ref="BR26" si="441">IF(BR24=BR25,"","X")</f>
        <v/>
      </c>
    </row>
    <row r="27" spans="1:70" s="13" customFormat="1" ht="15" customHeight="1" thickBot="1" x14ac:dyDescent="0.3">
      <c r="A27" s="186"/>
      <c r="B27" s="208"/>
      <c r="C27" s="13" t="s">
        <v>35</v>
      </c>
      <c r="D27" s="95" t="str">
        <f>'DE-9IM Matrixes'!D26</f>
        <v>*</v>
      </c>
      <c r="E27" s="96" t="str">
        <f>'DE-9IM Matrixes'!E26</f>
        <v>*</v>
      </c>
      <c r="F27" s="111" t="str">
        <f>'DE-9IM Matrixes'!F26</f>
        <v>*</v>
      </c>
      <c r="G27" s="19"/>
      <c r="H27" s="210"/>
      <c r="I27" s="13" t="s">
        <v>35</v>
      </c>
      <c r="J27" s="95" t="str">
        <f>'DE-9IM Matrixes'!J26</f>
        <v>F</v>
      </c>
      <c r="K27" s="96" t="str">
        <f>'DE-9IM Matrixes'!K26</f>
        <v>*</v>
      </c>
      <c r="L27" s="111" t="str">
        <f>'DE-9IM Matrixes'!L26</f>
        <v>*</v>
      </c>
      <c r="M27" s="19"/>
      <c r="N27" s="212"/>
      <c r="O27" s="13" t="s">
        <v>35</v>
      </c>
      <c r="P27" s="95" t="str">
        <f>'DE-9IM Matrixes'!P26</f>
        <v>*</v>
      </c>
      <c r="Q27" s="96" t="str">
        <f>'DE-9IM Matrixes'!Q26</f>
        <v>*</v>
      </c>
      <c r="R27" s="111" t="str">
        <f>'DE-9IM Matrixes'!R26</f>
        <v>*</v>
      </c>
      <c r="S27"/>
      <c r="T27" s="186"/>
      <c r="U27" s="208"/>
      <c r="V27" s="13" t="s">
        <v>35</v>
      </c>
      <c r="W27" s="109" t="str">
        <f>F25</f>
        <v>*</v>
      </c>
      <c r="X27" s="110" t="str">
        <f>F26</f>
        <v>*</v>
      </c>
      <c r="Y27" s="112" t="str">
        <f>F27</f>
        <v>*</v>
      </c>
      <c r="Z27" s="19"/>
      <c r="AA27" s="210"/>
      <c r="AB27" s="13" t="s">
        <v>35</v>
      </c>
      <c r="AC27" s="78" t="str">
        <f>L25</f>
        <v>T</v>
      </c>
      <c r="AD27" s="78" t="str">
        <f>L26</f>
        <v>*</v>
      </c>
      <c r="AE27" s="78" t="str">
        <f>L27</f>
        <v>*</v>
      </c>
      <c r="AF27" s="19"/>
      <c r="AG27" s="212"/>
      <c r="AH27" s="13" t="s">
        <v>35</v>
      </c>
      <c r="AI27" s="109" t="str">
        <f>R25</f>
        <v>*</v>
      </c>
      <c r="AJ27" s="110" t="str">
        <f>R26</f>
        <v>*</v>
      </c>
      <c r="AK27" s="112" t="str">
        <f>R27</f>
        <v>*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s="13" customFormat="1" ht="15" customHeight="1" thickTop="1" thickBot="1" x14ac:dyDescent="0.3">
      <c r="A28" s="194" t="str">
        <f>'DE-9IM Matrixes'!A27</f>
        <v>A is Confined by B</v>
      </c>
      <c r="B28" s="20"/>
      <c r="C28" s="11"/>
      <c r="D28" s="206" t="s">
        <v>31</v>
      </c>
      <c r="E28" s="206"/>
      <c r="F28" s="206"/>
      <c r="G28" s="12"/>
      <c r="H28" s="11"/>
      <c r="I28" s="11"/>
      <c r="J28" s="206" t="s">
        <v>31</v>
      </c>
      <c r="K28" s="206"/>
      <c r="L28" s="206"/>
      <c r="M28" s="12"/>
      <c r="N28" s="11"/>
      <c r="O28" s="11"/>
      <c r="P28" s="206" t="s">
        <v>31</v>
      </c>
      <c r="Q28" s="206"/>
      <c r="R28" s="206"/>
      <c r="S28"/>
      <c r="T28" s="194" t="str">
        <f t="shared" ref="T28" si="442">SUBSTITUTE(SUBSTITUTE(SUBSTITUTE(SUBSTITUTE(A28,"A","x"),"B","A"),"x","B"),"Ao","Bo")</f>
        <v>B is Confined by A</v>
      </c>
      <c r="U28" s="20"/>
      <c r="V28" s="11"/>
      <c r="W28" s="206" t="s">
        <v>31</v>
      </c>
      <c r="X28" s="206"/>
      <c r="Y28" s="206"/>
      <c r="Z28" s="12"/>
      <c r="AA28" s="11"/>
      <c r="AB28" s="11"/>
      <c r="AC28" s="206" t="s">
        <v>31</v>
      </c>
      <c r="AD28" s="206"/>
      <c r="AE28" s="206"/>
      <c r="AF28" s="12"/>
      <c r="AG28" s="11"/>
      <c r="AH28" s="11"/>
      <c r="AI28" s="206" t="s">
        <v>31</v>
      </c>
      <c r="AJ28" s="206"/>
      <c r="AK28" s="206"/>
      <c r="AL28"/>
      <c r="AM28" s="24" t="str">
        <f t="shared" ref="AM28" si="443">A28</f>
        <v>A is Confined by B</v>
      </c>
      <c r="AN28" s="25"/>
      <c r="AO28" s="83" t="str">
        <f t="shared" ref="AO28" si="444">D30</f>
        <v>F</v>
      </c>
      <c r="AP28" s="86" t="str">
        <f t="shared" ref="AP28" si="445">E30</f>
        <v>*</v>
      </c>
      <c r="AQ28" s="88" t="str">
        <f t="shared" ref="AQ28" si="446">F30</f>
        <v>*</v>
      </c>
      <c r="AR28" s="87" t="str">
        <f t="shared" ref="AR28" si="447">D31</f>
        <v>*</v>
      </c>
      <c r="AS28" s="84" t="str">
        <f t="shared" ref="AS28" si="448">E31</f>
        <v>T</v>
      </c>
      <c r="AT28" s="90" t="str">
        <f t="shared" ref="AT28" si="449">F31</f>
        <v>*</v>
      </c>
      <c r="AU28" s="80" t="str">
        <f t="shared" ref="AU28" si="450">D32</f>
        <v>*</v>
      </c>
      <c r="AV28" s="82" t="str">
        <f t="shared" ref="AV28" si="451">E32</f>
        <v>*</v>
      </c>
      <c r="AW28" s="85" t="str">
        <f t="shared" ref="AW28" si="452">F32</f>
        <v>*</v>
      </c>
      <c r="AX28" s="25"/>
      <c r="AY28" s="83" t="str">
        <f t="shared" ref="AY28" si="453">J30</f>
        <v>T</v>
      </c>
      <c r="AZ28" s="86" t="str">
        <f t="shared" ref="AZ28" si="454">K30</f>
        <v>*</v>
      </c>
      <c r="BA28" s="88" t="str">
        <f t="shared" ref="BA28" si="455">L30</f>
        <v>F</v>
      </c>
      <c r="BB28" s="87" t="str">
        <f t="shared" ref="BB28" si="456">J31</f>
        <v>*</v>
      </c>
      <c r="BC28" s="84" t="str">
        <f t="shared" ref="BC28" si="457">K31</f>
        <v>*</v>
      </c>
      <c r="BD28" s="90" t="str">
        <f t="shared" ref="BD28" si="458">L31</f>
        <v>*</v>
      </c>
      <c r="BE28" s="80" t="str">
        <f t="shared" ref="BE28" si="459">J32</f>
        <v>T</v>
      </c>
      <c r="BF28" s="82" t="str">
        <f t="shared" ref="BF28" si="460">K32</f>
        <v>*</v>
      </c>
      <c r="BG28" s="85" t="str">
        <f t="shared" ref="BG28" si="461">L32</f>
        <v>*</v>
      </c>
      <c r="BH28" s="25"/>
      <c r="BI28" s="83" t="str">
        <f t="shared" ref="BI28" si="462">P30</f>
        <v>*</v>
      </c>
      <c r="BJ28" s="86" t="str">
        <f t="shared" ref="BJ28" si="463">Q30</f>
        <v>*</v>
      </c>
      <c r="BK28" s="88" t="str">
        <f t="shared" ref="BK28" si="464">R30</f>
        <v>*</v>
      </c>
      <c r="BL28" s="87" t="str">
        <f t="shared" ref="BL28" si="465">P31</f>
        <v>*</v>
      </c>
      <c r="BM28" s="84" t="str">
        <f t="shared" ref="BM28" si="466">Q31</f>
        <v>*</v>
      </c>
      <c r="BN28" s="90" t="str">
        <f t="shared" ref="BN28" si="467">R31</f>
        <v>*</v>
      </c>
      <c r="BO28" s="80" t="str">
        <f t="shared" ref="BO28" si="468">P32</f>
        <v>*</v>
      </c>
      <c r="BP28" s="82" t="str">
        <f t="shared" ref="BP28" si="469">Q32</f>
        <v>*</v>
      </c>
      <c r="BQ28" s="85" t="str">
        <f t="shared" ref="BQ28" si="470">R32</f>
        <v>*</v>
      </c>
      <c r="BR28" s="28"/>
    </row>
    <row r="29" spans="1:70" s="13" customFormat="1" ht="15" customHeight="1" thickTop="1" thickBot="1" x14ac:dyDescent="0.3">
      <c r="A29" s="185"/>
      <c r="B29" s="21"/>
      <c r="C29" s="16" t="s">
        <v>33</v>
      </c>
      <c r="D29" s="13" t="s">
        <v>34</v>
      </c>
      <c r="E29" s="13" t="s">
        <v>31</v>
      </c>
      <c r="F29" s="13" t="s">
        <v>35</v>
      </c>
      <c r="G29" s="17"/>
      <c r="I29" s="16" t="s">
        <v>33</v>
      </c>
      <c r="J29" s="13" t="s">
        <v>34</v>
      </c>
      <c r="K29" s="13" t="s">
        <v>31</v>
      </c>
      <c r="L29" s="13" t="s">
        <v>35</v>
      </c>
      <c r="M29" s="17"/>
      <c r="O29" s="16" t="s">
        <v>33</v>
      </c>
      <c r="P29" s="13" t="s">
        <v>34</v>
      </c>
      <c r="Q29" s="13" t="s">
        <v>31</v>
      </c>
      <c r="R29" s="13" t="s">
        <v>35</v>
      </c>
      <c r="S29"/>
      <c r="T29" s="185"/>
      <c r="U29" s="21"/>
      <c r="V29" s="16" t="s">
        <v>33</v>
      </c>
      <c r="W29" s="13" t="s">
        <v>34</v>
      </c>
      <c r="X29" s="13" t="s">
        <v>31</v>
      </c>
      <c r="Y29" s="13" t="s">
        <v>35</v>
      </c>
      <c r="Z29" s="17"/>
      <c r="AB29" s="16" t="s">
        <v>33</v>
      </c>
      <c r="AC29" s="13" t="s">
        <v>34</v>
      </c>
      <c r="AD29" s="13" t="s">
        <v>31</v>
      </c>
      <c r="AE29" s="13" t="s">
        <v>35</v>
      </c>
      <c r="AF29" s="17"/>
      <c r="AH29" s="16" t="s">
        <v>33</v>
      </c>
      <c r="AI29" s="13" t="s">
        <v>34</v>
      </c>
      <c r="AJ29" s="13" t="s">
        <v>31</v>
      </c>
      <c r="AK29" s="13" t="s">
        <v>35</v>
      </c>
      <c r="AL29"/>
      <c r="AM29" s="150" t="s">
        <v>80</v>
      </c>
      <c r="AN29" s="151"/>
      <c r="AO29" s="152" t="str">
        <f t="shared" ref="AO29" si="471">AO28</f>
        <v>F</v>
      </c>
      <c r="AP29" s="152" t="str">
        <f t="shared" ref="AP29" si="472">IF(ISERROR(SEARCH("Not",$AM31)),AP28,AR28)</f>
        <v>*</v>
      </c>
      <c r="AQ29" s="152" t="str">
        <f t="shared" ref="AQ29" si="473">IF(ISERROR(SEARCH("Not",$AM31)),AQ28,AU28)</f>
        <v>*</v>
      </c>
      <c r="AR29" s="152" t="str">
        <f t="shared" ref="AR29" si="474">IF(ISERROR(SEARCH("Not",$AM31)),AR28,AP28)</f>
        <v>*</v>
      </c>
      <c r="AS29" s="152" t="str">
        <f t="shared" ref="AS29" si="475">AS28</f>
        <v>T</v>
      </c>
      <c r="AT29" s="152" t="str">
        <f t="shared" ref="AT29" si="476">IF(ISERROR(SEARCH("Not",$AM31)),AT28,AV28)</f>
        <v>*</v>
      </c>
      <c r="AU29" s="152" t="str">
        <f t="shared" ref="AU29" si="477">IF(ISERROR(SEARCH("Not",$AM31)),AU28,AQ28)</f>
        <v>*</v>
      </c>
      <c r="AV29" s="152" t="str">
        <f t="shared" ref="AV29" si="478">IF(ISERROR(SEARCH("Not",$AM31)),AV28,AT28)</f>
        <v>*</v>
      </c>
      <c r="AW29" s="152" t="str">
        <f t="shared" ref="AW29" si="479">AW28</f>
        <v>*</v>
      </c>
      <c r="AX29" s="152"/>
      <c r="AY29" s="152" t="str">
        <f t="shared" ref="AY29" si="480">AY28</f>
        <v>T</v>
      </c>
      <c r="AZ29" s="152" t="str">
        <f t="shared" ref="AZ29" si="481">IF(ISERROR(SEARCH("Not",$AM31)),AZ28,BB28)</f>
        <v>*</v>
      </c>
      <c r="BA29" s="152" t="str">
        <f t="shared" ref="BA29" si="482">IF(ISERROR(SEARCH("Not",$AM31)),BA28,BE28)</f>
        <v>T</v>
      </c>
      <c r="BB29" s="152" t="str">
        <f t="shared" ref="BB29" si="483">IF(ISERROR(SEARCH("Not",$AM31)),BB28,AZ28)</f>
        <v>*</v>
      </c>
      <c r="BC29" s="152" t="str">
        <f t="shared" ref="BC29" si="484">BC28</f>
        <v>*</v>
      </c>
      <c r="BD29" s="152" t="str">
        <f t="shared" ref="BD29" si="485">IF(ISERROR(SEARCH("Not",$AM31)),BD28,BF28)</f>
        <v>*</v>
      </c>
      <c r="BE29" s="152" t="str">
        <f t="shared" ref="BE29" si="486">IF(ISERROR(SEARCH("Not",$AM31)),BE28,BA28)</f>
        <v>F</v>
      </c>
      <c r="BF29" s="152" t="str">
        <f t="shared" ref="BF29" si="487">IF(ISERROR(SEARCH("Not",$AM31)),BF28,BD28)</f>
        <v>*</v>
      </c>
      <c r="BG29" s="152" t="str">
        <f t="shared" ref="BG29" si="488">BG28</f>
        <v>*</v>
      </c>
      <c r="BH29" s="152"/>
      <c r="BI29" s="152" t="str">
        <f t="shared" ref="BI29" si="489">BI28</f>
        <v>*</v>
      </c>
      <c r="BJ29" s="152" t="str">
        <f t="shared" ref="BJ29" si="490">IF(ISERROR(SEARCH("Not",$AM31)),BJ28,BL28)</f>
        <v>*</v>
      </c>
      <c r="BK29" s="152" t="str">
        <f t="shared" ref="BK29" si="491">IF(ISERROR(SEARCH("Not",$AM31)),BK28,BO28)</f>
        <v>*</v>
      </c>
      <c r="BL29" s="152" t="str">
        <f t="shared" ref="BL29" si="492">IF(ISERROR(SEARCH("Not",$AM31)),BL28,BJ28)</f>
        <v>*</v>
      </c>
      <c r="BM29" s="152" t="str">
        <f t="shared" ref="BM29" si="493">BM28</f>
        <v>*</v>
      </c>
      <c r="BN29" s="152" t="str">
        <f t="shared" ref="BN29" si="494">IF(ISERROR(SEARCH("Not",$AM31)),BN28,BP28)</f>
        <v>*</v>
      </c>
      <c r="BO29" s="152" t="str">
        <f t="shared" ref="BO29" si="495">IF(ISERROR(SEARCH("Not",$AM31)),BO28,BK28)</f>
        <v>*</v>
      </c>
      <c r="BP29" s="152" t="str">
        <f t="shared" ref="BP29" si="496">IF(ISERROR(SEARCH("Not",$AM31)),BP28,BN28)</f>
        <v>*</v>
      </c>
      <c r="BQ29" s="152" t="str">
        <f t="shared" ref="BQ29" si="497">BQ28</f>
        <v>*</v>
      </c>
      <c r="BR29" s="124"/>
    </row>
    <row r="30" spans="1:70" s="13" customFormat="1" ht="15" customHeight="1" thickTop="1" thickBot="1" x14ac:dyDescent="0.3">
      <c r="A30" s="185"/>
      <c r="B30" s="207" t="s">
        <v>36</v>
      </c>
      <c r="C30" s="13" t="s">
        <v>34</v>
      </c>
      <c r="D30" s="97" t="str">
        <f>'DE-9IM Matrixes'!D29</f>
        <v>F</v>
      </c>
      <c r="E30" s="98" t="str">
        <f>'DE-9IM Matrixes'!E29</f>
        <v>*</v>
      </c>
      <c r="F30" s="99" t="str">
        <f>'DE-9IM Matrixes'!F29</f>
        <v>*</v>
      </c>
      <c r="G30" s="17"/>
      <c r="H30" s="209" t="s">
        <v>36</v>
      </c>
      <c r="I30" s="13" t="s">
        <v>34</v>
      </c>
      <c r="J30" s="97" t="str">
        <f>'DE-9IM Matrixes'!J29</f>
        <v>T</v>
      </c>
      <c r="K30" s="98" t="str">
        <f>'DE-9IM Matrixes'!K29</f>
        <v>*</v>
      </c>
      <c r="L30" s="99" t="str">
        <f>'DE-9IM Matrixes'!L29</f>
        <v>F</v>
      </c>
      <c r="M30" s="17"/>
      <c r="N30" s="211" t="s">
        <v>36</v>
      </c>
      <c r="O30" s="13" t="s">
        <v>34</v>
      </c>
      <c r="P30" s="97" t="str">
        <f>'DE-9IM Matrixes'!P29</f>
        <v>*</v>
      </c>
      <c r="Q30" s="98" t="str">
        <f>'DE-9IM Matrixes'!Q29</f>
        <v>*</v>
      </c>
      <c r="R30" s="99" t="str">
        <f>'DE-9IM Matrixes'!R29</f>
        <v>*</v>
      </c>
      <c r="S30"/>
      <c r="T30" s="185"/>
      <c r="U30" s="207" t="s">
        <v>36</v>
      </c>
      <c r="V30" s="13" t="s">
        <v>34</v>
      </c>
      <c r="W30" s="101" t="str">
        <f>D30</f>
        <v>F</v>
      </c>
      <c r="X30" s="102" t="str">
        <f>D31</f>
        <v>*</v>
      </c>
      <c r="Y30" s="103" t="str">
        <f>D32</f>
        <v>*</v>
      </c>
      <c r="Z30" s="17"/>
      <c r="AA30" s="209" t="s">
        <v>36</v>
      </c>
      <c r="AB30" s="13" t="s">
        <v>34</v>
      </c>
      <c r="AC30" s="101" t="str">
        <f>J30</f>
        <v>T</v>
      </c>
      <c r="AD30" s="102" t="str">
        <f>J31</f>
        <v>*</v>
      </c>
      <c r="AE30" s="103" t="str">
        <f>J32</f>
        <v>T</v>
      </c>
      <c r="AF30" s="17"/>
      <c r="AG30" s="211" t="s">
        <v>36</v>
      </c>
      <c r="AH30" s="13" t="s">
        <v>34</v>
      </c>
      <c r="AI30" s="101" t="str">
        <f>P30</f>
        <v>*</v>
      </c>
      <c r="AJ30" s="102" t="str">
        <f>P31</f>
        <v>*</v>
      </c>
      <c r="AK30" s="103" t="str">
        <f>P32</f>
        <v>*</v>
      </c>
      <c r="AL30"/>
      <c r="AM30" s="24" t="str">
        <f t="shared" ref="AM30" si="498">T28</f>
        <v>B is Confined by A</v>
      </c>
      <c r="AN30" s="25"/>
      <c r="AO30" s="83" t="str">
        <f t="shared" ref="AO30" si="499">W30</f>
        <v>F</v>
      </c>
      <c r="AP30" s="87" t="str">
        <f t="shared" ref="AP30" si="500">X30</f>
        <v>*</v>
      </c>
      <c r="AQ30" s="89" t="str">
        <f t="shared" ref="AQ30" si="501">Y30</f>
        <v>*</v>
      </c>
      <c r="AR30" s="86" t="str">
        <f t="shared" ref="AR30" si="502">W31</f>
        <v>*</v>
      </c>
      <c r="AS30" s="84" t="str">
        <f t="shared" ref="AS30" si="503">X31</f>
        <v>T</v>
      </c>
      <c r="AT30" s="91" t="str">
        <f t="shared" ref="AT30" si="504">Y31</f>
        <v>*</v>
      </c>
      <c r="AU30" s="79" t="str">
        <f t="shared" ref="AU30:AW30" si="505">W32</f>
        <v>*</v>
      </c>
      <c r="AV30" s="81" t="str">
        <f t="shared" si="505"/>
        <v>*</v>
      </c>
      <c r="AW30" s="85" t="str">
        <f t="shared" si="505"/>
        <v>*</v>
      </c>
      <c r="AX30" s="25"/>
      <c r="AY30" s="83" t="str">
        <f t="shared" ref="AY30" si="506">AC30</f>
        <v>T</v>
      </c>
      <c r="AZ30" s="87" t="str">
        <f t="shared" ref="AZ30" si="507">AD30</f>
        <v>*</v>
      </c>
      <c r="BA30" s="89" t="str">
        <f t="shared" ref="BA30" si="508">AE30</f>
        <v>T</v>
      </c>
      <c r="BB30" s="86" t="str">
        <f t="shared" ref="BB30" si="509">AC31</f>
        <v>*</v>
      </c>
      <c r="BC30" s="84" t="str">
        <f t="shared" ref="BC30" si="510">AD31</f>
        <v>*</v>
      </c>
      <c r="BD30" s="91" t="str">
        <f t="shared" ref="BD30" si="511">AE31</f>
        <v>*</v>
      </c>
      <c r="BE30" s="79" t="str">
        <f t="shared" ref="BE30:BG30" si="512">AC32</f>
        <v>F</v>
      </c>
      <c r="BF30" s="81" t="str">
        <f t="shared" si="512"/>
        <v>*</v>
      </c>
      <c r="BG30" s="85" t="str">
        <f t="shared" si="512"/>
        <v>*</v>
      </c>
      <c r="BH30" s="25"/>
      <c r="BI30" s="83" t="str">
        <f t="shared" ref="BI30" si="513">AI30</f>
        <v>*</v>
      </c>
      <c r="BJ30" s="87" t="str">
        <f t="shared" ref="BJ30" si="514">AJ30</f>
        <v>*</v>
      </c>
      <c r="BK30" s="89" t="str">
        <f t="shared" ref="BK30" si="515">AK30</f>
        <v>*</v>
      </c>
      <c r="BL30" s="86" t="str">
        <f t="shared" ref="BL30" si="516">AI31</f>
        <v>*</v>
      </c>
      <c r="BM30" s="84" t="str">
        <f t="shared" ref="BM30" si="517">AJ31</f>
        <v>*</v>
      </c>
      <c r="BN30" s="91" t="str">
        <f t="shared" ref="BN30" si="518">AK31</f>
        <v>*</v>
      </c>
      <c r="BO30" s="79" t="str">
        <f t="shared" ref="BO30:BQ30" si="519">AI32</f>
        <v>*</v>
      </c>
      <c r="BP30" s="81" t="str">
        <f t="shared" si="519"/>
        <v>*</v>
      </c>
      <c r="BQ30" s="85" t="str">
        <f t="shared" si="519"/>
        <v>*</v>
      </c>
      <c r="BR30" s="28"/>
    </row>
    <row r="31" spans="1:70" s="13" customFormat="1" ht="15" customHeight="1" x14ac:dyDescent="0.25">
      <c r="A31" s="185"/>
      <c r="B31" s="207"/>
      <c r="C31" s="13" t="s">
        <v>31</v>
      </c>
      <c r="D31" s="92" t="str">
        <f>'DE-9IM Matrixes'!D30</f>
        <v>*</v>
      </c>
      <c r="E31" s="93" t="str">
        <f>'DE-9IM Matrixes'!E30</f>
        <v>T</v>
      </c>
      <c r="F31" s="94" t="str">
        <f>'DE-9IM Matrixes'!F30</f>
        <v>*</v>
      </c>
      <c r="G31" s="17"/>
      <c r="H31" s="209"/>
      <c r="I31" s="13" t="s">
        <v>31</v>
      </c>
      <c r="J31" s="92" t="str">
        <f>'DE-9IM Matrixes'!J30</f>
        <v>*</v>
      </c>
      <c r="K31" s="93" t="str">
        <f>'DE-9IM Matrixes'!K30</f>
        <v>*</v>
      </c>
      <c r="L31" s="94" t="str">
        <f>'DE-9IM Matrixes'!L30</f>
        <v>*</v>
      </c>
      <c r="M31" s="17"/>
      <c r="N31" s="211"/>
      <c r="O31" s="13" t="s">
        <v>31</v>
      </c>
      <c r="P31" s="92" t="str">
        <f>'DE-9IM Matrixes'!P30</f>
        <v>*</v>
      </c>
      <c r="Q31" s="93" t="str">
        <f>'DE-9IM Matrixes'!Q30</f>
        <v>*</v>
      </c>
      <c r="R31" s="94" t="str">
        <f>'DE-9IM Matrixes'!R30</f>
        <v>*</v>
      </c>
      <c r="S31"/>
      <c r="T31" s="185"/>
      <c r="U31" s="207"/>
      <c r="V31" s="13" t="s">
        <v>31</v>
      </c>
      <c r="W31" s="105" t="str">
        <f>E30</f>
        <v>*</v>
      </c>
      <c r="X31" s="106" t="str">
        <f>E31</f>
        <v>T</v>
      </c>
      <c r="Y31" s="107" t="str">
        <f>E32</f>
        <v>*</v>
      </c>
      <c r="Z31" s="17"/>
      <c r="AA31" s="209"/>
      <c r="AB31" s="13" t="s">
        <v>31</v>
      </c>
      <c r="AC31" s="105" t="str">
        <f>K30</f>
        <v>*</v>
      </c>
      <c r="AD31" s="106" t="str">
        <f>K31</f>
        <v>*</v>
      </c>
      <c r="AE31" s="107" t="str">
        <f>K32</f>
        <v>*</v>
      </c>
      <c r="AF31" s="17"/>
      <c r="AG31" s="211"/>
      <c r="AH31" s="13" t="s">
        <v>31</v>
      </c>
      <c r="AI31" s="105" t="str">
        <f>Q30</f>
        <v>*</v>
      </c>
      <c r="AJ31" s="106" t="str">
        <f>Q31</f>
        <v>*</v>
      </c>
      <c r="AK31" s="107" t="str">
        <f>Q32</f>
        <v>*</v>
      </c>
      <c r="AL31"/>
      <c r="AM31" s="149" t="s">
        <v>79</v>
      </c>
      <c r="AN31" s="120"/>
      <c r="AO31" s="120" t="str">
        <f t="shared" ref="AO31" si="520">IF(AO29=AO30,"","X")</f>
        <v/>
      </c>
      <c r="AP31" s="120" t="str">
        <f t="shared" ref="AP31" si="521">IF(AP29=AP30,"","X")</f>
        <v/>
      </c>
      <c r="AQ31" s="120" t="str">
        <f t="shared" ref="AQ31" si="522">IF(AQ29=AQ30,"","X")</f>
        <v/>
      </c>
      <c r="AR31" s="120" t="str">
        <f t="shared" ref="AR31" si="523">IF(AR29=AR30,"","X")</f>
        <v/>
      </c>
      <c r="AS31" s="120" t="str">
        <f t="shared" ref="AS31" si="524">IF(AS29=AS30,"","X")</f>
        <v/>
      </c>
      <c r="AT31" s="120" t="str">
        <f t="shared" ref="AT31" si="525">IF(AT29=AT30,"","X")</f>
        <v/>
      </c>
      <c r="AU31" s="120" t="str">
        <f t="shared" ref="AU31" si="526">IF(AU29=AU30,"","X")</f>
        <v/>
      </c>
      <c r="AV31" s="120" t="str">
        <f t="shared" ref="AV31" si="527">IF(AV29=AV30,"","X")</f>
        <v/>
      </c>
      <c r="AW31" s="120" t="str">
        <f t="shared" ref="AW31" si="528">IF(AW29=AW30,"","X")</f>
        <v/>
      </c>
      <c r="AX31" s="120" t="str">
        <f t="shared" ref="AX31" si="529">IF(AX29=AX30,"","X")</f>
        <v/>
      </c>
      <c r="AY31" s="120" t="str">
        <f t="shared" ref="AY31" si="530">IF(AY29=AY30,"","X")</f>
        <v/>
      </c>
      <c r="AZ31" s="120" t="str">
        <f t="shared" ref="AZ31" si="531">IF(AZ29=AZ30,"","X")</f>
        <v/>
      </c>
      <c r="BA31" s="120" t="str">
        <f t="shared" ref="BA31" si="532">IF(BA29=BA30,"","X")</f>
        <v/>
      </c>
      <c r="BB31" s="120" t="str">
        <f t="shared" ref="BB31" si="533">IF(BB29=BB30,"","X")</f>
        <v/>
      </c>
      <c r="BC31" s="120" t="str">
        <f t="shared" ref="BC31" si="534">IF(BC29=BC30,"","X")</f>
        <v/>
      </c>
      <c r="BD31" s="120" t="str">
        <f t="shared" ref="BD31" si="535">IF(BD29=BD30,"","X")</f>
        <v/>
      </c>
      <c r="BE31" s="120" t="str">
        <f t="shared" ref="BE31" si="536">IF(BE29=BE30,"","X")</f>
        <v/>
      </c>
      <c r="BF31" s="120" t="str">
        <f t="shared" ref="BF31" si="537">IF(BF29=BF30,"","X")</f>
        <v/>
      </c>
      <c r="BG31" s="120" t="str">
        <f t="shared" ref="BG31" si="538">IF(BG29=BG30,"","X")</f>
        <v/>
      </c>
      <c r="BH31" s="120" t="str">
        <f t="shared" ref="BH31" si="539">IF(BH29=BH30,"","X")</f>
        <v/>
      </c>
      <c r="BI31" s="120" t="str">
        <f t="shared" ref="BI31" si="540">IF(BI29=BI30,"","X")</f>
        <v/>
      </c>
      <c r="BJ31" s="120" t="str">
        <f t="shared" ref="BJ31" si="541">IF(BJ29=BJ30,"","X")</f>
        <v/>
      </c>
      <c r="BK31" s="120" t="str">
        <f t="shared" ref="BK31" si="542">IF(BK29=BK30,"","X")</f>
        <v/>
      </c>
      <c r="BL31" s="120" t="str">
        <f t="shared" ref="BL31" si="543">IF(BL29=BL30,"","X")</f>
        <v/>
      </c>
      <c r="BM31" s="120" t="str">
        <f t="shared" ref="BM31" si="544">IF(BM29=BM30,"","X")</f>
        <v/>
      </c>
      <c r="BN31" s="120" t="str">
        <f t="shared" ref="BN31" si="545">IF(BN29=BN30,"","X")</f>
        <v/>
      </c>
      <c r="BO31" s="120" t="str">
        <f t="shared" ref="BO31" si="546">IF(BO29=BO30,"","X")</f>
        <v/>
      </c>
      <c r="BP31" s="120" t="str">
        <f t="shared" ref="BP31" si="547">IF(BP29=BP30,"","X")</f>
        <v/>
      </c>
      <c r="BQ31" s="120" t="str">
        <f t="shared" ref="BQ31" si="548">IF(BQ29=BQ30,"","X")</f>
        <v/>
      </c>
      <c r="BR31" s="120" t="str">
        <f t="shared" ref="BR31" si="549">IF(BR29=BR30,"","X")</f>
        <v/>
      </c>
    </row>
    <row r="32" spans="1:70" s="13" customFormat="1" ht="15" customHeight="1" thickBot="1" x14ac:dyDescent="0.3">
      <c r="A32" s="186"/>
      <c r="B32" s="208"/>
      <c r="C32" s="13" t="s">
        <v>35</v>
      </c>
      <c r="D32" s="95" t="str">
        <f>'DE-9IM Matrixes'!D31</f>
        <v>*</v>
      </c>
      <c r="E32" s="96" t="str">
        <f>'DE-9IM Matrixes'!E31</f>
        <v>*</v>
      </c>
      <c r="F32" s="111" t="str">
        <f>'DE-9IM Matrixes'!F31</f>
        <v>*</v>
      </c>
      <c r="G32" s="19"/>
      <c r="H32" s="210"/>
      <c r="I32" s="13" t="s">
        <v>35</v>
      </c>
      <c r="J32" s="95" t="str">
        <f>'DE-9IM Matrixes'!J31</f>
        <v>T</v>
      </c>
      <c r="K32" s="96" t="str">
        <f>'DE-9IM Matrixes'!K31</f>
        <v>*</v>
      </c>
      <c r="L32" s="111" t="str">
        <f>'DE-9IM Matrixes'!L31</f>
        <v>*</v>
      </c>
      <c r="M32" s="19"/>
      <c r="N32" s="212"/>
      <c r="O32" s="13" t="s">
        <v>35</v>
      </c>
      <c r="P32" s="95" t="str">
        <f>'DE-9IM Matrixes'!P31</f>
        <v>*</v>
      </c>
      <c r="Q32" s="96" t="str">
        <f>'DE-9IM Matrixes'!Q31</f>
        <v>*</v>
      </c>
      <c r="R32" s="111" t="str">
        <f>'DE-9IM Matrixes'!R31</f>
        <v>*</v>
      </c>
      <c r="S32"/>
      <c r="T32" s="186"/>
      <c r="U32" s="208"/>
      <c r="V32" s="13" t="s">
        <v>35</v>
      </c>
      <c r="W32" s="109" t="str">
        <f>F30</f>
        <v>*</v>
      </c>
      <c r="X32" s="110" t="str">
        <f>F31</f>
        <v>*</v>
      </c>
      <c r="Y32" s="112" t="str">
        <f>F32</f>
        <v>*</v>
      </c>
      <c r="Z32" s="19"/>
      <c r="AA32" s="210"/>
      <c r="AB32" s="13" t="s">
        <v>35</v>
      </c>
      <c r="AC32" s="109" t="str">
        <f>L30</f>
        <v>F</v>
      </c>
      <c r="AD32" s="110" t="str">
        <f>L31</f>
        <v>*</v>
      </c>
      <c r="AE32" s="112" t="str">
        <f>L32</f>
        <v>*</v>
      </c>
      <c r="AF32" s="19"/>
      <c r="AG32" s="212"/>
      <c r="AH32" s="13" t="s">
        <v>35</v>
      </c>
      <c r="AI32" s="109" t="str">
        <f>R30</f>
        <v>*</v>
      </c>
      <c r="AJ32" s="110" t="str">
        <f>R31</f>
        <v>*</v>
      </c>
      <c r="AK32" s="112" t="str">
        <f>R32</f>
        <v>*</v>
      </c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s="13" customFormat="1" ht="15" customHeight="1" thickTop="1" thickBot="1" x14ac:dyDescent="0.3">
      <c r="A33" s="194" t="str">
        <f>'DE-9IM Matrixes'!A32</f>
        <v>A Borders B</v>
      </c>
      <c r="B33" s="20"/>
      <c r="C33" s="11"/>
      <c r="D33" s="206" t="s">
        <v>31</v>
      </c>
      <c r="E33" s="206"/>
      <c r="F33" s="206"/>
      <c r="G33" s="12"/>
      <c r="H33" s="11"/>
      <c r="I33" s="11"/>
      <c r="J33" s="206" t="s">
        <v>31</v>
      </c>
      <c r="K33" s="206"/>
      <c r="L33" s="206"/>
      <c r="M33" s="12"/>
      <c r="N33" s="11"/>
      <c r="O33" s="11"/>
      <c r="P33" s="206" t="s">
        <v>31</v>
      </c>
      <c r="Q33" s="206"/>
      <c r="R33" s="206"/>
      <c r="S33"/>
      <c r="T33" s="194" t="str">
        <f t="shared" ref="T33" si="550">SUBSTITUTE(SUBSTITUTE(SUBSTITUTE(SUBSTITUTE(A33,"A","x"),"B","A"),"x","B"),"Ao","Bo")</f>
        <v>B Borders A</v>
      </c>
      <c r="U33" s="20"/>
      <c r="V33" s="11"/>
      <c r="W33" s="206" t="s">
        <v>31</v>
      </c>
      <c r="X33" s="206"/>
      <c r="Y33" s="206"/>
      <c r="Z33" s="12"/>
      <c r="AA33" s="11"/>
      <c r="AB33" s="11"/>
      <c r="AC33" s="206" t="s">
        <v>31</v>
      </c>
      <c r="AD33" s="206"/>
      <c r="AE33" s="206"/>
      <c r="AF33" s="12"/>
      <c r="AG33" s="11"/>
      <c r="AH33" s="11"/>
      <c r="AI33" s="206" t="s">
        <v>31</v>
      </c>
      <c r="AJ33" s="206"/>
      <c r="AK33" s="206"/>
      <c r="AL33"/>
      <c r="AM33" s="24" t="str">
        <f t="shared" ref="AM33" si="551">A33</f>
        <v>A Borders B</v>
      </c>
      <c r="AN33" s="25"/>
      <c r="AO33" s="83" t="str">
        <f t="shared" ref="AO33" si="552">D35</f>
        <v>F</v>
      </c>
      <c r="AP33" s="86" t="str">
        <f t="shared" ref="AP33" si="553">E35</f>
        <v>*</v>
      </c>
      <c r="AQ33" s="88" t="str">
        <f t="shared" ref="AQ33" si="554">F35</f>
        <v>*</v>
      </c>
      <c r="AR33" s="87" t="str">
        <f t="shared" ref="AR33" si="555">D36</f>
        <v>*</v>
      </c>
      <c r="AS33" s="84" t="str">
        <f t="shared" ref="AS33" si="556">E36</f>
        <v>T</v>
      </c>
      <c r="AT33" s="90" t="str">
        <f t="shared" ref="AT33" si="557">F36</f>
        <v>*</v>
      </c>
      <c r="AU33" s="80" t="str">
        <f t="shared" ref="AU33" si="558">D37</f>
        <v>*</v>
      </c>
      <c r="AV33" s="82" t="str">
        <f t="shared" ref="AV33" si="559">E37</f>
        <v>*</v>
      </c>
      <c r="AW33" s="85" t="str">
        <f t="shared" ref="AW33" si="560">F37</f>
        <v>*</v>
      </c>
      <c r="AX33" s="25"/>
      <c r="AY33" s="83" t="str">
        <f t="shared" ref="AY33" si="561">J35</f>
        <v>F</v>
      </c>
      <c r="AZ33" s="86" t="str">
        <f t="shared" ref="AZ33" si="562">K35</f>
        <v>*</v>
      </c>
      <c r="BA33" s="88" t="str">
        <f t="shared" ref="BA33" si="563">L35</f>
        <v>T</v>
      </c>
      <c r="BB33" s="87" t="str">
        <f t="shared" ref="BB33" si="564">J36</f>
        <v>*</v>
      </c>
      <c r="BC33" s="84" t="str">
        <f t="shared" ref="BC33" si="565">K36</f>
        <v>*</v>
      </c>
      <c r="BD33" s="90" t="str">
        <f t="shared" ref="BD33" si="566">L36</f>
        <v>*</v>
      </c>
      <c r="BE33" s="80" t="str">
        <f t="shared" ref="BE33" si="567">J37</f>
        <v>T</v>
      </c>
      <c r="BF33" s="82" t="str">
        <f t="shared" ref="BF33" si="568">K37</f>
        <v>*</v>
      </c>
      <c r="BG33" s="85" t="str">
        <f t="shared" ref="BG33" si="569">L37</f>
        <v>*</v>
      </c>
      <c r="BH33" s="25"/>
      <c r="BI33" s="83" t="str">
        <f t="shared" ref="BI33" si="570">P35</f>
        <v>*</v>
      </c>
      <c r="BJ33" s="86" t="str">
        <f t="shared" ref="BJ33" si="571">Q35</f>
        <v>*</v>
      </c>
      <c r="BK33" s="88" t="str">
        <f t="shared" ref="BK33" si="572">R35</f>
        <v>*</v>
      </c>
      <c r="BL33" s="87" t="str">
        <f t="shared" ref="BL33" si="573">P36</f>
        <v>*</v>
      </c>
      <c r="BM33" s="84" t="str">
        <f t="shared" ref="BM33" si="574">Q36</f>
        <v>*</v>
      </c>
      <c r="BN33" s="90" t="str">
        <f t="shared" ref="BN33" si="575">R36</f>
        <v>*</v>
      </c>
      <c r="BO33" s="80" t="str">
        <f t="shared" ref="BO33" si="576">P37</f>
        <v>*</v>
      </c>
      <c r="BP33" s="82" t="str">
        <f t="shared" ref="BP33" si="577">Q37</f>
        <v>*</v>
      </c>
      <c r="BQ33" s="85" t="str">
        <f t="shared" ref="BQ33" si="578">R37</f>
        <v>*</v>
      </c>
      <c r="BR33" s="28"/>
    </row>
    <row r="34" spans="1:70" s="13" customFormat="1" ht="15" customHeight="1" thickTop="1" thickBot="1" x14ac:dyDescent="0.3">
      <c r="A34" s="185"/>
      <c r="B34" s="21"/>
      <c r="C34" s="16" t="s">
        <v>33</v>
      </c>
      <c r="D34" s="13" t="s">
        <v>34</v>
      </c>
      <c r="E34" s="13" t="s">
        <v>31</v>
      </c>
      <c r="F34" s="13" t="s">
        <v>35</v>
      </c>
      <c r="G34" s="17"/>
      <c r="I34" s="16" t="s">
        <v>33</v>
      </c>
      <c r="J34" s="13" t="s">
        <v>34</v>
      </c>
      <c r="K34" s="13" t="s">
        <v>31</v>
      </c>
      <c r="L34" s="13" t="s">
        <v>35</v>
      </c>
      <c r="M34" s="17"/>
      <c r="O34" s="16" t="s">
        <v>33</v>
      </c>
      <c r="P34" s="13" t="s">
        <v>34</v>
      </c>
      <c r="Q34" s="13" t="s">
        <v>31</v>
      </c>
      <c r="R34" s="13" t="s">
        <v>35</v>
      </c>
      <c r="S34"/>
      <c r="T34" s="185"/>
      <c r="U34" s="21"/>
      <c r="V34" s="16" t="s">
        <v>33</v>
      </c>
      <c r="W34" s="13" t="s">
        <v>34</v>
      </c>
      <c r="X34" s="13" t="s">
        <v>31</v>
      </c>
      <c r="Y34" s="13" t="s">
        <v>35</v>
      </c>
      <c r="Z34" s="17"/>
      <c r="AB34" s="16" t="s">
        <v>33</v>
      </c>
      <c r="AC34" s="13" t="s">
        <v>34</v>
      </c>
      <c r="AD34" s="13" t="s">
        <v>31</v>
      </c>
      <c r="AE34" s="13" t="s">
        <v>35</v>
      </c>
      <c r="AF34" s="17"/>
      <c r="AH34" s="16" t="s">
        <v>33</v>
      </c>
      <c r="AI34" s="13" t="s">
        <v>34</v>
      </c>
      <c r="AJ34" s="13" t="s">
        <v>31</v>
      </c>
      <c r="AK34" s="13" t="s">
        <v>35</v>
      </c>
      <c r="AL34"/>
      <c r="AM34" s="150" t="s">
        <v>80</v>
      </c>
      <c r="AN34" s="151"/>
      <c r="AO34" s="152" t="str">
        <f t="shared" ref="AO34" si="579">AO33</f>
        <v>F</v>
      </c>
      <c r="AP34" s="152" t="str">
        <f t="shared" ref="AP34" si="580">IF(ISERROR(SEARCH("Not",$AM36)),AP33,AR33)</f>
        <v>*</v>
      </c>
      <c r="AQ34" s="152" t="str">
        <f t="shared" ref="AQ34" si="581">IF(ISERROR(SEARCH("Not",$AM36)),AQ33,AU33)</f>
        <v>*</v>
      </c>
      <c r="AR34" s="152" t="str">
        <f t="shared" ref="AR34" si="582">IF(ISERROR(SEARCH("Not",$AM36)),AR33,AP33)</f>
        <v>*</v>
      </c>
      <c r="AS34" s="152" t="str">
        <f t="shared" ref="AS34" si="583">AS33</f>
        <v>T</v>
      </c>
      <c r="AT34" s="152" t="str">
        <f t="shared" ref="AT34" si="584">IF(ISERROR(SEARCH("Not",$AM36)),AT33,AV33)</f>
        <v>*</v>
      </c>
      <c r="AU34" s="152" t="str">
        <f t="shared" ref="AU34" si="585">IF(ISERROR(SEARCH("Not",$AM36)),AU33,AQ33)</f>
        <v>*</v>
      </c>
      <c r="AV34" s="152" t="str">
        <f t="shared" ref="AV34" si="586">IF(ISERROR(SEARCH("Not",$AM36)),AV33,AT33)</f>
        <v>*</v>
      </c>
      <c r="AW34" s="152" t="str">
        <f t="shared" ref="AW34" si="587">AW33</f>
        <v>*</v>
      </c>
      <c r="AX34" s="152"/>
      <c r="AY34" s="152" t="str">
        <f t="shared" ref="AY34" si="588">AY33</f>
        <v>F</v>
      </c>
      <c r="AZ34" s="152" t="str">
        <f t="shared" ref="AZ34" si="589">IF(ISERROR(SEARCH("Not",$AM36)),AZ33,BB33)</f>
        <v>*</v>
      </c>
      <c r="BA34" s="152" t="str">
        <f t="shared" ref="BA34" si="590">IF(ISERROR(SEARCH("Not",$AM36)),BA33,BE33)</f>
        <v>T</v>
      </c>
      <c r="BB34" s="152" t="str">
        <f t="shared" ref="BB34" si="591">IF(ISERROR(SEARCH("Not",$AM36)),BB33,AZ33)</f>
        <v>*</v>
      </c>
      <c r="BC34" s="152" t="str">
        <f t="shared" ref="BC34" si="592">BC33</f>
        <v>*</v>
      </c>
      <c r="BD34" s="152" t="str">
        <f t="shared" ref="BD34" si="593">IF(ISERROR(SEARCH("Not",$AM36)),BD33,BF33)</f>
        <v>*</v>
      </c>
      <c r="BE34" s="152" t="str">
        <f t="shared" ref="BE34" si="594">IF(ISERROR(SEARCH("Not",$AM36)),BE33,BA33)</f>
        <v>T</v>
      </c>
      <c r="BF34" s="152" t="str">
        <f t="shared" ref="BF34" si="595">IF(ISERROR(SEARCH("Not",$AM36)),BF33,BD33)</f>
        <v>*</v>
      </c>
      <c r="BG34" s="152" t="str">
        <f t="shared" ref="BG34" si="596">BG33</f>
        <v>*</v>
      </c>
      <c r="BH34" s="152"/>
      <c r="BI34" s="152" t="str">
        <f t="shared" ref="BI34" si="597">BI33</f>
        <v>*</v>
      </c>
      <c r="BJ34" s="152" t="str">
        <f t="shared" ref="BJ34" si="598">IF(ISERROR(SEARCH("Not",$AM36)),BJ33,BL33)</f>
        <v>*</v>
      </c>
      <c r="BK34" s="152" t="str">
        <f t="shared" ref="BK34" si="599">IF(ISERROR(SEARCH("Not",$AM36)),BK33,BO33)</f>
        <v>*</v>
      </c>
      <c r="BL34" s="152" t="str">
        <f t="shared" ref="BL34" si="600">IF(ISERROR(SEARCH("Not",$AM36)),BL33,BJ33)</f>
        <v>*</v>
      </c>
      <c r="BM34" s="152" t="str">
        <f t="shared" ref="BM34" si="601">BM33</f>
        <v>*</v>
      </c>
      <c r="BN34" s="152" t="str">
        <f t="shared" ref="BN34" si="602">IF(ISERROR(SEARCH("Not",$AM36)),BN33,BP33)</f>
        <v>*</v>
      </c>
      <c r="BO34" s="152" t="str">
        <f t="shared" ref="BO34" si="603">IF(ISERROR(SEARCH("Not",$AM36)),BO33,BK33)</f>
        <v>*</v>
      </c>
      <c r="BP34" s="152" t="str">
        <f t="shared" ref="BP34" si="604">IF(ISERROR(SEARCH("Not",$AM36)),BP33,BN33)</f>
        <v>*</v>
      </c>
      <c r="BQ34" s="152" t="str">
        <f t="shared" ref="BQ34" si="605">BQ33</f>
        <v>*</v>
      </c>
      <c r="BR34" s="124"/>
    </row>
    <row r="35" spans="1:70" s="13" customFormat="1" ht="15" customHeight="1" thickTop="1" thickBot="1" x14ac:dyDescent="0.3">
      <c r="A35" s="185"/>
      <c r="B35" s="207" t="s">
        <v>36</v>
      </c>
      <c r="C35" s="13" t="s">
        <v>34</v>
      </c>
      <c r="D35" s="97" t="str">
        <f>'DE-9IM Matrixes'!D34</f>
        <v>F</v>
      </c>
      <c r="E35" s="98" t="str">
        <f>'DE-9IM Matrixes'!E34</f>
        <v>*</v>
      </c>
      <c r="F35" s="99" t="str">
        <f>'DE-9IM Matrixes'!F34</f>
        <v>*</v>
      </c>
      <c r="G35" s="17"/>
      <c r="H35" s="209" t="s">
        <v>36</v>
      </c>
      <c r="I35" s="13" t="s">
        <v>34</v>
      </c>
      <c r="J35" s="97" t="str">
        <f>'DE-9IM Matrixes'!J34</f>
        <v>F</v>
      </c>
      <c r="K35" s="98" t="str">
        <f>'DE-9IM Matrixes'!K34</f>
        <v>*</v>
      </c>
      <c r="L35" s="99" t="str">
        <f>'DE-9IM Matrixes'!L34</f>
        <v>T</v>
      </c>
      <c r="M35" s="17"/>
      <c r="N35" s="211" t="s">
        <v>36</v>
      </c>
      <c r="O35" s="13" t="s">
        <v>34</v>
      </c>
      <c r="P35" s="97" t="str">
        <f>'DE-9IM Matrixes'!P34</f>
        <v>*</v>
      </c>
      <c r="Q35" s="98" t="str">
        <f>'DE-9IM Matrixes'!Q34</f>
        <v>*</v>
      </c>
      <c r="R35" s="99" t="str">
        <f>'DE-9IM Matrixes'!R34</f>
        <v>*</v>
      </c>
      <c r="S35"/>
      <c r="T35" s="185"/>
      <c r="U35" s="207" t="s">
        <v>36</v>
      </c>
      <c r="V35" s="13" t="s">
        <v>34</v>
      </c>
      <c r="W35" s="101" t="str">
        <f>D35</f>
        <v>F</v>
      </c>
      <c r="X35" s="102" t="str">
        <f>D36</f>
        <v>*</v>
      </c>
      <c r="Y35" s="103" t="str">
        <f>D37</f>
        <v>*</v>
      </c>
      <c r="Z35" s="17"/>
      <c r="AA35" s="209" t="s">
        <v>36</v>
      </c>
      <c r="AB35" s="13" t="s">
        <v>34</v>
      </c>
      <c r="AC35" s="101" t="str">
        <f>J35</f>
        <v>F</v>
      </c>
      <c r="AD35" s="102" t="str">
        <f>J36</f>
        <v>*</v>
      </c>
      <c r="AE35" s="103" t="str">
        <f>J37</f>
        <v>T</v>
      </c>
      <c r="AF35" s="17"/>
      <c r="AG35" s="211" t="s">
        <v>36</v>
      </c>
      <c r="AH35" s="13" t="s">
        <v>34</v>
      </c>
      <c r="AI35" s="101" t="str">
        <f>P35</f>
        <v>*</v>
      </c>
      <c r="AJ35" s="102" t="str">
        <f>P36</f>
        <v>*</v>
      </c>
      <c r="AK35" s="103" t="str">
        <f>P37</f>
        <v>*</v>
      </c>
      <c r="AL35"/>
      <c r="AM35" s="24" t="str">
        <f t="shared" ref="AM35" si="606">T33</f>
        <v>B Borders A</v>
      </c>
      <c r="AN35" s="25"/>
      <c r="AO35" s="83" t="str">
        <f t="shared" ref="AO35" si="607">W35</f>
        <v>F</v>
      </c>
      <c r="AP35" s="87" t="str">
        <f t="shared" ref="AP35" si="608">X35</f>
        <v>*</v>
      </c>
      <c r="AQ35" s="89" t="str">
        <f t="shared" ref="AQ35" si="609">Y35</f>
        <v>*</v>
      </c>
      <c r="AR35" s="86" t="str">
        <f t="shared" ref="AR35" si="610">W36</f>
        <v>*</v>
      </c>
      <c r="AS35" s="84" t="str">
        <f t="shared" ref="AS35" si="611">X36</f>
        <v>T</v>
      </c>
      <c r="AT35" s="91" t="str">
        <f t="shared" ref="AT35" si="612">Y36</f>
        <v>*</v>
      </c>
      <c r="AU35" s="79" t="str">
        <f t="shared" ref="AU35:AW35" si="613">W37</f>
        <v>*</v>
      </c>
      <c r="AV35" s="81" t="str">
        <f t="shared" si="613"/>
        <v>*</v>
      </c>
      <c r="AW35" s="85" t="str">
        <f t="shared" si="613"/>
        <v>*</v>
      </c>
      <c r="AX35" s="25"/>
      <c r="AY35" s="83" t="str">
        <f t="shared" ref="AY35" si="614">AC35</f>
        <v>F</v>
      </c>
      <c r="AZ35" s="87" t="str">
        <f t="shared" ref="AZ35" si="615">AD35</f>
        <v>*</v>
      </c>
      <c r="BA35" s="89" t="str">
        <f t="shared" ref="BA35" si="616">AE35</f>
        <v>T</v>
      </c>
      <c r="BB35" s="86" t="str">
        <f t="shared" ref="BB35" si="617">AC36</f>
        <v>*</v>
      </c>
      <c r="BC35" s="84" t="str">
        <f t="shared" ref="BC35" si="618">AD36</f>
        <v>*</v>
      </c>
      <c r="BD35" s="91" t="str">
        <f t="shared" ref="BD35" si="619">AE36</f>
        <v>*</v>
      </c>
      <c r="BE35" s="79" t="str">
        <f t="shared" ref="BE35:BG35" si="620">AC37</f>
        <v>T</v>
      </c>
      <c r="BF35" s="81" t="str">
        <f t="shared" si="620"/>
        <v>*</v>
      </c>
      <c r="BG35" s="85" t="str">
        <f t="shared" si="620"/>
        <v>*</v>
      </c>
      <c r="BH35" s="25"/>
      <c r="BI35" s="83" t="str">
        <f t="shared" ref="BI35" si="621">AI35</f>
        <v>*</v>
      </c>
      <c r="BJ35" s="87" t="str">
        <f t="shared" ref="BJ35" si="622">AJ35</f>
        <v>*</v>
      </c>
      <c r="BK35" s="89" t="str">
        <f t="shared" ref="BK35" si="623">AK35</f>
        <v>*</v>
      </c>
      <c r="BL35" s="86" t="str">
        <f t="shared" ref="BL35" si="624">AI36</f>
        <v>*</v>
      </c>
      <c r="BM35" s="84" t="str">
        <f t="shared" ref="BM35" si="625">AJ36</f>
        <v>*</v>
      </c>
      <c r="BN35" s="91" t="str">
        <f t="shared" ref="BN35" si="626">AK36</f>
        <v>*</v>
      </c>
      <c r="BO35" s="79" t="str">
        <f t="shared" ref="BO35:BQ35" si="627">AI37</f>
        <v>*</v>
      </c>
      <c r="BP35" s="81" t="str">
        <f t="shared" si="627"/>
        <v>*</v>
      </c>
      <c r="BQ35" s="85" t="str">
        <f t="shared" si="627"/>
        <v>*</v>
      </c>
      <c r="BR35" s="28"/>
    </row>
    <row r="36" spans="1:70" s="13" customFormat="1" ht="15" customHeight="1" x14ac:dyDescent="0.25">
      <c r="A36" s="185"/>
      <c r="B36" s="207"/>
      <c r="C36" s="13" t="s">
        <v>31</v>
      </c>
      <c r="D36" s="92" t="str">
        <f>'DE-9IM Matrixes'!D35</f>
        <v>*</v>
      </c>
      <c r="E36" s="93" t="str">
        <f>'DE-9IM Matrixes'!E35</f>
        <v>T</v>
      </c>
      <c r="F36" s="94" t="str">
        <f>'DE-9IM Matrixes'!F35</f>
        <v>*</v>
      </c>
      <c r="G36" s="17"/>
      <c r="H36" s="209"/>
      <c r="I36" s="13" t="s">
        <v>31</v>
      </c>
      <c r="J36" s="92" t="str">
        <f>'DE-9IM Matrixes'!J35</f>
        <v>*</v>
      </c>
      <c r="K36" s="93" t="str">
        <f>'DE-9IM Matrixes'!K35</f>
        <v>*</v>
      </c>
      <c r="L36" s="94" t="str">
        <f>'DE-9IM Matrixes'!L35</f>
        <v>*</v>
      </c>
      <c r="M36" s="17"/>
      <c r="N36" s="211"/>
      <c r="O36" s="13" t="s">
        <v>31</v>
      </c>
      <c r="P36" s="92" t="str">
        <f>'DE-9IM Matrixes'!P35</f>
        <v>*</v>
      </c>
      <c r="Q36" s="93" t="str">
        <f>'DE-9IM Matrixes'!Q35</f>
        <v>*</v>
      </c>
      <c r="R36" s="94" t="str">
        <f>'DE-9IM Matrixes'!R35</f>
        <v>*</v>
      </c>
      <c r="S36"/>
      <c r="T36" s="185"/>
      <c r="U36" s="207"/>
      <c r="V36" s="13" t="s">
        <v>31</v>
      </c>
      <c r="W36" s="105" t="str">
        <f>E35</f>
        <v>*</v>
      </c>
      <c r="X36" s="106" t="str">
        <f>E36</f>
        <v>T</v>
      </c>
      <c r="Y36" s="107" t="str">
        <f>E37</f>
        <v>*</v>
      </c>
      <c r="Z36" s="17"/>
      <c r="AA36" s="209"/>
      <c r="AB36" s="13" t="s">
        <v>31</v>
      </c>
      <c r="AC36" s="105" t="str">
        <f>K35</f>
        <v>*</v>
      </c>
      <c r="AD36" s="106" t="str">
        <f>K36</f>
        <v>*</v>
      </c>
      <c r="AE36" s="107" t="str">
        <f>K37</f>
        <v>*</v>
      </c>
      <c r="AF36" s="17"/>
      <c r="AG36" s="211"/>
      <c r="AH36" s="13" t="s">
        <v>31</v>
      </c>
      <c r="AI36" s="105" t="str">
        <f>Q35</f>
        <v>*</v>
      </c>
      <c r="AJ36" s="106" t="str">
        <f>Q36</f>
        <v>*</v>
      </c>
      <c r="AK36" s="107" t="str">
        <f>Q37</f>
        <v>*</v>
      </c>
      <c r="AL36"/>
      <c r="AM36" s="149" t="s">
        <v>10</v>
      </c>
      <c r="AN36" s="120"/>
      <c r="AO36" s="120" t="str">
        <f t="shared" ref="AO36" si="628">IF(AO34=AO35,"","X")</f>
        <v/>
      </c>
      <c r="AP36" s="120" t="str">
        <f t="shared" ref="AP36" si="629">IF(AP34=AP35,"","X")</f>
        <v/>
      </c>
      <c r="AQ36" s="120" t="str">
        <f t="shared" ref="AQ36" si="630">IF(AQ34=AQ35,"","X")</f>
        <v/>
      </c>
      <c r="AR36" s="120" t="str">
        <f t="shared" ref="AR36" si="631">IF(AR34=AR35,"","X")</f>
        <v/>
      </c>
      <c r="AS36" s="120" t="str">
        <f t="shared" ref="AS36" si="632">IF(AS34=AS35,"","X")</f>
        <v/>
      </c>
      <c r="AT36" s="120" t="str">
        <f t="shared" ref="AT36" si="633">IF(AT34=AT35,"","X")</f>
        <v/>
      </c>
      <c r="AU36" s="120" t="str">
        <f t="shared" ref="AU36" si="634">IF(AU34=AU35,"","X")</f>
        <v/>
      </c>
      <c r="AV36" s="120" t="str">
        <f t="shared" ref="AV36" si="635">IF(AV34=AV35,"","X")</f>
        <v/>
      </c>
      <c r="AW36" s="120" t="str">
        <f t="shared" ref="AW36" si="636">IF(AW34=AW35,"","X")</f>
        <v/>
      </c>
      <c r="AX36" s="120" t="str">
        <f t="shared" ref="AX36" si="637">IF(AX34=AX35,"","X")</f>
        <v/>
      </c>
      <c r="AY36" s="120" t="str">
        <f t="shared" ref="AY36" si="638">IF(AY34=AY35,"","X")</f>
        <v/>
      </c>
      <c r="AZ36" s="120" t="str">
        <f t="shared" ref="AZ36" si="639">IF(AZ34=AZ35,"","X")</f>
        <v/>
      </c>
      <c r="BA36" s="120" t="str">
        <f t="shared" ref="BA36" si="640">IF(BA34=BA35,"","X")</f>
        <v/>
      </c>
      <c r="BB36" s="120" t="str">
        <f t="shared" ref="BB36" si="641">IF(BB34=BB35,"","X")</f>
        <v/>
      </c>
      <c r="BC36" s="120" t="str">
        <f t="shared" ref="BC36" si="642">IF(BC34=BC35,"","X")</f>
        <v/>
      </c>
      <c r="BD36" s="120" t="str">
        <f t="shared" ref="BD36" si="643">IF(BD34=BD35,"","X")</f>
        <v/>
      </c>
      <c r="BE36" s="120" t="str">
        <f t="shared" ref="BE36" si="644">IF(BE34=BE35,"","X")</f>
        <v/>
      </c>
      <c r="BF36" s="120" t="str">
        <f t="shared" ref="BF36" si="645">IF(BF34=BF35,"","X")</f>
        <v/>
      </c>
      <c r="BG36" s="120" t="str">
        <f t="shared" ref="BG36" si="646">IF(BG34=BG35,"","X")</f>
        <v/>
      </c>
      <c r="BH36" s="120" t="str">
        <f t="shared" ref="BH36" si="647">IF(BH34=BH35,"","X")</f>
        <v/>
      </c>
      <c r="BI36" s="120" t="str">
        <f t="shared" ref="BI36" si="648">IF(BI34=BI35,"","X")</f>
        <v/>
      </c>
      <c r="BJ36" s="120" t="str">
        <f t="shared" ref="BJ36" si="649">IF(BJ34=BJ35,"","X")</f>
        <v/>
      </c>
      <c r="BK36" s="120" t="str">
        <f t="shared" ref="BK36" si="650">IF(BK34=BK35,"","X")</f>
        <v/>
      </c>
      <c r="BL36" s="120" t="str">
        <f t="shared" ref="BL36" si="651">IF(BL34=BL35,"","X")</f>
        <v/>
      </c>
      <c r="BM36" s="120" t="str">
        <f t="shared" ref="BM36" si="652">IF(BM34=BM35,"","X")</f>
        <v/>
      </c>
      <c r="BN36" s="120" t="str">
        <f t="shared" ref="BN36" si="653">IF(BN34=BN35,"","X")</f>
        <v/>
      </c>
      <c r="BO36" s="120" t="str">
        <f t="shared" ref="BO36" si="654">IF(BO34=BO35,"","X")</f>
        <v/>
      </c>
      <c r="BP36" s="120" t="str">
        <f t="shared" ref="BP36" si="655">IF(BP34=BP35,"","X")</f>
        <v/>
      </c>
      <c r="BQ36" s="120" t="str">
        <f t="shared" ref="BQ36" si="656">IF(BQ34=BQ35,"","X")</f>
        <v/>
      </c>
      <c r="BR36" s="120" t="str">
        <f t="shared" ref="BR36" si="657">IF(BR34=BR35,"","X")</f>
        <v/>
      </c>
    </row>
    <row r="37" spans="1:70" s="13" customFormat="1" ht="15" customHeight="1" thickBot="1" x14ac:dyDescent="0.3">
      <c r="A37" s="186"/>
      <c r="B37" s="208"/>
      <c r="C37" s="13" t="s">
        <v>35</v>
      </c>
      <c r="D37" s="95" t="str">
        <f>'DE-9IM Matrixes'!D36</f>
        <v>*</v>
      </c>
      <c r="E37" s="96" t="str">
        <f>'DE-9IM Matrixes'!E36</f>
        <v>*</v>
      </c>
      <c r="F37" s="111" t="str">
        <f>'DE-9IM Matrixes'!F36</f>
        <v>*</v>
      </c>
      <c r="G37" s="19"/>
      <c r="H37" s="210"/>
      <c r="I37" s="13" t="s">
        <v>35</v>
      </c>
      <c r="J37" s="95" t="str">
        <f>'DE-9IM Matrixes'!J36</f>
        <v>T</v>
      </c>
      <c r="K37" s="96" t="str">
        <f>'DE-9IM Matrixes'!K36</f>
        <v>*</v>
      </c>
      <c r="L37" s="111" t="str">
        <f>'DE-9IM Matrixes'!L36</f>
        <v>*</v>
      </c>
      <c r="M37" s="19"/>
      <c r="N37" s="212"/>
      <c r="O37" s="13" t="s">
        <v>35</v>
      </c>
      <c r="P37" s="95" t="str">
        <f>'DE-9IM Matrixes'!P36</f>
        <v>*</v>
      </c>
      <c r="Q37" s="96" t="str">
        <f>'DE-9IM Matrixes'!Q36</f>
        <v>*</v>
      </c>
      <c r="R37" s="111" t="str">
        <f>'DE-9IM Matrixes'!R36</f>
        <v>*</v>
      </c>
      <c r="S37"/>
      <c r="T37" s="186"/>
      <c r="U37" s="208"/>
      <c r="V37" s="13" t="s">
        <v>35</v>
      </c>
      <c r="W37" s="109" t="str">
        <f>F35</f>
        <v>*</v>
      </c>
      <c r="X37" s="110" t="str">
        <f>F36</f>
        <v>*</v>
      </c>
      <c r="Y37" s="112" t="str">
        <f>F37</f>
        <v>*</v>
      </c>
      <c r="Z37" s="19"/>
      <c r="AA37" s="210"/>
      <c r="AB37" s="13" t="s">
        <v>35</v>
      </c>
      <c r="AC37" s="109" t="str">
        <f>L35</f>
        <v>T</v>
      </c>
      <c r="AD37" s="110" t="str">
        <f>L36</f>
        <v>*</v>
      </c>
      <c r="AE37" s="112" t="str">
        <f>L37</f>
        <v>*</v>
      </c>
      <c r="AF37" s="19"/>
      <c r="AG37" s="212"/>
      <c r="AH37" s="13" t="s">
        <v>35</v>
      </c>
      <c r="AI37" s="109" t="str">
        <f>R35</f>
        <v>*</v>
      </c>
      <c r="AJ37" s="110" t="str">
        <f>R36</f>
        <v>*</v>
      </c>
      <c r="AK37" s="112" t="str">
        <f>R37</f>
        <v>*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s="13" customFormat="1" ht="15" customHeight="1" thickTop="1" thickBot="1" x14ac:dyDescent="0.3">
      <c r="A38" s="184" t="str">
        <f>'DE-9IM Matrixes'!A37</f>
        <v>A Contains B</v>
      </c>
      <c r="B38" s="20"/>
      <c r="C38" s="11"/>
      <c r="D38" s="206" t="s">
        <v>31</v>
      </c>
      <c r="E38" s="206"/>
      <c r="F38" s="206"/>
      <c r="G38" s="12"/>
      <c r="H38" s="11"/>
      <c r="I38" s="11"/>
      <c r="J38" s="206" t="s">
        <v>31</v>
      </c>
      <c r="K38" s="206"/>
      <c r="L38" s="206"/>
      <c r="M38" s="12"/>
      <c r="N38" s="11"/>
      <c r="O38" s="11"/>
      <c r="P38" s="206" t="s">
        <v>31</v>
      </c>
      <c r="Q38" s="206"/>
      <c r="R38" s="206"/>
      <c r="S38"/>
      <c r="T38" s="194" t="str">
        <f t="shared" ref="T38" si="658">SUBSTITUTE(SUBSTITUTE(SUBSTITUTE(SUBSTITUTE(A38,"A","x"),"B","A"),"x","B"),"Ao","Bo")</f>
        <v>B Contains A</v>
      </c>
      <c r="U38" s="20"/>
      <c r="V38" s="11"/>
      <c r="W38" s="206" t="s">
        <v>31</v>
      </c>
      <c r="X38" s="206"/>
      <c r="Y38" s="206"/>
      <c r="Z38" s="12"/>
      <c r="AA38" s="11"/>
      <c r="AB38" s="11"/>
      <c r="AC38" s="206" t="s">
        <v>31</v>
      </c>
      <c r="AD38" s="206"/>
      <c r="AE38" s="206"/>
      <c r="AF38" s="12"/>
      <c r="AG38" s="11"/>
      <c r="AH38" s="11"/>
      <c r="AI38" s="206" t="s">
        <v>31</v>
      </c>
      <c r="AJ38" s="206"/>
      <c r="AK38" s="206"/>
      <c r="AL38"/>
      <c r="AM38" s="24" t="str">
        <f t="shared" ref="AM38" si="659">A38</f>
        <v>A Contains B</v>
      </c>
      <c r="AN38" s="25"/>
      <c r="AO38" s="83" t="str">
        <f t="shared" ref="AO38" si="660">D40</f>
        <v>T</v>
      </c>
      <c r="AP38" s="86" t="str">
        <f t="shared" ref="AP38" si="661">E40</f>
        <v>*</v>
      </c>
      <c r="AQ38" s="88" t="str">
        <f t="shared" ref="AQ38" si="662">F40</f>
        <v>T</v>
      </c>
      <c r="AR38" s="87" t="str">
        <f t="shared" ref="AR38" si="663">D41</f>
        <v>*</v>
      </c>
      <c r="AS38" s="84" t="str">
        <f t="shared" ref="AS38" si="664">E41</f>
        <v>F</v>
      </c>
      <c r="AT38" s="90" t="str">
        <f t="shared" ref="AT38" si="665">F41</f>
        <v>*</v>
      </c>
      <c r="AU38" s="80" t="str">
        <f t="shared" ref="AU38" si="666">D42</f>
        <v>F</v>
      </c>
      <c r="AV38" s="82" t="str">
        <f t="shared" ref="AV38" si="667">E42</f>
        <v>*</v>
      </c>
      <c r="AW38" s="85" t="str">
        <f t="shared" ref="AW38" si="668">F42</f>
        <v>*</v>
      </c>
      <c r="AX38" s="25"/>
      <c r="AY38" s="83" t="str">
        <f t="shared" ref="AY38" si="669">J40</f>
        <v>*</v>
      </c>
      <c r="AZ38" s="86" t="str">
        <f t="shared" ref="AZ38" si="670">K40</f>
        <v>*</v>
      </c>
      <c r="BA38" s="88" t="str">
        <f t="shared" ref="BA38" si="671">L40</f>
        <v>*</v>
      </c>
      <c r="BB38" s="87" t="str">
        <f t="shared" ref="BB38" si="672">J41</f>
        <v>*</v>
      </c>
      <c r="BC38" s="84" t="str">
        <f t="shared" ref="BC38" si="673">K41</f>
        <v>*</v>
      </c>
      <c r="BD38" s="90" t="str">
        <f t="shared" ref="BD38" si="674">L41</f>
        <v>*</v>
      </c>
      <c r="BE38" s="80" t="str">
        <f t="shared" ref="BE38" si="675">J42</f>
        <v>*</v>
      </c>
      <c r="BF38" s="82" t="str">
        <f t="shared" ref="BF38" si="676">K42</f>
        <v>*</v>
      </c>
      <c r="BG38" s="85" t="str">
        <f t="shared" ref="BG38" si="677">L42</f>
        <v>*</v>
      </c>
      <c r="BH38" s="25"/>
      <c r="BI38" s="83" t="str">
        <f t="shared" ref="BI38" si="678">P40</f>
        <v>*</v>
      </c>
      <c r="BJ38" s="86" t="str">
        <f t="shared" ref="BJ38" si="679">Q40</f>
        <v>*</v>
      </c>
      <c r="BK38" s="88" t="str">
        <f t="shared" ref="BK38" si="680">R40</f>
        <v>*</v>
      </c>
      <c r="BL38" s="87" t="str">
        <f t="shared" ref="BL38" si="681">P41</f>
        <v>*</v>
      </c>
      <c r="BM38" s="84" t="str">
        <f t="shared" ref="BM38" si="682">Q41</f>
        <v>*</v>
      </c>
      <c r="BN38" s="90" t="str">
        <f t="shared" ref="BN38" si="683">R41</f>
        <v>*</v>
      </c>
      <c r="BO38" s="80" t="str">
        <f t="shared" ref="BO38" si="684">P42</f>
        <v>*</v>
      </c>
      <c r="BP38" s="82" t="str">
        <f t="shared" ref="BP38" si="685">Q42</f>
        <v>*</v>
      </c>
      <c r="BQ38" s="85" t="str">
        <f t="shared" ref="BQ38" si="686">R42</f>
        <v>*</v>
      </c>
      <c r="BR38" s="28"/>
    </row>
    <row r="39" spans="1:70" s="13" customFormat="1" ht="15" customHeight="1" thickTop="1" thickBot="1" x14ac:dyDescent="0.3">
      <c r="A39" s="185"/>
      <c r="B39" s="21"/>
      <c r="C39" s="16" t="s">
        <v>33</v>
      </c>
      <c r="D39" s="13" t="s">
        <v>34</v>
      </c>
      <c r="E39" s="13" t="s">
        <v>31</v>
      </c>
      <c r="F39" s="13" t="s">
        <v>35</v>
      </c>
      <c r="G39" s="17"/>
      <c r="I39" s="16" t="s">
        <v>33</v>
      </c>
      <c r="J39" s="13" t="s">
        <v>34</v>
      </c>
      <c r="K39" s="13" t="s">
        <v>31</v>
      </c>
      <c r="L39" s="13" t="s">
        <v>35</v>
      </c>
      <c r="M39" s="17"/>
      <c r="O39" s="16" t="s">
        <v>33</v>
      </c>
      <c r="P39" s="13" t="s">
        <v>34</v>
      </c>
      <c r="Q39" s="13" t="s">
        <v>31</v>
      </c>
      <c r="R39" s="13" t="s">
        <v>35</v>
      </c>
      <c r="S39"/>
      <c r="T39" s="185"/>
      <c r="U39" s="21"/>
      <c r="V39" s="71" t="s">
        <v>33</v>
      </c>
      <c r="W39" s="72" t="s">
        <v>34</v>
      </c>
      <c r="X39" s="72" t="s">
        <v>31</v>
      </c>
      <c r="Y39" s="72" t="s">
        <v>35</v>
      </c>
      <c r="Z39" s="17"/>
      <c r="AB39" s="71" t="s">
        <v>33</v>
      </c>
      <c r="AC39" s="72" t="s">
        <v>34</v>
      </c>
      <c r="AD39" s="72" t="s">
        <v>31</v>
      </c>
      <c r="AE39" s="72" t="s">
        <v>35</v>
      </c>
      <c r="AF39" s="17"/>
      <c r="AH39" s="71" t="s">
        <v>33</v>
      </c>
      <c r="AI39" s="72" t="s">
        <v>34</v>
      </c>
      <c r="AJ39" s="72" t="s">
        <v>31</v>
      </c>
      <c r="AK39" s="72" t="s">
        <v>35</v>
      </c>
      <c r="AL39"/>
      <c r="AM39" s="150" t="s">
        <v>80</v>
      </c>
      <c r="AN39" s="151"/>
      <c r="AO39" s="152" t="str">
        <f t="shared" ref="AO39" si="687">AO38</f>
        <v>T</v>
      </c>
      <c r="AP39" s="152" t="str">
        <f t="shared" ref="AP39" si="688">IF(ISERROR(SEARCH("Not",$AM41)),AP38,AR38)</f>
        <v>*</v>
      </c>
      <c r="AQ39" s="152" t="str">
        <f t="shared" ref="AQ39" si="689">IF(ISERROR(SEARCH("Not",$AM41)),AQ38,AU38)</f>
        <v>F</v>
      </c>
      <c r="AR39" s="152" t="str">
        <f t="shared" ref="AR39" si="690">IF(ISERROR(SEARCH("Not",$AM41)),AR38,AP38)</f>
        <v>*</v>
      </c>
      <c r="AS39" s="152" t="str">
        <f t="shared" ref="AS39" si="691">AS38</f>
        <v>F</v>
      </c>
      <c r="AT39" s="152" t="str">
        <f t="shared" ref="AT39" si="692">IF(ISERROR(SEARCH("Not",$AM41)),AT38,AV38)</f>
        <v>*</v>
      </c>
      <c r="AU39" s="152" t="str">
        <f t="shared" ref="AU39" si="693">IF(ISERROR(SEARCH("Not",$AM41)),AU38,AQ38)</f>
        <v>T</v>
      </c>
      <c r="AV39" s="152" t="str">
        <f t="shared" ref="AV39" si="694">IF(ISERROR(SEARCH("Not",$AM41)),AV38,AT38)</f>
        <v>*</v>
      </c>
      <c r="AW39" s="152" t="str">
        <f t="shared" ref="AW39" si="695">AW38</f>
        <v>*</v>
      </c>
      <c r="AX39" s="152"/>
      <c r="AY39" s="152" t="str">
        <f t="shared" ref="AY39" si="696">AY38</f>
        <v>*</v>
      </c>
      <c r="AZ39" s="152" t="str">
        <f t="shared" ref="AZ39" si="697">IF(ISERROR(SEARCH("Not",$AM41)),AZ38,BB38)</f>
        <v>*</v>
      </c>
      <c r="BA39" s="152" t="str">
        <f t="shared" ref="BA39" si="698">IF(ISERROR(SEARCH("Not",$AM41)),BA38,BE38)</f>
        <v>*</v>
      </c>
      <c r="BB39" s="152" t="str">
        <f t="shared" ref="BB39" si="699">IF(ISERROR(SEARCH("Not",$AM41)),BB38,AZ38)</f>
        <v>*</v>
      </c>
      <c r="BC39" s="152" t="str">
        <f t="shared" ref="BC39" si="700">BC38</f>
        <v>*</v>
      </c>
      <c r="BD39" s="152" t="str">
        <f t="shared" ref="BD39" si="701">IF(ISERROR(SEARCH("Not",$AM41)),BD38,BF38)</f>
        <v>*</v>
      </c>
      <c r="BE39" s="152" t="str">
        <f t="shared" ref="BE39" si="702">IF(ISERROR(SEARCH("Not",$AM41)),BE38,BA38)</f>
        <v>*</v>
      </c>
      <c r="BF39" s="152" t="str">
        <f t="shared" ref="BF39" si="703">IF(ISERROR(SEARCH("Not",$AM41)),BF38,BD38)</f>
        <v>*</v>
      </c>
      <c r="BG39" s="152" t="str">
        <f t="shared" ref="BG39" si="704">BG38</f>
        <v>*</v>
      </c>
      <c r="BH39" s="152"/>
      <c r="BI39" s="152" t="str">
        <f t="shared" ref="BI39" si="705">BI38</f>
        <v>*</v>
      </c>
      <c r="BJ39" s="152" t="str">
        <f t="shared" ref="BJ39" si="706">IF(ISERROR(SEARCH("Not",$AM41)),BJ38,BL38)</f>
        <v>*</v>
      </c>
      <c r="BK39" s="152" t="str">
        <f t="shared" ref="BK39" si="707">IF(ISERROR(SEARCH("Not",$AM41)),BK38,BO38)</f>
        <v>*</v>
      </c>
      <c r="BL39" s="152" t="str">
        <f t="shared" ref="BL39" si="708">IF(ISERROR(SEARCH("Not",$AM41)),BL38,BJ38)</f>
        <v>*</v>
      </c>
      <c r="BM39" s="152" t="str">
        <f t="shared" ref="BM39" si="709">BM38</f>
        <v>*</v>
      </c>
      <c r="BN39" s="152" t="str">
        <f t="shared" ref="BN39" si="710">IF(ISERROR(SEARCH("Not",$AM41)),BN38,BP38)</f>
        <v>*</v>
      </c>
      <c r="BO39" s="152" t="str">
        <f t="shared" ref="BO39" si="711">IF(ISERROR(SEARCH("Not",$AM41)),BO38,BK38)</f>
        <v>*</v>
      </c>
      <c r="BP39" s="152" t="str">
        <f t="shared" ref="BP39" si="712">IF(ISERROR(SEARCH("Not",$AM41)),BP38,BN38)</f>
        <v>*</v>
      </c>
      <c r="BQ39" s="152" t="str">
        <f t="shared" ref="BQ39" si="713">BQ38</f>
        <v>*</v>
      </c>
      <c r="BR39" s="124"/>
    </row>
    <row r="40" spans="1:70" s="13" customFormat="1" ht="15" customHeight="1" thickTop="1" thickBot="1" x14ac:dyDescent="0.3">
      <c r="A40" s="185"/>
      <c r="B40" s="207" t="s">
        <v>36</v>
      </c>
      <c r="C40" s="13" t="s">
        <v>34</v>
      </c>
      <c r="D40" s="97" t="str">
        <f>'DE-9IM Matrixes'!D39</f>
        <v>T</v>
      </c>
      <c r="E40" s="98" t="str">
        <f>'DE-9IM Matrixes'!E39</f>
        <v>*</v>
      </c>
      <c r="F40" s="99" t="str">
        <f>'DE-9IM Matrixes'!F39</f>
        <v>T</v>
      </c>
      <c r="G40" s="17"/>
      <c r="H40" s="209" t="s">
        <v>36</v>
      </c>
      <c r="I40" s="13" t="s">
        <v>34</v>
      </c>
      <c r="J40" s="97" t="str">
        <f>'DE-9IM Matrixes'!J39</f>
        <v>*</v>
      </c>
      <c r="K40" s="98" t="str">
        <f>'DE-9IM Matrixes'!K39</f>
        <v>*</v>
      </c>
      <c r="L40" s="99" t="str">
        <f>'DE-9IM Matrixes'!L39</f>
        <v>*</v>
      </c>
      <c r="M40" s="17"/>
      <c r="N40" s="211" t="s">
        <v>36</v>
      </c>
      <c r="O40" s="13" t="s">
        <v>34</v>
      </c>
      <c r="P40" s="97" t="str">
        <f>'DE-9IM Matrixes'!P39</f>
        <v>*</v>
      </c>
      <c r="Q40" s="98" t="str">
        <f>'DE-9IM Matrixes'!Q39</f>
        <v>*</v>
      </c>
      <c r="R40" s="99" t="str">
        <f>'DE-9IM Matrixes'!R39</f>
        <v>*</v>
      </c>
      <c r="S40"/>
      <c r="T40" s="185"/>
      <c r="U40" s="207" t="s">
        <v>36</v>
      </c>
      <c r="V40" s="73" t="s">
        <v>34</v>
      </c>
      <c r="W40" s="101" t="str">
        <f>D40</f>
        <v>T</v>
      </c>
      <c r="X40" s="113" t="str">
        <f>D41</f>
        <v>*</v>
      </c>
      <c r="Y40" s="114" t="str">
        <f>D42</f>
        <v>F</v>
      </c>
      <c r="Z40" s="17"/>
      <c r="AA40" s="209" t="s">
        <v>36</v>
      </c>
      <c r="AB40" s="73" t="s">
        <v>34</v>
      </c>
      <c r="AC40" s="101" t="str">
        <f>J40</f>
        <v>*</v>
      </c>
      <c r="AD40" s="113" t="str">
        <f>J41</f>
        <v>*</v>
      </c>
      <c r="AE40" s="114" t="str">
        <f>J42</f>
        <v>*</v>
      </c>
      <c r="AF40" s="17"/>
      <c r="AG40" s="209" t="s">
        <v>36</v>
      </c>
      <c r="AH40" s="73" t="s">
        <v>34</v>
      </c>
      <c r="AI40" s="101" t="str">
        <f>P40</f>
        <v>*</v>
      </c>
      <c r="AJ40" s="113" t="str">
        <f>P41</f>
        <v>*</v>
      </c>
      <c r="AK40" s="114" t="str">
        <f>P42</f>
        <v>*</v>
      </c>
      <c r="AL40"/>
      <c r="AM40" s="24" t="str">
        <f t="shared" ref="AM40" si="714">T38</f>
        <v>B Contains A</v>
      </c>
      <c r="AN40" s="25"/>
      <c r="AO40" s="83" t="str">
        <f t="shared" ref="AO40" si="715">W40</f>
        <v>T</v>
      </c>
      <c r="AP40" s="87" t="str">
        <f t="shared" ref="AP40" si="716">X40</f>
        <v>*</v>
      </c>
      <c r="AQ40" s="89" t="str">
        <f t="shared" ref="AQ40" si="717">Y40</f>
        <v>F</v>
      </c>
      <c r="AR40" s="86" t="str">
        <f t="shared" ref="AR40" si="718">W41</f>
        <v>*</v>
      </c>
      <c r="AS40" s="84" t="str">
        <f t="shared" ref="AS40" si="719">X41</f>
        <v>F</v>
      </c>
      <c r="AT40" s="91" t="str">
        <f t="shared" ref="AT40" si="720">Y41</f>
        <v>*</v>
      </c>
      <c r="AU40" s="79" t="str">
        <f t="shared" ref="AU40:AW40" si="721">W42</f>
        <v>T</v>
      </c>
      <c r="AV40" s="81" t="str">
        <f t="shared" si="721"/>
        <v>*</v>
      </c>
      <c r="AW40" s="85" t="str">
        <f t="shared" si="721"/>
        <v>*</v>
      </c>
      <c r="AX40" s="25"/>
      <c r="AY40" s="83" t="str">
        <f t="shared" ref="AY40" si="722">AC40</f>
        <v>*</v>
      </c>
      <c r="AZ40" s="87" t="str">
        <f t="shared" ref="AZ40" si="723">AD40</f>
        <v>*</v>
      </c>
      <c r="BA40" s="89" t="str">
        <f t="shared" ref="BA40" si="724">AE40</f>
        <v>*</v>
      </c>
      <c r="BB40" s="86" t="str">
        <f t="shared" ref="BB40" si="725">AC41</f>
        <v>*</v>
      </c>
      <c r="BC40" s="84" t="str">
        <f t="shared" ref="BC40" si="726">AD41</f>
        <v>*</v>
      </c>
      <c r="BD40" s="91" t="str">
        <f t="shared" ref="BD40" si="727">AE41</f>
        <v>*</v>
      </c>
      <c r="BE40" s="79" t="str">
        <f t="shared" ref="BE40:BG40" si="728">AC42</f>
        <v>*</v>
      </c>
      <c r="BF40" s="81" t="str">
        <f t="shared" si="728"/>
        <v>*</v>
      </c>
      <c r="BG40" s="85" t="str">
        <f t="shared" si="728"/>
        <v>*</v>
      </c>
      <c r="BH40" s="25"/>
      <c r="BI40" s="83" t="str">
        <f t="shared" ref="BI40" si="729">AI40</f>
        <v>*</v>
      </c>
      <c r="BJ40" s="87" t="str">
        <f t="shared" ref="BJ40" si="730">AJ40</f>
        <v>*</v>
      </c>
      <c r="BK40" s="89" t="str">
        <f t="shared" ref="BK40" si="731">AK40</f>
        <v>*</v>
      </c>
      <c r="BL40" s="86" t="str">
        <f t="shared" ref="BL40" si="732">AI41</f>
        <v>*</v>
      </c>
      <c r="BM40" s="84" t="str">
        <f t="shared" ref="BM40" si="733">AJ41</f>
        <v>*</v>
      </c>
      <c r="BN40" s="91" t="str">
        <f t="shared" ref="BN40" si="734">AK41</f>
        <v>*</v>
      </c>
      <c r="BO40" s="79" t="str">
        <f t="shared" ref="BO40:BQ40" si="735">AI42</f>
        <v>*</v>
      </c>
      <c r="BP40" s="81" t="str">
        <f t="shared" si="735"/>
        <v>*</v>
      </c>
      <c r="BQ40" s="85" t="str">
        <f t="shared" si="735"/>
        <v>*</v>
      </c>
      <c r="BR40" s="28"/>
    </row>
    <row r="41" spans="1:70" s="13" customFormat="1" ht="15" customHeight="1" x14ac:dyDescent="0.25">
      <c r="A41" s="185"/>
      <c r="B41" s="207"/>
      <c r="C41" s="13" t="s">
        <v>31</v>
      </c>
      <c r="D41" s="92" t="str">
        <f>'DE-9IM Matrixes'!D40</f>
        <v>*</v>
      </c>
      <c r="E41" s="93" t="str">
        <f>'DE-9IM Matrixes'!E40</f>
        <v>F</v>
      </c>
      <c r="F41" s="94" t="str">
        <f>'DE-9IM Matrixes'!F40</f>
        <v>*</v>
      </c>
      <c r="G41" s="17"/>
      <c r="H41" s="209"/>
      <c r="I41" s="13" t="s">
        <v>31</v>
      </c>
      <c r="J41" s="92" t="str">
        <f>'DE-9IM Matrixes'!J40</f>
        <v>*</v>
      </c>
      <c r="K41" s="93" t="str">
        <f>'DE-9IM Matrixes'!K40</f>
        <v>*</v>
      </c>
      <c r="L41" s="94" t="str">
        <f>'DE-9IM Matrixes'!L40</f>
        <v>*</v>
      </c>
      <c r="M41" s="17"/>
      <c r="N41" s="211"/>
      <c r="O41" s="13" t="s">
        <v>31</v>
      </c>
      <c r="P41" s="92" t="str">
        <f>'DE-9IM Matrixes'!P40</f>
        <v>*</v>
      </c>
      <c r="Q41" s="93" t="str">
        <f>'DE-9IM Matrixes'!Q40</f>
        <v>*</v>
      </c>
      <c r="R41" s="94" t="str">
        <f>'DE-9IM Matrixes'!R40</f>
        <v>*</v>
      </c>
      <c r="S41"/>
      <c r="T41" s="185"/>
      <c r="U41" s="207"/>
      <c r="V41" s="75" t="s">
        <v>31</v>
      </c>
      <c r="W41" s="115" t="str">
        <f>E40</f>
        <v>*</v>
      </c>
      <c r="X41" s="106" t="str">
        <f>E41</f>
        <v>F</v>
      </c>
      <c r="Y41" s="116" t="str">
        <f>E42</f>
        <v>*</v>
      </c>
      <c r="Z41" s="17"/>
      <c r="AA41" s="209"/>
      <c r="AB41" s="75" t="s">
        <v>31</v>
      </c>
      <c r="AC41" s="115" t="str">
        <f>K40</f>
        <v>*</v>
      </c>
      <c r="AD41" s="106" t="str">
        <f>K41</f>
        <v>*</v>
      </c>
      <c r="AE41" s="116" t="str">
        <f>K42</f>
        <v>*</v>
      </c>
      <c r="AF41" s="17"/>
      <c r="AG41" s="209"/>
      <c r="AH41" s="75" t="s">
        <v>31</v>
      </c>
      <c r="AI41" s="115" t="str">
        <f>Q40</f>
        <v>*</v>
      </c>
      <c r="AJ41" s="106" t="str">
        <f>Q41</f>
        <v>*</v>
      </c>
      <c r="AK41" s="116" t="str">
        <f>Q42</f>
        <v>*</v>
      </c>
      <c r="AL41"/>
      <c r="AM41" s="149" t="s">
        <v>79</v>
      </c>
      <c r="AN41" s="120"/>
      <c r="AO41" s="120" t="str">
        <f t="shared" ref="AO41" si="736">IF(AO39=AO40,"","X")</f>
        <v/>
      </c>
      <c r="AP41" s="120" t="str">
        <f t="shared" ref="AP41" si="737">IF(AP39=AP40,"","X")</f>
        <v/>
      </c>
      <c r="AQ41" s="120" t="str">
        <f t="shared" ref="AQ41" si="738">IF(AQ39=AQ40,"","X")</f>
        <v/>
      </c>
      <c r="AR41" s="120" t="str">
        <f t="shared" ref="AR41" si="739">IF(AR39=AR40,"","X")</f>
        <v/>
      </c>
      <c r="AS41" s="120" t="str">
        <f t="shared" ref="AS41" si="740">IF(AS39=AS40,"","X")</f>
        <v/>
      </c>
      <c r="AT41" s="120" t="str">
        <f t="shared" ref="AT41" si="741">IF(AT39=AT40,"","X")</f>
        <v/>
      </c>
      <c r="AU41" s="120" t="str">
        <f t="shared" ref="AU41" si="742">IF(AU39=AU40,"","X")</f>
        <v/>
      </c>
      <c r="AV41" s="120" t="str">
        <f t="shared" ref="AV41" si="743">IF(AV39=AV40,"","X")</f>
        <v/>
      </c>
      <c r="AW41" s="120" t="str">
        <f t="shared" ref="AW41" si="744">IF(AW39=AW40,"","X")</f>
        <v/>
      </c>
      <c r="AX41" s="120" t="str">
        <f t="shared" ref="AX41" si="745">IF(AX39=AX40,"","X")</f>
        <v/>
      </c>
      <c r="AY41" s="120" t="str">
        <f t="shared" ref="AY41" si="746">IF(AY39=AY40,"","X")</f>
        <v/>
      </c>
      <c r="AZ41" s="120" t="str">
        <f t="shared" ref="AZ41" si="747">IF(AZ39=AZ40,"","X")</f>
        <v/>
      </c>
      <c r="BA41" s="120" t="str">
        <f t="shared" ref="BA41" si="748">IF(BA39=BA40,"","X")</f>
        <v/>
      </c>
      <c r="BB41" s="120" t="str">
        <f t="shared" ref="BB41" si="749">IF(BB39=BB40,"","X")</f>
        <v/>
      </c>
      <c r="BC41" s="120" t="str">
        <f t="shared" ref="BC41" si="750">IF(BC39=BC40,"","X")</f>
        <v/>
      </c>
      <c r="BD41" s="120" t="str">
        <f t="shared" ref="BD41" si="751">IF(BD39=BD40,"","X")</f>
        <v/>
      </c>
      <c r="BE41" s="120" t="str">
        <f t="shared" ref="BE41" si="752">IF(BE39=BE40,"","X")</f>
        <v/>
      </c>
      <c r="BF41" s="120" t="str">
        <f t="shared" ref="BF41" si="753">IF(BF39=BF40,"","X")</f>
        <v/>
      </c>
      <c r="BG41" s="120" t="str">
        <f t="shared" ref="BG41" si="754">IF(BG39=BG40,"","X")</f>
        <v/>
      </c>
      <c r="BH41" s="120" t="str">
        <f t="shared" ref="BH41" si="755">IF(BH39=BH40,"","X")</f>
        <v/>
      </c>
      <c r="BI41" s="120" t="str">
        <f t="shared" ref="BI41" si="756">IF(BI39=BI40,"","X")</f>
        <v/>
      </c>
      <c r="BJ41" s="120" t="str">
        <f t="shared" ref="BJ41" si="757">IF(BJ39=BJ40,"","X")</f>
        <v/>
      </c>
      <c r="BK41" s="120" t="str">
        <f t="shared" ref="BK41" si="758">IF(BK39=BK40,"","X")</f>
        <v/>
      </c>
      <c r="BL41" s="120" t="str">
        <f t="shared" ref="BL41" si="759">IF(BL39=BL40,"","X")</f>
        <v/>
      </c>
      <c r="BM41" s="120" t="str">
        <f t="shared" ref="BM41" si="760">IF(BM39=BM40,"","X")</f>
        <v/>
      </c>
      <c r="BN41" s="120" t="str">
        <f t="shared" ref="BN41" si="761">IF(BN39=BN40,"","X")</f>
        <v/>
      </c>
      <c r="BO41" s="120" t="str">
        <f t="shared" ref="BO41" si="762">IF(BO39=BO40,"","X")</f>
        <v/>
      </c>
      <c r="BP41" s="120" t="str">
        <f t="shared" ref="BP41" si="763">IF(BP39=BP40,"","X")</f>
        <v/>
      </c>
      <c r="BQ41" s="120" t="str">
        <f t="shared" ref="BQ41" si="764">IF(BQ39=BQ40,"","X")</f>
        <v/>
      </c>
      <c r="BR41" s="120" t="str">
        <f t="shared" ref="BR41" si="765">IF(BR39=BR40,"","X")</f>
        <v/>
      </c>
    </row>
    <row r="42" spans="1:70" s="13" customFormat="1" ht="15" customHeight="1" thickBot="1" x14ac:dyDescent="0.3">
      <c r="A42" s="203"/>
      <c r="B42" s="208"/>
      <c r="C42" s="13" t="s">
        <v>35</v>
      </c>
      <c r="D42" s="95" t="str">
        <f>'DE-9IM Matrixes'!D41</f>
        <v>F</v>
      </c>
      <c r="E42" s="96" t="str">
        <f>'DE-9IM Matrixes'!E41</f>
        <v>*</v>
      </c>
      <c r="F42" s="111" t="str">
        <f>'DE-9IM Matrixes'!F41</f>
        <v>*</v>
      </c>
      <c r="G42" s="19"/>
      <c r="H42" s="210"/>
      <c r="I42" s="13" t="s">
        <v>35</v>
      </c>
      <c r="J42" s="95" t="str">
        <f>'DE-9IM Matrixes'!J41</f>
        <v>*</v>
      </c>
      <c r="K42" s="96" t="str">
        <f>'DE-9IM Matrixes'!K41</f>
        <v>*</v>
      </c>
      <c r="L42" s="111" t="str">
        <f>'DE-9IM Matrixes'!L41</f>
        <v>*</v>
      </c>
      <c r="M42" s="19"/>
      <c r="N42" s="212"/>
      <c r="O42" s="13" t="s">
        <v>35</v>
      </c>
      <c r="P42" s="95" t="str">
        <f>'DE-9IM Matrixes'!P41</f>
        <v>*</v>
      </c>
      <c r="Q42" s="96" t="str">
        <f>'DE-9IM Matrixes'!Q41</f>
        <v>*</v>
      </c>
      <c r="R42" s="111" t="str">
        <f>'DE-9IM Matrixes'!R41</f>
        <v>*</v>
      </c>
      <c r="S42"/>
      <c r="T42" s="186"/>
      <c r="U42" s="208"/>
      <c r="V42" s="77" t="s">
        <v>35</v>
      </c>
      <c r="W42" s="117" t="str">
        <f>F40</f>
        <v>T</v>
      </c>
      <c r="X42" s="118" t="str">
        <f>F41</f>
        <v>*</v>
      </c>
      <c r="Y42" s="119" t="str">
        <f>F42</f>
        <v>*</v>
      </c>
      <c r="Z42" s="19"/>
      <c r="AA42" s="210"/>
      <c r="AB42" s="77" t="s">
        <v>35</v>
      </c>
      <c r="AC42" s="117" t="str">
        <f>L40</f>
        <v>*</v>
      </c>
      <c r="AD42" s="118" t="str">
        <f>L41</f>
        <v>*</v>
      </c>
      <c r="AE42" s="119" t="str">
        <f>L42</f>
        <v>*</v>
      </c>
      <c r="AF42" s="19"/>
      <c r="AG42" s="210"/>
      <c r="AH42" s="77" t="s">
        <v>35</v>
      </c>
      <c r="AI42" s="117" t="str">
        <f>R40</f>
        <v>*</v>
      </c>
      <c r="AJ42" s="118" t="str">
        <f>R41</f>
        <v>*</v>
      </c>
      <c r="AK42" s="119" t="str">
        <f>R42</f>
        <v>*</v>
      </c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s="13" customFormat="1" ht="15" customHeight="1" thickTop="1" thickBot="1" x14ac:dyDescent="0.3">
      <c r="A43" s="184" t="str">
        <f>'DE-9IM Matrixes'!A42</f>
        <v>A is Within B</v>
      </c>
      <c r="B43" s="20"/>
      <c r="C43" s="11"/>
      <c r="D43" s="206" t="s">
        <v>31</v>
      </c>
      <c r="E43" s="206"/>
      <c r="F43" s="206"/>
      <c r="G43" s="12"/>
      <c r="H43" s="11"/>
      <c r="I43" s="11"/>
      <c r="J43" s="206" t="s">
        <v>31</v>
      </c>
      <c r="K43" s="206"/>
      <c r="L43" s="206"/>
      <c r="M43" s="12"/>
      <c r="N43" s="11"/>
      <c r="O43" s="11"/>
      <c r="P43" s="206" t="s">
        <v>31</v>
      </c>
      <c r="Q43" s="206"/>
      <c r="R43" s="206"/>
      <c r="S43"/>
      <c r="T43" s="194" t="str">
        <f t="shared" ref="T43" si="766">SUBSTITUTE(SUBSTITUTE(SUBSTITUTE(SUBSTITUTE(A43,"A","x"),"B","A"),"x","B"),"Ao","Bo")</f>
        <v>B is Within A</v>
      </c>
      <c r="U43" s="20"/>
      <c r="V43" s="11"/>
      <c r="W43" s="206" t="s">
        <v>31</v>
      </c>
      <c r="X43" s="206"/>
      <c r="Y43" s="206"/>
      <c r="Z43" s="12"/>
      <c r="AA43" s="11"/>
      <c r="AB43" s="11"/>
      <c r="AC43" s="206" t="s">
        <v>31</v>
      </c>
      <c r="AD43" s="206"/>
      <c r="AE43" s="206"/>
      <c r="AF43" s="12"/>
      <c r="AG43" s="11"/>
      <c r="AH43" s="11"/>
      <c r="AI43" s="206" t="s">
        <v>31</v>
      </c>
      <c r="AJ43" s="206"/>
      <c r="AK43" s="206"/>
      <c r="AL43"/>
      <c r="AM43" s="24" t="str">
        <f t="shared" ref="AM43" si="767">A43</f>
        <v>A is Within B</v>
      </c>
      <c r="AN43" s="25"/>
      <c r="AO43" s="83" t="str">
        <f t="shared" ref="AO43" si="768">D45</f>
        <v>T</v>
      </c>
      <c r="AP43" s="86" t="str">
        <f t="shared" ref="AP43" si="769">E45</f>
        <v>*</v>
      </c>
      <c r="AQ43" s="88" t="str">
        <f t="shared" ref="AQ43" si="770">F45</f>
        <v>F</v>
      </c>
      <c r="AR43" s="87" t="str">
        <f t="shared" ref="AR43" si="771">D46</f>
        <v>*</v>
      </c>
      <c r="AS43" s="84" t="str">
        <f t="shared" ref="AS43" si="772">E46</f>
        <v>F</v>
      </c>
      <c r="AT43" s="90" t="str">
        <f t="shared" ref="AT43" si="773">F46</f>
        <v>*</v>
      </c>
      <c r="AU43" s="80" t="str">
        <f t="shared" ref="AU43" si="774">D47</f>
        <v>T</v>
      </c>
      <c r="AV43" s="82" t="str">
        <f t="shared" ref="AV43" si="775">E47</f>
        <v>*</v>
      </c>
      <c r="AW43" s="85" t="str">
        <f t="shared" ref="AW43" si="776">F47</f>
        <v>*</v>
      </c>
      <c r="AX43" s="25"/>
      <c r="AY43" s="83" t="str">
        <f t="shared" ref="AY43" si="777">J45</f>
        <v>*</v>
      </c>
      <c r="AZ43" s="86" t="str">
        <f t="shared" ref="AZ43" si="778">K45</f>
        <v>*</v>
      </c>
      <c r="BA43" s="88" t="str">
        <f t="shared" ref="BA43" si="779">L45</f>
        <v>*</v>
      </c>
      <c r="BB43" s="87" t="str">
        <f t="shared" ref="BB43" si="780">J46</f>
        <v>*</v>
      </c>
      <c r="BC43" s="84" t="str">
        <f t="shared" ref="BC43" si="781">K46</f>
        <v>*</v>
      </c>
      <c r="BD43" s="90" t="str">
        <f t="shared" ref="BD43" si="782">L46</f>
        <v>*</v>
      </c>
      <c r="BE43" s="80" t="str">
        <f t="shared" ref="BE43" si="783">J47</f>
        <v>*</v>
      </c>
      <c r="BF43" s="82" t="str">
        <f t="shared" ref="BF43" si="784">K47</f>
        <v>*</v>
      </c>
      <c r="BG43" s="85" t="str">
        <f t="shared" ref="BG43" si="785">L47</f>
        <v>*</v>
      </c>
      <c r="BH43" s="25"/>
      <c r="BI43" s="83" t="str">
        <f t="shared" ref="BI43" si="786">P45</f>
        <v>*</v>
      </c>
      <c r="BJ43" s="86" t="str">
        <f t="shared" ref="BJ43" si="787">Q45</f>
        <v>*</v>
      </c>
      <c r="BK43" s="88" t="str">
        <f t="shared" ref="BK43" si="788">R45</f>
        <v>*</v>
      </c>
      <c r="BL43" s="87" t="str">
        <f t="shared" ref="BL43" si="789">P46</f>
        <v>*</v>
      </c>
      <c r="BM43" s="84" t="str">
        <f t="shared" ref="BM43" si="790">Q46</f>
        <v>*</v>
      </c>
      <c r="BN43" s="90" t="str">
        <f t="shared" ref="BN43" si="791">R46</f>
        <v>*</v>
      </c>
      <c r="BO43" s="80" t="str">
        <f t="shared" ref="BO43" si="792">P47</f>
        <v>*</v>
      </c>
      <c r="BP43" s="82" t="str">
        <f t="shared" ref="BP43" si="793">Q47</f>
        <v>*</v>
      </c>
      <c r="BQ43" s="85" t="str">
        <f t="shared" ref="BQ43" si="794">R47</f>
        <v>*</v>
      </c>
      <c r="BR43" s="28"/>
    </row>
    <row r="44" spans="1:70" s="13" customFormat="1" ht="15" customHeight="1" thickTop="1" thickBot="1" x14ac:dyDescent="0.3">
      <c r="A44" s="185"/>
      <c r="B44" s="21"/>
      <c r="C44" s="16" t="s">
        <v>33</v>
      </c>
      <c r="D44" s="13" t="s">
        <v>34</v>
      </c>
      <c r="E44" s="13" t="s">
        <v>31</v>
      </c>
      <c r="F44" s="13" t="s">
        <v>35</v>
      </c>
      <c r="G44" s="17"/>
      <c r="I44" s="16" t="s">
        <v>33</v>
      </c>
      <c r="J44" s="13" t="s">
        <v>34</v>
      </c>
      <c r="K44" s="13" t="s">
        <v>31</v>
      </c>
      <c r="L44" s="13" t="s">
        <v>35</v>
      </c>
      <c r="M44" s="17"/>
      <c r="O44" s="16" t="s">
        <v>33</v>
      </c>
      <c r="P44" s="13" t="s">
        <v>34</v>
      </c>
      <c r="Q44" s="13" t="s">
        <v>31</v>
      </c>
      <c r="R44" s="13" t="s">
        <v>35</v>
      </c>
      <c r="S44"/>
      <c r="T44" s="185"/>
      <c r="U44" s="21"/>
      <c r="V44" s="16" t="s">
        <v>33</v>
      </c>
      <c r="W44" s="13" t="s">
        <v>34</v>
      </c>
      <c r="X44" s="13" t="s">
        <v>31</v>
      </c>
      <c r="Y44" s="13" t="s">
        <v>35</v>
      </c>
      <c r="Z44" s="17"/>
      <c r="AB44" s="16" t="s">
        <v>33</v>
      </c>
      <c r="AC44" s="13" t="s">
        <v>34</v>
      </c>
      <c r="AD44" s="13" t="s">
        <v>31</v>
      </c>
      <c r="AE44" s="13" t="s">
        <v>35</v>
      </c>
      <c r="AF44" s="17"/>
      <c r="AH44" s="16" t="s">
        <v>33</v>
      </c>
      <c r="AI44" s="13" t="s">
        <v>34</v>
      </c>
      <c r="AJ44" s="13" t="s">
        <v>31</v>
      </c>
      <c r="AK44" s="13" t="s">
        <v>35</v>
      </c>
      <c r="AL44"/>
      <c r="AM44" s="150" t="s">
        <v>80</v>
      </c>
      <c r="AN44" s="151"/>
      <c r="AO44" s="152" t="str">
        <f t="shared" ref="AO44" si="795">AO43</f>
        <v>T</v>
      </c>
      <c r="AP44" s="152" t="str">
        <f t="shared" ref="AP44" si="796">IF(ISERROR(SEARCH("Not",$AM46)),AP43,AR43)</f>
        <v>*</v>
      </c>
      <c r="AQ44" s="152" t="str">
        <f t="shared" ref="AQ44" si="797">IF(ISERROR(SEARCH("Not",$AM46)),AQ43,AU43)</f>
        <v>T</v>
      </c>
      <c r="AR44" s="152" t="str">
        <f t="shared" ref="AR44" si="798">IF(ISERROR(SEARCH("Not",$AM46)),AR43,AP43)</f>
        <v>*</v>
      </c>
      <c r="AS44" s="152" t="str">
        <f t="shared" ref="AS44" si="799">AS43</f>
        <v>F</v>
      </c>
      <c r="AT44" s="152" t="str">
        <f t="shared" ref="AT44" si="800">IF(ISERROR(SEARCH("Not",$AM46)),AT43,AV43)</f>
        <v>*</v>
      </c>
      <c r="AU44" s="152" t="str">
        <f t="shared" ref="AU44" si="801">IF(ISERROR(SEARCH("Not",$AM46)),AU43,AQ43)</f>
        <v>F</v>
      </c>
      <c r="AV44" s="152" t="str">
        <f t="shared" ref="AV44" si="802">IF(ISERROR(SEARCH("Not",$AM46)),AV43,AT43)</f>
        <v>*</v>
      </c>
      <c r="AW44" s="152" t="str">
        <f t="shared" ref="AW44" si="803">AW43</f>
        <v>*</v>
      </c>
      <c r="AX44" s="152"/>
      <c r="AY44" s="152" t="str">
        <f t="shared" ref="AY44" si="804">AY43</f>
        <v>*</v>
      </c>
      <c r="AZ44" s="152" t="str">
        <f t="shared" ref="AZ44" si="805">IF(ISERROR(SEARCH("Not",$AM46)),AZ43,BB43)</f>
        <v>*</v>
      </c>
      <c r="BA44" s="152" t="str">
        <f t="shared" ref="BA44" si="806">IF(ISERROR(SEARCH("Not",$AM46)),BA43,BE43)</f>
        <v>*</v>
      </c>
      <c r="BB44" s="152" t="str">
        <f t="shared" ref="BB44" si="807">IF(ISERROR(SEARCH("Not",$AM46)),BB43,AZ43)</f>
        <v>*</v>
      </c>
      <c r="BC44" s="152" t="str">
        <f t="shared" ref="BC44" si="808">BC43</f>
        <v>*</v>
      </c>
      <c r="BD44" s="152" t="str">
        <f t="shared" ref="BD44" si="809">IF(ISERROR(SEARCH("Not",$AM46)),BD43,BF43)</f>
        <v>*</v>
      </c>
      <c r="BE44" s="152" t="str">
        <f t="shared" ref="BE44" si="810">IF(ISERROR(SEARCH("Not",$AM46)),BE43,BA43)</f>
        <v>*</v>
      </c>
      <c r="BF44" s="152" t="str">
        <f t="shared" ref="BF44" si="811">IF(ISERROR(SEARCH("Not",$AM46)),BF43,BD43)</f>
        <v>*</v>
      </c>
      <c r="BG44" s="152" t="str">
        <f t="shared" ref="BG44" si="812">BG43</f>
        <v>*</v>
      </c>
      <c r="BH44" s="152"/>
      <c r="BI44" s="152" t="str">
        <f t="shared" ref="BI44" si="813">BI43</f>
        <v>*</v>
      </c>
      <c r="BJ44" s="152" t="str">
        <f t="shared" ref="BJ44" si="814">IF(ISERROR(SEARCH("Not",$AM46)),BJ43,BL43)</f>
        <v>*</v>
      </c>
      <c r="BK44" s="152" t="str">
        <f t="shared" ref="BK44" si="815">IF(ISERROR(SEARCH("Not",$AM46)),BK43,BO43)</f>
        <v>*</v>
      </c>
      <c r="BL44" s="152" t="str">
        <f t="shared" ref="BL44" si="816">IF(ISERROR(SEARCH("Not",$AM46)),BL43,BJ43)</f>
        <v>*</v>
      </c>
      <c r="BM44" s="152" t="str">
        <f t="shared" ref="BM44" si="817">BM43</f>
        <v>*</v>
      </c>
      <c r="BN44" s="152" t="str">
        <f t="shared" ref="BN44" si="818">IF(ISERROR(SEARCH("Not",$AM46)),BN43,BP43)</f>
        <v>*</v>
      </c>
      <c r="BO44" s="152" t="str">
        <f t="shared" ref="BO44" si="819">IF(ISERROR(SEARCH("Not",$AM46)),BO43,BK43)</f>
        <v>*</v>
      </c>
      <c r="BP44" s="152" t="str">
        <f t="shared" ref="BP44" si="820">IF(ISERROR(SEARCH("Not",$AM46)),BP43,BN43)</f>
        <v>*</v>
      </c>
      <c r="BQ44" s="152" t="str">
        <f t="shared" ref="BQ44" si="821">BQ43</f>
        <v>*</v>
      </c>
      <c r="BR44" s="124"/>
    </row>
    <row r="45" spans="1:70" s="13" customFormat="1" ht="15" customHeight="1" thickTop="1" thickBot="1" x14ac:dyDescent="0.3">
      <c r="A45" s="185"/>
      <c r="B45" s="207" t="s">
        <v>36</v>
      </c>
      <c r="C45" s="13" t="s">
        <v>34</v>
      </c>
      <c r="D45" s="97" t="str">
        <f>'DE-9IM Matrixes'!D44</f>
        <v>T</v>
      </c>
      <c r="E45" s="98" t="str">
        <f>'DE-9IM Matrixes'!E44</f>
        <v>*</v>
      </c>
      <c r="F45" s="99" t="str">
        <f>'DE-9IM Matrixes'!F44</f>
        <v>F</v>
      </c>
      <c r="G45" s="17"/>
      <c r="H45" s="209" t="s">
        <v>36</v>
      </c>
      <c r="I45" s="13" t="s">
        <v>34</v>
      </c>
      <c r="J45" s="97" t="str">
        <f>'DE-9IM Matrixes'!J44</f>
        <v>*</v>
      </c>
      <c r="K45" s="98" t="str">
        <f>'DE-9IM Matrixes'!K44</f>
        <v>*</v>
      </c>
      <c r="L45" s="99" t="str">
        <f>'DE-9IM Matrixes'!L44</f>
        <v>*</v>
      </c>
      <c r="M45" s="17"/>
      <c r="N45" s="211" t="s">
        <v>36</v>
      </c>
      <c r="O45" s="13" t="s">
        <v>34</v>
      </c>
      <c r="P45" s="97" t="str">
        <f>'DE-9IM Matrixes'!P44</f>
        <v>*</v>
      </c>
      <c r="Q45" s="98" t="str">
        <f>'DE-9IM Matrixes'!Q44</f>
        <v>*</v>
      </c>
      <c r="R45" s="99" t="str">
        <f>'DE-9IM Matrixes'!R44</f>
        <v>*</v>
      </c>
      <c r="S45"/>
      <c r="T45" s="185"/>
      <c r="U45" s="207" t="s">
        <v>36</v>
      </c>
      <c r="V45" s="13" t="s">
        <v>34</v>
      </c>
      <c r="W45" s="101" t="str">
        <f>D45</f>
        <v>T</v>
      </c>
      <c r="X45" s="102" t="str">
        <f>D46</f>
        <v>*</v>
      </c>
      <c r="Y45" s="103" t="str">
        <f>D47</f>
        <v>T</v>
      </c>
      <c r="Z45" s="17"/>
      <c r="AA45" s="209" t="s">
        <v>36</v>
      </c>
      <c r="AB45" s="13" t="s">
        <v>34</v>
      </c>
      <c r="AC45" s="101" t="str">
        <f>J45</f>
        <v>*</v>
      </c>
      <c r="AD45" s="102" t="str">
        <f>J46</f>
        <v>*</v>
      </c>
      <c r="AE45" s="103" t="str">
        <f>J47</f>
        <v>*</v>
      </c>
      <c r="AF45" s="17"/>
      <c r="AG45" s="211" t="s">
        <v>36</v>
      </c>
      <c r="AH45" s="13" t="s">
        <v>34</v>
      </c>
      <c r="AI45" s="101" t="str">
        <f>P45</f>
        <v>*</v>
      </c>
      <c r="AJ45" s="102" t="str">
        <f>P46</f>
        <v>*</v>
      </c>
      <c r="AK45" s="103" t="str">
        <f>P47</f>
        <v>*</v>
      </c>
      <c r="AL45"/>
      <c r="AM45" s="24" t="str">
        <f t="shared" ref="AM45" si="822">T43</f>
        <v>B is Within A</v>
      </c>
      <c r="AN45" s="25"/>
      <c r="AO45" s="83" t="str">
        <f t="shared" ref="AO45" si="823">W45</f>
        <v>T</v>
      </c>
      <c r="AP45" s="87" t="str">
        <f t="shared" ref="AP45" si="824">X45</f>
        <v>*</v>
      </c>
      <c r="AQ45" s="89" t="str">
        <f t="shared" ref="AQ45" si="825">Y45</f>
        <v>T</v>
      </c>
      <c r="AR45" s="86" t="str">
        <f t="shared" ref="AR45" si="826">W46</f>
        <v>*</v>
      </c>
      <c r="AS45" s="84" t="str">
        <f t="shared" ref="AS45" si="827">X46</f>
        <v>F</v>
      </c>
      <c r="AT45" s="91" t="str">
        <f t="shared" ref="AT45" si="828">Y46</f>
        <v>*</v>
      </c>
      <c r="AU45" s="79" t="str">
        <f t="shared" ref="AU45:AW45" si="829">W47</f>
        <v>F</v>
      </c>
      <c r="AV45" s="81" t="str">
        <f t="shared" si="829"/>
        <v>*</v>
      </c>
      <c r="AW45" s="85" t="str">
        <f t="shared" si="829"/>
        <v>*</v>
      </c>
      <c r="AX45" s="25"/>
      <c r="AY45" s="83" t="str">
        <f t="shared" ref="AY45" si="830">AC45</f>
        <v>*</v>
      </c>
      <c r="AZ45" s="87" t="str">
        <f t="shared" ref="AZ45" si="831">AD45</f>
        <v>*</v>
      </c>
      <c r="BA45" s="89" t="str">
        <f t="shared" ref="BA45" si="832">AE45</f>
        <v>*</v>
      </c>
      <c r="BB45" s="86" t="str">
        <f t="shared" ref="BB45" si="833">AC46</f>
        <v>*</v>
      </c>
      <c r="BC45" s="84" t="str">
        <f t="shared" ref="BC45" si="834">AD46</f>
        <v>*</v>
      </c>
      <c r="BD45" s="91" t="str">
        <f t="shared" ref="BD45" si="835">AE46</f>
        <v>*</v>
      </c>
      <c r="BE45" s="79" t="str">
        <f t="shared" ref="BE45:BG45" si="836">AC47</f>
        <v>*</v>
      </c>
      <c r="BF45" s="81" t="str">
        <f t="shared" si="836"/>
        <v>*</v>
      </c>
      <c r="BG45" s="85" t="str">
        <f t="shared" si="836"/>
        <v>*</v>
      </c>
      <c r="BH45" s="25"/>
      <c r="BI45" s="83" t="str">
        <f t="shared" ref="BI45" si="837">AI45</f>
        <v>*</v>
      </c>
      <c r="BJ45" s="87" t="str">
        <f t="shared" ref="BJ45" si="838">AJ45</f>
        <v>*</v>
      </c>
      <c r="BK45" s="89" t="str">
        <f t="shared" ref="BK45" si="839">AK45</f>
        <v>*</v>
      </c>
      <c r="BL45" s="86" t="str">
        <f t="shared" ref="BL45" si="840">AI46</f>
        <v>*</v>
      </c>
      <c r="BM45" s="84" t="str">
        <f t="shared" ref="BM45" si="841">AJ46</f>
        <v>*</v>
      </c>
      <c r="BN45" s="91" t="str">
        <f t="shared" ref="BN45" si="842">AK46</f>
        <v>*</v>
      </c>
      <c r="BO45" s="79" t="str">
        <f t="shared" ref="BO45:BQ45" si="843">AI47</f>
        <v>*</v>
      </c>
      <c r="BP45" s="81" t="str">
        <f t="shared" si="843"/>
        <v>*</v>
      </c>
      <c r="BQ45" s="85" t="str">
        <f t="shared" si="843"/>
        <v>*</v>
      </c>
      <c r="BR45" s="28"/>
    </row>
    <row r="46" spans="1:70" s="13" customFormat="1" ht="15" customHeight="1" x14ac:dyDescent="0.25">
      <c r="A46" s="185"/>
      <c r="B46" s="207"/>
      <c r="C46" s="13" t="s">
        <v>31</v>
      </c>
      <c r="D46" s="92" t="str">
        <f>'DE-9IM Matrixes'!D45</f>
        <v>*</v>
      </c>
      <c r="E46" s="93" t="str">
        <f>'DE-9IM Matrixes'!E45</f>
        <v>F</v>
      </c>
      <c r="F46" s="94" t="str">
        <f>'DE-9IM Matrixes'!F45</f>
        <v>*</v>
      </c>
      <c r="G46" s="17"/>
      <c r="H46" s="209"/>
      <c r="I46" s="13" t="s">
        <v>31</v>
      </c>
      <c r="J46" s="92" t="str">
        <f>'DE-9IM Matrixes'!J45</f>
        <v>*</v>
      </c>
      <c r="K46" s="93" t="str">
        <f>'DE-9IM Matrixes'!K45</f>
        <v>*</v>
      </c>
      <c r="L46" s="94" t="str">
        <f>'DE-9IM Matrixes'!L45</f>
        <v>*</v>
      </c>
      <c r="M46" s="17"/>
      <c r="N46" s="211"/>
      <c r="O46" s="13" t="s">
        <v>31</v>
      </c>
      <c r="P46" s="92" t="str">
        <f>'DE-9IM Matrixes'!P45</f>
        <v>*</v>
      </c>
      <c r="Q46" s="93" t="str">
        <f>'DE-9IM Matrixes'!Q45</f>
        <v>*</v>
      </c>
      <c r="R46" s="94" t="str">
        <f>'DE-9IM Matrixes'!R45</f>
        <v>*</v>
      </c>
      <c r="S46"/>
      <c r="T46" s="185"/>
      <c r="U46" s="207"/>
      <c r="V46" s="13" t="s">
        <v>31</v>
      </c>
      <c r="W46" s="105" t="str">
        <f>E45</f>
        <v>*</v>
      </c>
      <c r="X46" s="106" t="str">
        <f>E46</f>
        <v>F</v>
      </c>
      <c r="Y46" s="107" t="str">
        <f>E47</f>
        <v>*</v>
      </c>
      <c r="Z46" s="17"/>
      <c r="AA46" s="209"/>
      <c r="AB46" s="13" t="s">
        <v>31</v>
      </c>
      <c r="AC46" s="105" t="str">
        <f>K45</f>
        <v>*</v>
      </c>
      <c r="AD46" s="106" t="str">
        <f>K46</f>
        <v>*</v>
      </c>
      <c r="AE46" s="107" t="str">
        <f>K47</f>
        <v>*</v>
      </c>
      <c r="AF46" s="17"/>
      <c r="AG46" s="211"/>
      <c r="AH46" s="13" t="s">
        <v>31</v>
      </c>
      <c r="AI46" s="105" t="str">
        <f>Q45</f>
        <v>*</v>
      </c>
      <c r="AJ46" s="106" t="str">
        <f>Q46</f>
        <v>*</v>
      </c>
      <c r="AK46" s="107" t="str">
        <f>Q47</f>
        <v>*</v>
      </c>
      <c r="AL46"/>
      <c r="AM46" s="149" t="s">
        <v>79</v>
      </c>
      <c r="AN46" s="120"/>
      <c r="AO46" s="120" t="str">
        <f t="shared" ref="AO46" si="844">IF(AO44=AO45,"","X")</f>
        <v/>
      </c>
      <c r="AP46" s="120" t="str">
        <f t="shared" ref="AP46" si="845">IF(AP44=AP45,"","X")</f>
        <v/>
      </c>
      <c r="AQ46" s="120" t="str">
        <f t="shared" ref="AQ46" si="846">IF(AQ44=AQ45,"","X")</f>
        <v/>
      </c>
      <c r="AR46" s="120" t="str">
        <f t="shared" ref="AR46" si="847">IF(AR44=AR45,"","X")</f>
        <v/>
      </c>
      <c r="AS46" s="120" t="str">
        <f t="shared" ref="AS46" si="848">IF(AS44=AS45,"","X")</f>
        <v/>
      </c>
      <c r="AT46" s="120" t="str">
        <f t="shared" ref="AT46" si="849">IF(AT44=AT45,"","X")</f>
        <v/>
      </c>
      <c r="AU46" s="120" t="str">
        <f t="shared" ref="AU46" si="850">IF(AU44=AU45,"","X")</f>
        <v/>
      </c>
      <c r="AV46" s="120" t="str">
        <f t="shared" ref="AV46" si="851">IF(AV44=AV45,"","X")</f>
        <v/>
      </c>
      <c r="AW46" s="120" t="str">
        <f t="shared" ref="AW46" si="852">IF(AW44=AW45,"","X")</f>
        <v/>
      </c>
      <c r="AX46" s="120" t="str">
        <f t="shared" ref="AX46" si="853">IF(AX44=AX45,"","X")</f>
        <v/>
      </c>
      <c r="AY46" s="120" t="str">
        <f t="shared" ref="AY46" si="854">IF(AY44=AY45,"","X")</f>
        <v/>
      </c>
      <c r="AZ46" s="120" t="str">
        <f t="shared" ref="AZ46" si="855">IF(AZ44=AZ45,"","X")</f>
        <v/>
      </c>
      <c r="BA46" s="120" t="str">
        <f t="shared" ref="BA46" si="856">IF(BA44=BA45,"","X")</f>
        <v/>
      </c>
      <c r="BB46" s="120" t="str">
        <f t="shared" ref="BB46" si="857">IF(BB44=BB45,"","X")</f>
        <v/>
      </c>
      <c r="BC46" s="120" t="str">
        <f t="shared" ref="BC46" si="858">IF(BC44=BC45,"","X")</f>
        <v/>
      </c>
      <c r="BD46" s="120" t="str">
        <f t="shared" ref="BD46" si="859">IF(BD44=BD45,"","X")</f>
        <v/>
      </c>
      <c r="BE46" s="120" t="str">
        <f t="shared" ref="BE46" si="860">IF(BE44=BE45,"","X")</f>
        <v/>
      </c>
      <c r="BF46" s="120" t="str">
        <f t="shared" ref="BF46" si="861">IF(BF44=BF45,"","X")</f>
        <v/>
      </c>
      <c r="BG46" s="120" t="str">
        <f t="shared" ref="BG46" si="862">IF(BG44=BG45,"","X")</f>
        <v/>
      </c>
      <c r="BH46" s="120" t="str">
        <f t="shared" ref="BH46" si="863">IF(BH44=BH45,"","X")</f>
        <v/>
      </c>
      <c r="BI46" s="120" t="str">
        <f t="shared" ref="BI46" si="864">IF(BI44=BI45,"","X")</f>
        <v/>
      </c>
      <c r="BJ46" s="120" t="str">
        <f t="shared" ref="BJ46" si="865">IF(BJ44=BJ45,"","X")</f>
        <v/>
      </c>
      <c r="BK46" s="120" t="str">
        <f t="shared" ref="BK46" si="866">IF(BK44=BK45,"","X")</f>
        <v/>
      </c>
      <c r="BL46" s="120" t="str">
        <f t="shared" ref="BL46" si="867">IF(BL44=BL45,"","X")</f>
        <v/>
      </c>
      <c r="BM46" s="120" t="str">
        <f t="shared" ref="BM46" si="868">IF(BM44=BM45,"","X")</f>
        <v/>
      </c>
      <c r="BN46" s="120" t="str">
        <f t="shared" ref="BN46" si="869">IF(BN44=BN45,"","X")</f>
        <v/>
      </c>
      <c r="BO46" s="120" t="str">
        <f t="shared" ref="BO46" si="870">IF(BO44=BO45,"","X")</f>
        <v/>
      </c>
      <c r="BP46" s="120" t="str">
        <f t="shared" ref="BP46" si="871">IF(BP44=BP45,"","X")</f>
        <v/>
      </c>
      <c r="BQ46" s="120" t="str">
        <f t="shared" ref="BQ46" si="872">IF(BQ44=BQ45,"","X")</f>
        <v/>
      </c>
      <c r="BR46" s="120" t="str">
        <f t="shared" ref="BR46" si="873">IF(BR44=BR45,"","X")</f>
        <v/>
      </c>
    </row>
    <row r="47" spans="1:70" s="13" customFormat="1" ht="15" customHeight="1" thickBot="1" x14ac:dyDescent="0.3">
      <c r="A47" s="203"/>
      <c r="B47" s="208"/>
      <c r="C47" s="13" t="s">
        <v>35</v>
      </c>
      <c r="D47" s="95" t="str">
        <f>'DE-9IM Matrixes'!D46</f>
        <v>T</v>
      </c>
      <c r="E47" s="96" t="str">
        <f>'DE-9IM Matrixes'!E46</f>
        <v>*</v>
      </c>
      <c r="F47" s="111" t="str">
        <f>'DE-9IM Matrixes'!F46</f>
        <v>*</v>
      </c>
      <c r="G47" s="19"/>
      <c r="H47" s="210"/>
      <c r="I47" s="13" t="s">
        <v>35</v>
      </c>
      <c r="J47" s="95" t="str">
        <f>'DE-9IM Matrixes'!J46</f>
        <v>*</v>
      </c>
      <c r="K47" s="96" t="str">
        <f>'DE-9IM Matrixes'!K46</f>
        <v>*</v>
      </c>
      <c r="L47" s="111" t="str">
        <f>'DE-9IM Matrixes'!L46</f>
        <v>*</v>
      </c>
      <c r="M47" s="19"/>
      <c r="N47" s="212"/>
      <c r="O47" s="13" t="s">
        <v>35</v>
      </c>
      <c r="P47" s="95" t="str">
        <f>'DE-9IM Matrixes'!P46</f>
        <v>*</v>
      </c>
      <c r="Q47" s="96" t="str">
        <f>'DE-9IM Matrixes'!Q46</f>
        <v>*</v>
      </c>
      <c r="R47" s="111" t="str">
        <f>'DE-9IM Matrixes'!R46</f>
        <v>*</v>
      </c>
      <c r="S47"/>
      <c r="T47" s="186"/>
      <c r="U47" s="208"/>
      <c r="V47" s="13" t="s">
        <v>35</v>
      </c>
      <c r="W47" s="109" t="str">
        <f>F45</f>
        <v>F</v>
      </c>
      <c r="X47" s="110" t="str">
        <f>F46</f>
        <v>*</v>
      </c>
      <c r="Y47" s="112" t="str">
        <f>F47</f>
        <v>*</v>
      </c>
      <c r="Z47" s="19"/>
      <c r="AA47" s="210"/>
      <c r="AB47" s="13" t="s">
        <v>35</v>
      </c>
      <c r="AC47" s="109" t="str">
        <f>L45</f>
        <v>*</v>
      </c>
      <c r="AD47" s="110" t="str">
        <f>L46</f>
        <v>*</v>
      </c>
      <c r="AE47" s="112" t="str">
        <f>L47</f>
        <v>*</v>
      </c>
      <c r="AF47" s="19"/>
      <c r="AG47" s="212"/>
      <c r="AH47" s="13" t="s">
        <v>35</v>
      </c>
      <c r="AI47" s="109" t="str">
        <f>R45</f>
        <v>*</v>
      </c>
      <c r="AJ47" s="110" t="str">
        <f>R46</f>
        <v>*</v>
      </c>
      <c r="AK47" s="112" t="str">
        <f>R47</f>
        <v>*</v>
      </c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Top="1" thickBot="1" x14ac:dyDescent="0.3">
      <c r="A48" s="184" t="str">
        <f>'DE-9IM Matrixes'!A47</f>
        <v>A Surrounds B</v>
      </c>
      <c r="B48" s="20"/>
      <c r="C48" s="11"/>
      <c r="D48" s="206" t="s">
        <v>31</v>
      </c>
      <c r="E48" s="206"/>
      <c r="F48" s="206"/>
      <c r="G48" s="12"/>
      <c r="H48" s="11"/>
      <c r="I48" s="11"/>
      <c r="J48" s="206" t="s">
        <v>31</v>
      </c>
      <c r="K48" s="206"/>
      <c r="L48" s="206"/>
      <c r="M48" s="12"/>
      <c r="N48" s="11"/>
      <c r="O48" s="11"/>
      <c r="P48" s="206" t="s">
        <v>31</v>
      </c>
      <c r="Q48" s="206"/>
      <c r="R48" s="206"/>
      <c r="T48" s="194" t="str">
        <f t="shared" ref="T48" si="874">SUBSTITUTE(SUBSTITUTE(SUBSTITUTE(SUBSTITUTE(A48,"A","x"),"B","A"),"x","B"),"Ao","Bo")</f>
        <v>B Surrounds A</v>
      </c>
      <c r="U48" s="20"/>
      <c r="V48" s="11"/>
      <c r="W48" s="206" t="s">
        <v>31</v>
      </c>
      <c r="X48" s="206"/>
      <c r="Y48" s="206"/>
      <c r="Z48" s="12"/>
      <c r="AA48" s="11"/>
      <c r="AB48" s="11"/>
      <c r="AC48" s="206" t="s">
        <v>31</v>
      </c>
      <c r="AD48" s="206"/>
      <c r="AE48" s="206"/>
      <c r="AF48" s="12"/>
      <c r="AG48" s="11"/>
      <c r="AH48" s="11"/>
      <c r="AI48" s="206" t="s">
        <v>31</v>
      </c>
      <c r="AJ48" s="206"/>
      <c r="AK48" s="206"/>
      <c r="AM48" s="24" t="str">
        <f t="shared" ref="AM48" si="875">A48</f>
        <v>A Surrounds B</v>
      </c>
      <c r="AN48" s="25"/>
      <c r="AO48" s="83" t="str">
        <f t="shared" ref="AO48" si="876">D50</f>
        <v>F</v>
      </c>
      <c r="AP48" s="86" t="str">
        <f t="shared" ref="AP48" si="877">E50</f>
        <v>*</v>
      </c>
      <c r="AQ48" s="88" t="str">
        <f t="shared" ref="AQ48" si="878">F50</f>
        <v>*</v>
      </c>
      <c r="AR48" s="87" t="str">
        <f t="shared" ref="AR48" si="879">D51</f>
        <v>*</v>
      </c>
      <c r="AS48" s="84" t="str">
        <f t="shared" ref="AS48" si="880">E51</f>
        <v>F</v>
      </c>
      <c r="AT48" s="90" t="str">
        <f t="shared" ref="AT48" si="881">F51</f>
        <v>*</v>
      </c>
      <c r="AU48" s="80" t="str">
        <f t="shared" ref="AU48" si="882">D52</f>
        <v>*</v>
      </c>
      <c r="AV48" s="82" t="str">
        <f t="shared" ref="AV48" si="883">E52</f>
        <v>*</v>
      </c>
      <c r="AW48" s="85" t="str">
        <f t="shared" ref="AW48" si="884">F52</f>
        <v>*</v>
      </c>
      <c r="AX48" s="25"/>
      <c r="AY48" s="83" t="str">
        <f t="shared" ref="AY48" si="885">J50</f>
        <v>T</v>
      </c>
      <c r="AZ48" s="86" t="str">
        <f t="shared" ref="AZ48" si="886">K50</f>
        <v>*</v>
      </c>
      <c r="BA48" s="88" t="str">
        <f t="shared" ref="BA48" si="887">L50</f>
        <v>T</v>
      </c>
      <c r="BB48" s="87" t="str">
        <f t="shared" ref="BB48" si="888">J51</f>
        <v>*</v>
      </c>
      <c r="BC48" s="84" t="str">
        <f t="shared" ref="BC48" si="889">K51</f>
        <v>*</v>
      </c>
      <c r="BD48" s="90" t="str">
        <f t="shared" ref="BD48" si="890">L51</f>
        <v>*</v>
      </c>
      <c r="BE48" s="80" t="str">
        <f t="shared" ref="BE48" si="891">J52</f>
        <v>F</v>
      </c>
      <c r="BF48" s="82" t="str">
        <f t="shared" ref="BF48" si="892">K52</f>
        <v>*</v>
      </c>
      <c r="BG48" s="85" t="str">
        <f t="shared" ref="BG48" si="893">L52</f>
        <v>*</v>
      </c>
      <c r="BH48" s="25"/>
      <c r="BI48" s="83" t="str">
        <f t="shared" ref="BI48" si="894">P50</f>
        <v>*</v>
      </c>
      <c r="BJ48" s="86" t="str">
        <f t="shared" ref="BJ48" si="895">Q50</f>
        <v>*</v>
      </c>
      <c r="BK48" s="88" t="str">
        <f t="shared" ref="BK48" si="896">R50</f>
        <v>*</v>
      </c>
      <c r="BL48" s="87" t="str">
        <f t="shared" ref="BL48" si="897">P51</f>
        <v>*</v>
      </c>
      <c r="BM48" s="84" t="str">
        <f t="shared" ref="BM48" si="898">Q51</f>
        <v>*</v>
      </c>
      <c r="BN48" s="90" t="str">
        <f t="shared" ref="BN48" si="899">R51</f>
        <v>*</v>
      </c>
      <c r="BO48" s="80" t="str">
        <f t="shared" ref="BO48" si="900">P52</f>
        <v>*</v>
      </c>
      <c r="BP48" s="82" t="str">
        <f t="shared" ref="BP48" si="901">Q52</f>
        <v>*</v>
      </c>
      <c r="BQ48" s="85" t="str">
        <f t="shared" ref="BQ48" si="902">R52</f>
        <v>*</v>
      </c>
      <c r="BR48" s="28"/>
    </row>
    <row r="49" spans="1:70" ht="15" customHeight="1" thickTop="1" thickBot="1" x14ac:dyDescent="0.3">
      <c r="A49" s="185"/>
      <c r="B49" s="21"/>
      <c r="C49" s="16" t="s">
        <v>33</v>
      </c>
      <c r="D49" s="13" t="s">
        <v>34</v>
      </c>
      <c r="E49" s="13" t="s">
        <v>31</v>
      </c>
      <c r="F49" s="13" t="s">
        <v>35</v>
      </c>
      <c r="G49" s="17"/>
      <c r="I49" s="16" t="s">
        <v>33</v>
      </c>
      <c r="J49" s="13" t="s">
        <v>34</v>
      </c>
      <c r="K49" s="13" t="s">
        <v>31</v>
      </c>
      <c r="L49" s="13" t="s">
        <v>35</v>
      </c>
      <c r="M49" s="17"/>
      <c r="O49" s="16" t="s">
        <v>33</v>
      </c>
      <c r="P49" s="13" t="s">
        <v>34</v>
      </c>
      <c r="Q49" s="13" t="s">
        <v>31</v>
      </c>
      <c r="R49" s="13" t="s">
        <v>35</v>
      </c>
      <c r="T49" s="185"/>
      <c r="U49" s="21"/>
      <c r="V49" s="16" t="s">
        <v>33</v>
      </c>
      <c r="W49" s="13" t="s">
        <v>34</v>
      </c>
      <c r="X49" s="13" t="s">
        <v>31</v>
      </c>
      <c r="Y49" s="13" t="s">
        <v>35</v>
      </c>
      <c r="Z49" s="17"/>
      <c r="AB49" s="16" t="s">
        <v>33</v>
      </c>
      <c r="AC49" s="13" t="s">
        <v>34</v>
      </c>
      <c r="AD49" s="13" t="s">
        <v>31</v>
      </c>
      <c r="AE49" s="13" t="s">
        <v>35</v>
      </c>
      <c r="AF49" s="17"/>
      <c r="AH49" s="16" t="s">
        <v>33</v>
      </c>
      <c r="AI49" s="13" t="s">
        <v>34</v>
      </c>
      <c r="AJ49" s="13" t="s">
        <v>31</v>
      </c>
      <c r="AK49" s="13" t="s">
        <v>35</v>
      </c>
      <c r="AM49" s="150" t="s">
        <v>80</v>
      </c>
      <c r="AN49" s="151"/>
      <c r="AO49" s="152" t="str">
        <f t="shared" ref="AO49" si="903">AO48</f>
        <v>F</v>
      </c>
      <c r="AP49" s="152" t="str">
        <f t="shared" ref="AP49" si="904">IF(ISERROR(SEARCH("Not",$AM51)),AP48,AR48)</f>
        <v>*</v>
      </c>
      <c r="AQ49" s="152" t="str">
        <f t="shared" ref="AQ49" si="905">IF(ISERROR(SEARCH("Not",$AM51)),AQ48,AU48)</f>
        <v>*</v>
      </c>
      <c r="AR49" s="152" t="str">
        <f t="shared" ref="AR49" si="906">IF(ISERROR(SEARCH("Not",$AM51)),AR48,AP48)</f>
        <v>*</v>
      </c>
      <c r="AS49" s="152" t="str">
        <f t="shared" ref="AS49" si="907">AS48</f>
        <v>F</v>
      </c>
      <c r="AT49" s="152" t="str">
        <f t="shared" ref="AT49" si="908">IF(ISERROR(SEARCH("Not",$AM51)),AT48,AV48)</f>
        <v>*</v>
      </c>
      <c r="AU49" s="152" t="str">
        <f t="shared" ref="AU49" si="909">IF(ISERROR(SEARCH("Not",$AM51)),AU48,AQ48)</f>
        <v>*</v>
      </c>
      <c r="AV49" s="152" t="str">
        <f t="shared" ref="AV49" si="910">IF(ISERROR(SEARCH("Not",$AM51)),AV48,AT48)</f>
        <v>*</v>
      </c>
      <c r="AW49" s="152" t="str">
        <f t="shared" ref="AW49" si="911">AW48</f>
        <v>*</v>
      </c>
      <c r="AX49" s="152"/>
      <c r="AY49" s="152" t="str">
        <f t="shared" ref="AY49" si="912">AY48</f>
        <v>T</v>
      </c>
      <c r="AZ49" s="152" t="str">
        <f t="shared" ref="AZ49" si="913">IF(ISERROR(SEARCH("Not",$AM51)),AZ48,BB48)</f>
        <v>*</v>
      </c>
      <c r="BA49" s="152" t="str">
        <f t="shared" ref="BA49" si="914">IF(ISERROR(SEARCH("Not",$AM51)),BA48,BE48)</f>
        <v>F</v>
      </c>
      <c r="BB49" s="152" t="str">
        <f t="shared" ref="BB49" si="915">IF(ISERROR(SEARCH("Not",$AM51)),BB48,AZ48)</f>
        <v>*</v>
      </c>
      <c r="BC49" s="152" t="str">
        <f t="shared" ref="BC49" si="916">BC48</f>
        <v>*</v>
      </c>
      <c r="BD49" s="152" t="str">
        <f t="shared" ref="BD49" si="917">IF(ISERROR(SEARCH("Not",$AM51)),BD48,BF48)</f>
        <v>*</v>
      </c>
      <c r="BE49" s="152" t="str">
        <f t="shared" ref="BE49" si="918">IF(ISERROR(SEARCH("Not",$AM51)),BE48,BA48)</f>
        <v>T</v>
      </c>
      <c r="BF49" s="152" t="str">
        <f t="shared" ref="BF49" si="919">IF(ISERROR(SEARCH("Not",$AM51)),BF48,BD48)</f>
        <v>*</v>
      </c>
      <c r="BG49" s="152" t="str">
        <f t="shared" ref="BG49" si="920">BG48</f>
        <v>*</v>
      </c>
      <c r="BH49" s="152"/>
      <c r="BI49" s="152" t="str">
        <f t="shared" ref="BI49" si="921">BI48</f>
        <v>*</v>
      </c>
      <c r="BJ49" s="152" t="str">
        <f t="shared" ref="BJ49" si="922">IF(ISERROR(SEARCH("Not",$AM51)),BJ48,BL48)</f>
        <v>*</v>
      </c>
      <c r="BK49" s="152" t="str">
        <f t="shared" ref="BK49" si="923">IF(ISERROR(SEARCH("Not",$AM51)),BK48,BO48)</f>
        <v>*</v>
      </c>
      <c r="BL49" s="152" t="str">
        <f t="shared" ref="BL49" si="924">IF(ISERROR(SEARCH("Not",$AM51)),BL48,BJ48)</f>
        <v>*</v>
      </c>
      <c r="BM49" s="152" t="str">
        <f t="shared" ref="BM49" si="925">BM48</f>
        <v>*</v>
      </c>
      <c r="BN49" s="152" t="str">
        <f t="shared" ref="BN49" si="926">IF(ISERROR(SEARCH("Not",$AM51)),BN48,BP48)</f>
        <v>*</v>
      </c>
      <c r="BO49" s="152" t="str">
        <f t="shared" ref="BO49" si="927">IF(ISERROR(SEARCH("Not",$AM51)),BO48,BK48)</f>
        <v>*</v>
      </c>
      <c r="BP49" s="152" t="str">
        <f t="shared" ref="BP49" si="928">IF(ISERROR(SEARCH("Not",$AM51)),BP48,BN48)</f>
        <v>*</v>
      </c>
      <c r="BQ49" s="152" t="str">
        <f t="shared" ref="BQ49" si="929">BQ48</f>
        <v>*</v>
      </c>
      <c r="BR49" s="124"/>
    </row>
    <row r="50" spans="1:70" ht="15" customHeight="1" thickTop="1" thickBot="1" x14ac:dyDescent="0.3">
      <c r="A50" s="185"/>
      <c r="B50" s="207" t="s">
        <v>36</v>
      </c>
      <c r="C50" s="13" t="s">
        <v>34</v>
      </c>
      <c r="D50" s="97" t="str">
        <f>'DE-9IM Matrixes'!D49</f>
        <v>F</v>
      </c>
      <c r="E50" s="98" t="str">
        <f>'DE-9IM Matrixes'!E49</f>
        <v>*</v>
      </c>
      <c r="F50" s="99" t="str">
        <f>'DE-9IM Matrixes'!F49</f>
        <v>*</v>
      </c>
      <c r="G50" s="17"/>
      <c r="H50" s="209" t="s">
        <v>36</v>
      </c>
      <c r="I50" s="13" t="s">
        <v>34</v>
      </c>
      <c r="J50" s="97" t="str">
        <f>'DE-9IM Matrixes'!J49</f>
        <v>T</v>
      </c>
      <c r="K50" s="98" t="str">
        <f>'DE-9IM Matrixes'!K49</f>
        <v>*</v>
      </c>
      <c r="L50" s="99" t="str">
        <f>'DE-9IM Matrixes'!L49</f>
        <v>T</v>
      </c>
      <c r="M50" s="17"/>
      <c r="N50" s="211" t="s">
        <v>36</v>
      </c>
      <c r="O50" s="13" t="s">
        <v>34</v>
      </c>
      <c r="P50" s="97" t="str">
        <f>'DE-9IM Matrixes'!P49</f>
        <v>*</v>
      </c>
      <c r="Q50" s="98" t="str">
        <f>'DE-9IM Matrixes'!Q49</f>
        <v>*</v>
      </c>
      <c r="R50" s="99" t="str">
        <f>'DE-9IM Matrixes'!R49</f>
        <v>*</v>
      </c>
      <c r="T50" s="185"/>
      <c r="U50" s="207" t="s">
        <v>36</v>
      </c>
      <c r="V50" s="13" t="s">
        <v>34</v>
      </c>
      <c r="W50" s="101" t="str">
        <f>D50</f>
        <v>F</v>
      </c>
      <c r="X50" s="102" t="str">
        <f>D51</f>
        <v>*</v>
      </c>
      <c r="Y50" s="103" t="str">
        <f>D52</f>
        <v>*</v>
      </c>
      <c r="Z50" s="17"/>
      <c r="AA50" s="209" t="s">
        <v>36</v>
      </c>
      <c r="AB50" s="13" t="s">
        <v>34</v>
      </c>
      <c r="AC50" s="101" t="str">
        <f>J50</f>
        <v>T</v>
      </c>
      <c r="AD50" s="102" t="str">
        <f>J51</f>
        <v>*</v>
      </c>
      <c r="AE50" s="103" t="str">
        <f>J52</f>
        <v>F</v>
      </c>
      <c r="AF50" s="17"/>
      <c r="AG50" s="211" t="s">
        <v>36</v>
      </c>
      <c r="AH50" s="13" t="s">
        <v>34</v>
      </c>
      <c r="AI50" s="101" t="str">
        <f>P50</f>
        <v>*</v>
      </c>
      <c r="AJ50" s="102" t="str">
        <f>P51</f>
        <v>*</v>
      </c>
      <c r="AK50" s="103" t="str">
        <f>P52</f>
        <v>*</v>
      </c>
      <c r="AM50" s="24" t="str">
        <f t="shared" ref="AM50" si="930">T48</f>
        <v>B Surrounds A</v>
      </c>
      <c r="AN50" s="25"/>
      <c r="AO50" s="83" t="str">
        <f t="shared" ref="AO50" si="931">W50</f>
        <v>F</v>
      </c>
      <c r="AP50" s="87" t="str">
        <f t="shared" ref="AP50" si="932">X50</f>
        <v>*</v>
      </c>
      <c r="AQ50" s="89" t="str">
        <f t="shared" ref="AQ50" si="933">Y50</f>
        <v>*</v>
      </c>
      <c r="AR50" s="86" t="str">
        <f t="shared" ref="AR50" si="934">W51</f>
        <v>*</v>
      </c>
      <c r="AS50" s="84" t="str">
        <f t="shared" ref="AS50" si="935">X51</f>
        <v>F</v>
      </c>
      <c r="AT50" s="91" t="str">
        <f t="shared" ref="AT50" si="936">Y51</f>
        <v>*</v>
      </c>
      <c r="AU50" s="79" t="str">
        <f t="shared" ref="AU50:AW50" si="937">W52</f>
        <v>*</v>
      </c>
      <c r="AV50" s="81" t="str">
        <f t="shared" si="937"/>
        <v>*</v>
      </c>
      <c r="AW50" s="85" t="str">
        <f t="shared" si="937"/>
        <v>*</v>
      </c>
      <c r="AX50" s="25"/>
      <c r="AY50" s="83" t="str">
        <f t="shared" ref="AY50" si="938">AC50</f>
        <v>T</v>
      </c>
      <c r="AZ50" s="87" t="str">
        <f t="shared" ref="AZ50" si="939">AD50</f>
        <v>*</v>
      </c>
      <c r="BA50" s="89" t="str">
        <f t="shared" ref="BA50" si="940">AE50</f>
        <v>F</v>
      </c>
      <c r="BB50" s="86" t="str">
        <f t="shared" ref="BB50" si="941">AC51</f>
        <v>*</v>
      </c>
      <c r="BC50" s="84" t="str">
        <f t="shared" ref="BC50" si="942">AD51</f>
        <v>*</v>
      </c>
      <c r="BD50" s="91" t="str">
        <f t="shared" ref="BD50" si="943">AE51</f>
        <v>*</v>
      </c>
      <c r="BE50" s="79" t="str">
        <f t="shared" ref="BE50:BG50" si="944">AC52</f>
        <v>T</v>
      </c>
      <c r="BF50" s="81" t="str">
        <f t="shared" si="944"/>
        <v>*</v>
      </c>
      <c r="BG50" s="85" t="str">
        <f t="shared" si="944"/>
        <v>*</v>
      </c>
      <c r="BH50" s="25"/>
      <c r="BI50" s="83" t="str">
        <f t="shared" ref="BI50" si="945">AI50</f>
        <v>*</v>
      </c>
      <c r="BJ50" s="87" t="str">
        <f t="shared" ref="BJ50" si="946">AJ50</f>
        <v>*</v>
      </c>
      <c r="BK50" s="89" t="str">
        <f t="shared" ref="BK50" si="947">AK50</f>
        <v>*</v>
      </c>
      <c r="BL50" s="86" t="str">
        <f t="shared" ref="BL50" si="948">AI51</f>
        <v>*</v>
      </c>
      <c r="BM50" s="84" t="str">
        <f t="shared" ref="BM50" si="949">AJ51</f>
        <v>*</v>
      </c>
      <c r="BN50" s="91" t="str">
        <f t="shared" ref="BN50" si="950">AK51</f>
        <v>*</v>
      </c>
      <c r="BO50" s="79" t="str">
        <f t="shared" ref="BO50:BQ50" si="951">AI52</f>
        <v>*</v>
      </c>
      <c r="BP50" s="81" t="str">
        <f t="shared" si="951"/>
        <v>*</v>
      </c>
      <c r="BQ50" s="85" t="str">
        <f t="shared" si="951"/>
        <v>*</v>
      </c>
      <c r="BR50" s="28"/>
    </row>
    <row r="51" spans="1:70" ht="15" customHeight="1" x14ac:dyDescent="0.25">
      <c r="A51" s="185"/>
      <c r="B51" s="207"/>
      <c r="C51" s="13" t="s">
        <v>31</v>
      </c>
      <c r="D51" s="92" t="str">
        <f>'DE-9IM Matrixes'!D50</f>
        <v>*</v>
      </c>
      <c r="E51" s="93" t="str">
        <f>'DE-9IM Matrixes'!E50</f>
        <v>F</v>
      </c>
      <c r="F51" s="94" t="str">
        <f>'DE-9IM Matrixes'!F50</f>
        <v>*</v>
      </c>
      <c r="G51" s="17"/>
      <c r="H51" s="209"/>
      <c r="I51" s="13" t="s">
        <v>31</v>
      </c>
      <c r="J51" s="92" t="str">
        <f>'DE-9IM Matrixes'!J50</f>
        <v>*</v>
      </c>
      <c r="K51" s="93" t="str">
        <f>'DE-9IM Matrixes'!K50</f>
        <v>*</v>
      </c>
      <c r="L51" s="94" t="str">
        <f>'DE-9IM Matrixes'!L50</f>
        <v>*</v>
      </c>
      <c r="M51" s="17"/>
      <c r="N51" s="211"/>
      <c r="O51" s="13" t="s">
        <v>31</v>
      </c>
      <c r="P51" s="92" t="str">
        <f>'DE-9IM Matrixes'!P50</f>
        <v>*</v>
      </c>
      <c r="Q51" s="93" t="str">
        <f>'DE-9IM Matrixes'!Q50</f>
        <v>*</v>
      </c>
      <c r="R51" s="94" t="str">
        <f>'DE-9IM Matrixes'!R50</f>
        <v>*</v>
      </c>
      <c r="T51" s="185"/>
      <c r="U51" s="207"/>
      <c r="V51" s="13" t="s">
        <v>31</v>
      </c>
      <c r="W51" s="105" t="str">
        <f>E50</f>
        <v>*</v>
      </c>
      <c r="X51" s="106" t="str">
        <f>E51</f>
        <v>F</v>
      </c>
      <c r="Y51" s="107" t="str">
        <f>E52</f>
        <v>*</v>
      </c>
      <c r="Z51" s="17"/>
      <c r="AA51" s="209"/>
      <c r="AB51" s="13" t="s">
        <v>31</v>
      </c>
      <c r="AC51" s="105" t="str">
        <f>K50</f>
        <v>*</v>
      </c>
      <c r="AD51" s="106" t="str">
        <f>K51</f>
        <v>*</v>
      </c>
      <c r="AE51" s="107" t="str">
        <f>K52</f>
        <v>*</v>
      </c>
      <c r="AF51" s="17"/>
      <c r="AG51" s="211"/>
      <c r="AH51" s="13" t="s">
        <v>31</v>
      </c>
      <c r="AI51" s="105" t="str">
        <f>Q50</f>
        <v>*</v>
      </c>
      <c r="AJ51" s="106" t="str">
        <f>Q51</f>
        <v>*</v>
      </c>
      <c r="AK51" s="107" t="str">
        <f>Q52</f>
        <v>*</v>
      </c>
      <c r="AM51" s="149" t="s">
        <v>79</v>
      </c>
      <c r="AN51" s="120"/>
      <c r="AO51" s="120" t="str">
        <f t="shared" ref="AO51" si="952">IF(AO49=AO50,"","X")</f>
        <v/>
      </c>
      <c r="AP51" s="120" t="str">
        <f t="shared" ref="AP51" si="953">IF(AP49=AP50,"","X")</f>
        <v/>
      </c>
      <c r="AQ51" s="120" t="str">
        <f t="shared" ref="AQ51" si="954">IF(AQ49=AQ50,"","X")</f>
        <v/>
      </c>
      <c r="AR51" s="120" t="str">
        <f t="shared" ref="AR51" si="955">IF(AR49=AR50,"","X")</f>
        <v/>
      </c>
      <c r="AS51" s="120" t="str">
        <f t="shared" ref="AS51" si="956">IF(AS49=AS50,"","X")</f>
        <v/>
      </c>
      <c r="AT51" s="120" t="str">
        <f t="shared" ref="AT51" si="957">IF(AT49=AT50,"","X")</f>
        <v/>
      </c>
      <c r="AU51" s="120" t="str">
        <f t="shared" ref="AU51" si="958">IF(AU49=AU50,"","X")</f>
        <v/>
      </c>
      <c r="AV51" s="120" t="str">
        <f t="shared" ref="AV51" si="959">IF(AV49=AV50,"","X")</f>
        <v/>
      </c>
      <c r="AW51" s="120" t="str">
        <f t="shared" ref="AW51" si="960">IF(AW49=AW50,"","X")</f>
        <v/>
      </c>
      <c r="AX51" s="120" t="str">
        <f t="shared" ref="AX51" si="961">IF(AX49=AX50,"","X")</f>
        <v/>
      </c>
      <c r="AY51" s="120" t="str">
        <f t="shared" ref="AY51" si="962">IF(AY49=AY50,"","X")</f>
        <v/>
      </c>
      <c r="AZ51" s="120" t="str">
        <f t="shared" ref="AZ51" si="963">IF(AZ49=AZ50,"","X")</f>
        <v/>
      </c>
      <c r="BA51" s="120" t="str">
        <f t="shared" ref="BA51" si="964">IF(BA49=BA50,"","X")</f>
        <v/>
      </c>
      <c r="BB51" s="120" t="str">
        <f t="shared" ref="BB51" si="965">IF(BB49=BB50,"","X")</f>
        <v/>
      </c>
      <c r="BC51" s="120" t="str">
        <f t="shared" ref="BC51" si="966">IF(BC49=BC50,"","X")</f>
        <v/>
      </c>
      <c r="BD51" s="120" t="str">
        <f t="shared" ref="BD51" si="967">IF(BD49=BD50,"","X")</f>
        <v/>
      </c>
      <c r="BE51" s="120" t="str">
        <f t="shared" ref="BE51" si="968">IF(BE49=BE50,"","X")</f>
        <v/>
      </c>
      <c r="BF51" s="120" t="str">
        <f t="shared" ref="BF51" si="969">IF(BF49=BF50,"","X")</f>
        <v/>
      </c>
      <c r="BG51" s="120" t="str">
        <f t="shared" ref="BG51" si="970">IF(BG49=BG50,"","X")</f>
        <v/>
      </c>
      <c r="BH51" s="120" t="str">
        <f t="shared" ref="BH51" si="971">IF(BH49=BH50,"","X")</f>
        <v/>
      </c>
      <c r="BI51" s="120" t="str">
        <f t="shared" ref="BI51" si="972">IF(BI49=BI50,"","X")</f>
        <v/>
      </c>
      <c r="BJ51" s="120" t="str">
        <f t="shared" ref="BJ51" si="973">IF(BJ49=BJ50,"","X")</f>
        <v/>
      </c>
      <c r="BK51" s="120" t="str">
        <f t="shared" ref="BK51" si="974">IF(BK49=BK50,"","X")</f>
        <v/>
      </c>
      <c r="BL51" s="120" t="str">
        <f t="shared" ref="BL51" si="975">IF(BL49=BL50,"","X")</f>
        <v/>
      </c>
      <c r="BM51" s="120" t="str">
        <f t="shared" ref="BM51" si="976">IF(BM49=BM50,"","X")</f>
        <v/>
      </c>
      <c r="BN51" s="120" t="str">
        <f t="shared" ref="BN51" si="977">IF(BN49=BN50,"","X")</f>
        <v/>
      </c>
      <c r="BO51" s="120" t="str">
        <f t="shared" ref="BO51" si="978">IF(BO49=BO50,"","X")</f>
        <v/>
      </c>
      <c r="BP51" s="120" t="str">
        <f t="shared" ref="BP51" si="979">IF(BP49=BP50,"","X")</f>
        <v/>
      </c>
      <c r="BQ51" s="120" t="str">
        <f t="shared" ref="BQ51" si="980">IF(BQ49=BQ50,"","X")</f>
        <v/>
      </c>
      <c r="BR51" s="120" t="str">
        <f t="shared" ref="BR51" si="981">IF(BR49=BR50,"","X")</f>
        <v/>
      </c>
    </row>
    <row r="52" spans="1:70" ht="15" customHeight="1" thickBot="1" x14ac:dyDescent="0.3">
      <c r="A52" s="203"/>
      <c r="B52" s="208"/>
      <c r="C52" s="13" t="s">
        <v>35</v>
      </c>
      <c r="D52" s="95" t="str">
        <f>'DE-9IM Matrixes'!D51</f>
        <v>*</v>
      </c>
      <c r="E52" s="96" t="str">
        <f>'DE-9IM Matrixes'!E51</f>
        <v>*</v>
      </c>
      <c r="F52" s="111" t="str">
        <f>'DE-9IM Matrixes'!F51</f>
        <v>*</v>
      </c>
      <c r="G52" s="19"/>
      <c r="H52" s="210"/>
      <c r="I52" s="13" t="s">
        <v>35</v>
      </c>
      <c r="J52" s="95" t="str">
        <f>'DE-9IM Matrixes'!J51</f>
        <v>F</v>
      </c>
      <c r="K52" s="96" t="str">
        <f>'DE-9IM Matrixes'!K51</f>
        <v>*</v>
      </c>
      <c r="L52" s="111" t="str">
        <f>'DE-9IM Matrixes'!L51</f>
        <v>*</v>
      </c>
      <c r="M52" s="19"/>
      <c r="N52" s="212"/>
      <c r="O52" s="13" t="s">
        <v>35</v>
      </c>
      <c r="P52" s="95" t="str">
        <f>'DE-9IM Matrixes'!P51</f>
        <v>*</v>
      </c>
      <c r="Q52" s="96" t="str">
        <f>'DE-9IM Matrixes'!Q51</f>
        <v>*</v>
      </c>
      <c r="R52" s="111" t="str">
        <f>'DE-9IM Matrixes'!R51</f>
        <v>*</v>
      </c>
      <c r="T52" s="186"/>
      <c r="U52" s="208"/>
      <c r="V52" s="13" t="s">
        <v>35</v>
      </c>
      <c r="W52" s="109" t="str">
        <f>F50</f>
        <v>*</v>
      </c>
      <c r="X52" s="110" t="str">
        <f>F51</f>
        <v>*</v>
      </c>
      <c r="Y52" s="112" t="str">
        <f>F52</f>
        <v>*</v>
      </c>
      <c r="Z52" s="19"/>
      <c r="AA52" s="210"/>
      <c r="AB52" s="13" t="s">
        <v>35</v>
      </c>
      <c r="AC52" s="109" t="str">
        <f>L50</f>
        <v>T</v>
      </c>
      <c r="AD52" s="110" t="str">
        <f>L51</f>
        <v>*</v>
      </c>
      <c r="AE52" s="112" t="str">
        <f>L52</f>
        <v>*</v>
      </c>
      <c r="AF52" s="19"/>
      <c r="AG52" s="212"/>
      <c r="AH52" s="13" t="s">
        <v>35</v>
      </c>
      <c r="AI52" s="109" t="str">
        <f>R50</f>
        <v>*</v>
      </c>
      <c r="AJ52" s="110" t="str">
        <f>R51</f>
        <v>*</v>
      </c>
      <c r="AK52" s="112" t="str">
        <f>R52</f>
        <v>*</v>
      </c>
      <c r="AN52"/>
      <c r="AX52"/>
      <c r="BH52"/>
      <c r="BR52"/>
    </row>
    <row r="53" spans="1:70" ht="15" customHeight="1" thickTop="1" thickBot="1" x14ac:dyDescent="0.3">
      <c r="A53" s="184" t="str">
        <f>'DE-9IM Matrixes'!A52</f>
        <v>A is Enclosed by B</v>
      </c>
      <c r="B53" s="20"/>
      <c r="C53" s="11"/>
      <c r="D53" s="206" t="s">
        <v>31</v>
      </c>
      <c r="E53" s="206"/>
      <c r="F53" s="206"/>
      <c r="G53" s="12"/>
      <c r="H53" s="11"/>
      <c r="I53" s="11"/>
      <c r="J53" s="206" t="s">
        <v>31</v>
      </c>
      <c r="K53" s="206"/>
      <c r="L53" s="206"/>
      <c r="M53" s="12"/>
      <c r="N53" s="11"/>
      <c r="O53" s="11"/>
      <c r="P53" s="206" t="s">
        <v>31</v>
      </c>
      <c r="Q53" s="206"/>
      <c r="R53" s="206"/>
      <c r="T53" s="194" t="str">
        <f t="shared" ref="T53" si="982">SUBSTITUTE(SUBSTITUTE(SUBSTITUTE(SUBSTITUTE(A53,"A","x"),"B","A"),"x","B"),"Ao","Bo")</f>
        <v>B is Enclosed by A</v>
      </c>
      <c r="U53" s="20"/>
      <c r="V53" s="11"/>
      <c r="W53" s="206" t="s">
        <v>31</v>
      </c>
      <c r="X53" s="206"/>
      <c r="Y53" s="206"/>
      <c r="Z53" s="12"/>
      <c r="AA53" s="11"/>
      <c r="AB53" s="11"/>
      <c r="AC53" s="206" t="s">
        <v>31</v>
      </c>
      <c r="AD53" s="206"/>
      <c r="AE53" s="206"/>
      <c r="AF53" s="12"/>
      <c r="AG53" s="11"/>
      <c r="AH53" s="11"/>
      <c r="AI53" s="206" t="s">
        <v>31</v>
      </c>
      <c r="AJ53" s="206"/>
      <c r="AK53" s="206"/>
      <c r="AM53" s="24" t="str">
        <f t="shared" ref="AM53" si="983">A53</f>
        <v>A is Enclosed by B</v>
      </c>
      <c r="AN53" s="25"/>
      <c r="AO53" s="83" t="str">
        <f t="shared" ref="AO53" si="984">D55</f>
        <v>F</v>
      </c>
      <c r="AP53" s="86" t="str">
        <f t="shared" ref="AP53" si="985">E55</f>
        <v>*</v>
      </c>
      <c r="AQ53" s="88" t="str">
        <f t="shared" ref="AQ53" si="986">F55</f>
        <v>*</v>
      </c>
      <c r="AR53" s="87" t="str">
        <f t="shared" ref="AR53" si="987">D56</f>
        <v>*</v>
      </c>
      <c r="AS53" s="84" t="str">
        <f t="shared" ref="AS53" si="988">E56</f>
        <v>F</v>
      </c>
      <c r="AT53" s="90" t="str">
        <f t="shared" ref="AT53" si="989">F56</f>
        <v>*</v>
      </c>
      <c r="AU53" s="80" t="str">
        <f t="shared" ref="AU53" si="990">D57</f>
        <v>*</v>
      </c>
      <c r="AV53" s="82" t="str">
        <f t="shared" ref="AV53" si="991">E57</f>
        <v>*</v>
      </c>
      <c r="AW53" s="85" t="str">
        <f t="shared" ref="AW53" si="992">F57</f>
        <v>*</v>
      </c>
      <c r="AX53" s="25"/>
      <c r="AY53" s="83" t="str">
        <f t="shared" ref="AY53" si="993">J55</f>
        <v>T</v>
      </c>
      <c r="AZ53" s="86" t="str">
        <f t="shared" ref="AZ53" si="994">K55</f>
        <v>*</v>
      </c>
      <c r="BA53" s="88" t="str">
        <f t="shared" ref="BA53" si="995">L55</f>
        <v>F</v>
      </c>
      <c r="BB53" s="87" t="str">
        <f t="shared" ref="BB53" si="996">J56</f>
        <v>*</v>
      </c>
      <c r="BC53" s="84" t="str">
        <f t="shared" ref="BC53" si="997">K56</f>
        <v>*</v>
      </c>
      <c r="BD53" s="90" t="str">
        <f t="shared" ref="BD53" si="998">L56</f>
        <v>*</v>
      </c>
      <c r="BE53" s="80" t="str">
        <f t="shared" ref="BE53" si="999">J57</f>
        <v>T</v>
      </c>
      <c r="BF53" s="82" t="str">
        <f t="shared" ref="BF53" si="1000">K57</f>
        <v>*</v>
      </c>
      <c r="BG53" s="85" t="str">
        <f t="shared" ref="BG53" si="1001">L57</f>
        <v>*</v>
      </c>
      <c r="BH53" s="25"/>
      <c r="BI53" s="83" t="str">
        <f t="shared" ref="BI53" si="1002">P55</f>
        <v>*</v>
      </c>
      <c r="BJ53" s="86" t="str">
        <f t="shared" ref="BJ53" si="1003">Q55</f>
        <v>*</v>
      </c>
      <c r="BK53" s="88" t="str">
        <f t="shared" ref="BK53" si="1004">R55</f>
        <v>*</v>
      </c>
      <c r="BL53" s="87" t="str">
        <f t="shared" ref="BL53" si="1005">P56</f>
        <v>*</v>
      </c>
      <c r="BM53" s="84" t="str">
        <f t="shared" ref="BM53" si="1006">Q56</f>
        <v>*</v>
      </c>
      <c r="BN53" s="90" t="str">
        <f t="shared" ref="BN53" si="1007">R56</f>
        <v>*</v>
      </c>
      <c r="BO53" s="80" t="str">
        <f t="shared" ref="BO53" si="1008">P57</f>
        <v>*</v>
      </c>
      <c r="BP53" s="82" t="str">
        <f t="shared" ref="BP53" si="1009">Q57</f>
        <v>*</v>
      </c>
      <c r="BQ53" s="85" t="str">
        <f t="shared" ref="BQ53" si="1010">R57</f>
        <v>*</v>
      </c>
      <c r="BR53" s="28"/>
    </row>
    <row r="54" spans="1:70" ht="15" customHeight="1" thickTop="1" thickBot="1" x14ac:dyDescent="0.3">
      <c r="A54" s="185"/>
      <c r="B54" s="21"/>
      <c r="C54" s="16" t="s">
        <v>33</v>
      </c>
      <c r="D54" s="13" t="s">
        <v>34</v>
      </c>
      <c r="E54" s="13" t="s">
        <v>31</v>
      </c>
      <c r="F54" s="13" t="s">
        <v>35</v>
      </c>
      <c r="G54" s="17"/>
      <c r="I54" s="16" t="s">
        <v>33</v>
      </c>
      <c r="J54" s="13" t="s">
        <v>34</v>
      </c>
      <c r="K54" s="13" t="s">
        <v>31</v>
      </c>
      <c r="L54" s="13" t="s">
        <v>35</v>
      </c>
      <c r="M54" s="17"/>
      <c r="O54" s="16" t="s">
        <v>33</v>
      </c>
      <c r="P54" s="13" t="s">
        <v>34</v>
      </c>
      <c r="Q54" s="13" t="s">
        <v>31</v>
      </c>
      <c r="R54" s="13" t="s">
        <v>35</v>
      </c>
      <c r="T54" s="185"/>
      <c r="U54" s="21"/>
      <c r="V54" s="16" t="s">
        <v>33</v>
      </c>
      <c r="W54" s="13" t="s">
        <v>34</v>
      </c>
      <c r="X54" s="13" t="s">
        <v>31</v>
      </c>
      <c r="Y54" s="13" t="s">
        <v>35</v>
      </c>
      <c r="Z54" s="17"/>
      <c r="AB54" s="16" t="s">
        <v>33</v>
      </c>
      <c r="AC54" s="13" t="s">
        <v>34</v>
      </c>
      <c r="AD54" s="13" t="s">
        <v>31</v>
      </c>
      <c r="AE54" s="13" t="s">
        <v>35</v>
      </c>
      <c r="AF54" s="17"/>
      <c r="AH54" s="16" t="s">
        <v>33</v>
      </c>
      <c r="AI54" s="13" t="s">
        <v>34</v>
      </c>
      <c r="AJ54" s="13" t="s">
        <v>31</v>
      </c>
      <c r="AK54" s="13" t="s">
        <v>35</v>
      </c>
      <c r="AM54" s="150" t="s">
        <v>80</v>
      </c>
      <c r="AN54" s="151"/>
      <c r="AO54" s="152" t="str">
        <f t="shared" ref="AO54" si="1011">AO53</f>
        <v>F</v>
      </c>
      <c r="AP54" s="152" t="str">
        <f t="shared" ref="AP54" si="1012">IF(ISERROR(SEARCH("Not",$AM56)),AP53,AR53)</f>
        <v>*</v>
      </c>
      <c r="AQ54" s="152" t="str">
        <f t="shared" ref="AQ54" si="1013">IF(ISERROR(SEARCH("Not",$AM56)),AQ53,AU53)</f>
        <v>*</v>
      </c>
      <c r="AR54" s="152" t="str">
        <f t="shared" ref="AR54" si="1014">IF(ISERROR(SEARCH("Not",$AM56)),AR53,AP53)</f>
        <v>*</v>
      </c>
      <c r="AS54" s="152" t="str">
        <f t="shared" ref="AS54" si="1015">AS53</f>
        <v>F</v>
      </c>
      <c r="AT54" s="152" t="str">
        <f t="shared" ref="AT54" si="1016">IF(ISERROR(SEARCH("Not",$AM56)),AT53,AV53)</f>
        <v>*</v>
      </c>
      <c r="AU54" s="152" t="str">
        <f t="shared" ref="AU54" si="1017">IF(ISERROR(SEARCH("Not",$AM56)),AU53,AQ53)</f>
        <v>*</v>
      </c>
      <c r="AV54" s="152" t="str">
        <f t="shared" ref="AV54" si="1018">IF(ISERROR(SEARCH("Not",$AM56)),AV53,AT53)</f>
        <v>*</v>
      </c>
      <c r="AW54" s="152" t="str">
        <f t="shared" ref="AW54" si="1019">AW53</f>
        <v>*</v>
      </c>
      <c r="AX54" s="152"/>
      <c r="AY54" s="152" t="str">
        <f t="shared" ref="AY54" si="1020">AY53</f>
        <v>T</v>
      </c>
      <c r="AZ54" s="152" t="str">
        <f t="shared" ref="AZ54" si="1021">IF(ISERROR(SEARCH("Not",$AM56)),AZ53,BB53)</f>
        <v>*</v>
      </c>
      <c r="BA54" s="152" t="str">
        <f t="shared" ref="BA54" si="1022">IF(ISERROR(SEARCH("Not",$AM56)),BA53,BE53)</f>
        <v>T</v>
      </c>
      <c r="BB54" s="152" t="str">
        <f t="shared" ref="BB54" si="1023">IF(ISERROR(SEARCH("Not",$AM56)),BB53,AZ53)</f>
        <v>*</v>
      </c>
      <c r="BC54" s="152" t="str">
        <f t="shared" ref="BC54" si="1024">BC53</f>
        <v>*</v>
      </c>
      <c r="BD54" s="152" t="str">
        <f t="shared" ref="BD54" si="1025">IF(ISERROR(SEARCH("Not",$AM56)),BD53,BF53)</f>
        <v>*</v>
      </c>
      <c r="BE54" s="152" t="str">
        <f t="shared" ref="BE54" si="1026">IF(ISERROR(SEARCH("Not",$AM56)),BE53,BA53)</f>
        <v>F</v>
      </c>
      <c r="BF54" s="152" t="str">
        <f t="shared" ref="BF54" si="1027">IF(ISERROR(SEARCH("Not",$AM56)),BF53,BD53)</f>
        <v>*</v>
      </c>
      <c r="BG54" s="152" t="str">
        <f t="shared" ref="BG54" si="1028">BG53</f>
        <v>*</v>
      </c>
      <c r="BH54" s="152"/>
      <c r="BI54" s="152" t="str">
        <f t="shared" ref="BI54" si="1029">BI53</f>
        <v>*</v>
      </c>
      <c r="BJ54" s="152" t="str">
        <f t="shared" ref="BJ54" si="1030">IF(ISERROR(SEARCH("Not",$AM56)),BJ53,BL53)</f>
        <v>*</v>
      </c>
      <c r="BK54" s="152" t="str">
        <f t="shared" ref="BK54" si="1031">IF(ISERROR(SEARCH("Not",$AM56)),BK53,BO53)</f>
        <v>*</v>
      </c>
      <c r="BL54" s="152" t="str">
        <f t="shared" ref="BL54" si="1032">IF(ISERROR(SEARCH("Not",$AM56)),BL53,BJ53)</f>
        <v>*</v>
      </c>
      <c r="BM54" s="152" t="str">
        <f t="shared" ref="BM54" si="1033">BM53</f>
        <v>*</v>
      </c>
      <c r="BN54" s="152" t="str">
        <f t="shared" ref="BN54" si="1034">IF(ISERROR(SEARCH("Not",$AM56)),BN53,BP53)</f>
        <v>*</v>
      </c>
      <c r="BO54" s="152" t="str">
        <f t="shared" ref="BO54" si="1035">IF(ISERROR(SEARCH("Not",$AM56)),BO53,BK53)</f>
        <v>*</v>
      </c>
      <c r="BP54" s="152" t="str">
        <f t="shared" ref="BP54" si="1036">IF(ISERROR(SEARCH("Not",$AM56)),BP53,BN53)</f>
        <v>*</v>
      </c>
      <c r="BQ54" s="152" t="str">
        <f t="shared" ref="BQ54" si="1037">BQ53</f>
        <v>*</v>
      </c>
      <c r="BR54" s="124"/>
    </row>
    <row r="55" spans="1:70" ht="15" customHeight="1" thickTop="1" thickBot="1" x14ac:dyDescent="0.3">
      <c r="A55" s="185"/>
      <c r="B55" s="207" t="s">
        <v>36</v>
      </c>
      <c r="C55" s="13" t="s">
        <v>34</v>
      </c>
      <c r="D55" s="97" t="str">
        <f>'DE-9IM Matrixes'!D54</f>
        <v>F</v>
      </c>
      <c r="E55" s="98" t="str">
        <f>'DE-9IM Matrixes'!E54</f>
        <v>*</v>
      </c>
      <c r="F55" s="99" t="str">
        <f>'DE-9IM Matrixes'!F54</f>
        <v>*</v>
      </c>
      <c r="G55" s="17"/>
      <c r="H55" s="209" t="s">
        <v>36</v>
      </c>
      <c r="I55" s="13" t="s">
        <v>34</v>
      </c>
      <c r="J55" s="97" t="str">
        <f>'DE-9IM Matrixes'!J54</f>
        <v>T</v>
      </c>
      <c r="K55" s="98" t="str">
        <f>'DE-9IM Matrixes'!K54</f>
        <v>*</v>
      </c>
      <c r="L55" s="99" t="str">
        <f>'DE-9IM Matrixes'!L54</f>
        <v>F</v>
      </c>
      <c r="M55" s="17"/>
      <c r="N55" s="211" t="s">
        <v>36</v>
      </c>
      <c r="O55" s="13" t="s">
        <v>34</v>
      </c>
      <c r="P55" s="97" t="str">
        <f>'DE-9IM Matrixes'!P54</f>
        <v>*</v>
      </c>
      <c r="Q55" s="98" t="str">
        <f>'DE-9IM Matrixes'!Q54</f>
        <v>*</v>
      </c>
      <c r="R55" s="99" t="str">
        <f>'DE-9IM Matrixes'!R54</f>
        <v>*</v>
      </c>
      <c r="T55" s="185"/>
      <c r="U55" s="207" t="s">
        <v>36</v>
      </c>
      <c r="V55" s="13" t="s">
        <v>34</v>
      </c>
      <c r="W55" s="101" t="str">
        <f>D55</f>
        <v>F</v>
      </c>
      <c r="X55" s="102" t="str">
        <f>D56</f>
        <v>*</v>
      </c>
      <c r="Y55" s="103" t="str">
        <f>D57</f>
        <v>*</v>
      </c>
      <c r="Z55" s="17"/>
      <c r="AA55" s="209" t="s">
        <v>36</v>
      </c>
      <c r="AB55" s="13" t="s">
        <v>34</v>
      </c>
      <c r="AC55" s="101" t="str">
        <f>J55</f>
        <v>T</v>
      </c>
      <c r="AD55" s="102" t="str">
        <f>J56</f>
        <v>*</v>
      </c>
      <c r="AE55" s="103" t="str">
        <f>J57</f>
        <v>T</v>
      </c>
      <c r="AF55" s="17"/>
      <c r="AG55" s="211" t="s">
        <v>36</v>
      </c>
      <c r="AH55" s="13" t="s">
        <v>34</v>
      </c>
      <c r="AI55" s="101" t="str">
        <f>P55</f>
        <v>*</v>
      </c>
      <c r="AJ55" s="102" t="str">
        <f>P56</f>
        <v>*</v>
      </c>
      <c r="AK55" s="103" t="str">
        <f>P57</f>
        <v>*</v>
      </c>
      <c r="AM55" s="24" t="str">
        <f t="shared" ref="AM55" si="1038">T53</f>
        <v>B is Enclosed by A</v>
      </c>
      <c r="AN55" s="25"/>
      <c r="AO55" s="83" t="str">
        <f t="shared" ref="AO55" si="1039">W55</f>
        <v>F</v>
      </c>
      <c r="AP55" s="87" t="str">
        <f t="shared" ref="AP55" si="1040">X55</f>
        <v>*</v>
      </c>
      <c r="AQ55" s="89" t="str">
        <f t="shared" ref="AQ55" si="1041">Y55</f>
        <v>*</v>
      </c>
      <c r="AR55" s="86" t="str">
        <f t="shared" ref="AR55" si="1042">W56</f>
        <v>*</v>
      </c>
      <c r="AS55" s="84" t="str">
        <f t="shared" ref="AS55" si="1043">X56</f>
        <v>F</v>
      </c>
      <c r="AT55" s="91" t="str">
        <f t="shared" ref="AT55" si="1044">Y56</f>
        <v>*</v>
      </c>
      <c r="AU55" s="79" t="str">
        <f t="shared" ref="AU55:AW55" si="1045">W57</f>
        <v>*</v>
      </c>
      <c r="AV55" s="81" t="str">
        <f t="shared" si="1045"/>
        <v>*</v>
      </c>
      <c r="AW55" s="85" t="str">
        <f t="shared" si="1045"/>
        <v>*</v>
      </c>
      <c r="AX55" s="25"/>
      <c r="AY55" s="83" t="str">
        <f t="shared" ref="AY55" si="1046">AC55</f>
        <v>T</v>
      </c>
      <c r="AZ55" s="87" t="str">
        <f t="shared" ref="AZ55" si="1047">AD55</f>
        <v>*</v>
      </c>
      <c r="BA55" s="89" t="str">
        <f t="shared" ref="BA55" si="1048">AE55</f>
        <v>T</v>
      </c>
      <c r="BB55" s="86" t="str">
        <f t="shared" ref="BB55" si="1049">AC56</f>
        <v>*</v>
      </c>
      <c r="BC55" s="84" t="str">
        <f t="shared" ref="BC55" si="1050">AD56</f>
        <v>*</v>
      </c>
      <c r="BD55" s="91" t="str">
        <f t="shared" ref="BD55" si="1051">AE56</f>
        <v>*</v>
      </c>
      <c r="BE55" s="79" t="str">
        <f t="shared" ref="BE55:BG55" si="1052">AC57</f>
        <v>F</v>
      </c>
      <c r="BF55" s="81" t="str">
        <f t="shared" si="1052"/>
        <v>*</v>
      </c>
      <c r="BG55" s="85" t="str">
        <f t="shared" si="1052"/>
        <v>*</v>
      </c>
      <c r="BH55" s="25"/>
      <c r="BI55" s="83" t="str">
        <f t="shared" ref="BI55" si="1053">AI55</f>
        <v>*</v>
      </c>
      <c r="BJ55" s="87" t="str">
        <f t="shared" ref="BJ55" si="1054">AJ55</f>
        <v>*</v>
      </c>
      <c r="BK55" s="89" t="str">
        <f t="shared" ref="BK55" si="1055">AK55</f>
        <v>*</v>
      </c>
      <c r="BL55" s="86" t="str">
        <f t="shared" ref="BL55" si="1056">AI56</f>
        <v>*</v>
      </c>
      <c r="BM55" s="84" t="str">
        <f t="shared" ref="BM55" si="1057">AJ56</f>
        <v>*</v>
      </c>
      <c r="BN55" s="91" t="str">
        <f t="shared" ref="BN55" si="1058">AK56</f>
        <v>*</v>
      </c>
      <c r="BO55" s="79" t="str">
        <f t="shared" ref="BO55:BQ55" si="1059">AI57</f>
        <v>*</v>
      </c>
      <c r="BP55" s="81" t="str">
        <f t="shared" si="1059"/>
        <v>*</v>
      </c>
      <c r="BQ55" s="85" t="str">
        <f t="shared" si="1059"/>
        <v>*</v>
      </c>
      <c r="BR55" s="28"/>
    </row>
    <row r="56" spans="1:70" ht="15" customHeight="1" x14ac:dyDescent="0.25">
      <c r="A56" s="185"/>
      <c r="B56" s="207"/>
      <c r="C56" s="13" t="s">
        <v>31</v>
      </c>
      <c r="D56" s="92" t="str">
        <f>'DE-9IM Matrixes'!D55</f>
        <v>*</v>
      </c>
      <c r="E56" s="93" t="str">
        <f>'DE-9IM Matrixes'!E55</f>
        <v>F</v>
      </c>
      <c r="F56" s="94" t="str">
        <f>'DE-9IM Matrixes'!F55</f>
        <v>*</v>
      </c>
      <c r="G56" s="17"/>
      <c r="H56" s="209"/>
      <c r="I56" s="13" t="s">
        <v>31</v>
      </c>
      <c r="J56" s="92" t="str">
        <f>'DE-9IM Matrixes'!J55</f>
        <v>*</v>
      </c>
      <c r="K56" s="93" t="str">
        <f>'DE-9IM Matrixes'!K55</f>
        <v>*</v>
      </c>
      <c r="L56" s="94" t="str">
        <f>'DE-9IM Matrixes'!L55</f>
        <v>*</v>
      </c>
      <c r="M56" s="17"/>
      <c r="N56" s="211"/>
      <c r="O56" s="13" t="s">
        <v>31</v>
      </c>
      <c r="P56" s="92" t="str">
        <f>'DE-9IM Matrixes'!P55</f>
        <v>*</v>
      </c>
      <c r="Q56" s="93" t="str">
        <f>'DE-9IM Matrixes'!Q55</f>
        <v>*</v>
      </c>
      <c r="R56" s="94" t="str">
        <f>'DE-9IM Matrixes'!R55</f>
        <v>*</v>
      </c>
      <c r="T56" s="185"/>
      <c r="U56" s="207"/>
      <c r="V56" s="13" t="s">
        <v>31</v>
      </c>
      <c r="W56" s="105" t="str">
        <f>E55</f>
        <v>*</v>
      </c>
      <c r="X56" s="106" t="str">
        <f>E56</f>
        <v>F</v>
      </c>
      <c r="Y56" s="107" t="str">
        <f>E57</f>
        <v>*</v>
      </c>
      <c r="Z56" s="17"/>
      <c r="AA56" s="209"/>
      <c r="AB56" s="13" t="s">
        <v>31</v>
      </c>
      <c r="AC56" s="105" t="str">
        <f>K55</f>
        <v>*</v>
      </c>
      <c r="AD56" s="106" t="str">
        <f>K56</f>
        <v>*</v>
      </c>
      <c r="AE56" s="107" t="str">
        <f>K57</f>
        <v>*</v>
      </c>
      <c r="AF56" s="17"/>
      <c r="AG56" s="211"/>
      <c r="AH56" s="13" t="s">
        <v>31</v>
      </c>
      <c r="AI56" s="105" t="str">
        <f>Q55</f>
        <v>*</v>
      </c>
      <c r="AJ56" s="106" t="str">
        <f>Q56</f>
        <v>*</v>
      </c>
      <c r="AK56" s="107" t="str">
        <f>Q57</f>
        <v>*</v>
      </c>
      <c r="AM56" s="149" t="s">
        <v>79</v>
      </c>
      <c r="AN56" s="120"/>
      <c r="AO56" s="120" t="str">
        <f t="shared" ref="AO56" si="1060">IF(AO54=AO55,"","X")</f>
        <v/>
      </c>
      <c r="AP56" s="120" t="str">
        <f t="shared" ref="AP56" si="1061">IF(AP54=AP55,"","X")</f>
        <v/>
      </c>
      <c r="AQ56" s="120" t="str">
        <f t="shared" ref="AQ56" si="1062">IF(AQ54=AQ55,"","X")</f>
        <v/>
      </c>
      <c r="AR56" s="120" t="str">
        <f t="shared" ref="AR56" si="1063">IF(AR54=AR55,"","X")</f>
        <v/>
      </c>
      <c r="AS56" s="120" t="str">
        <f t="shared" ref="AS56" si="1064">IF(AS54=AS55,"","X")</f>
        <v/>
      </c>
      <c r="AT56" s="120" t="str">
        <f t="shared" ref="AT56" si="1065">IF(AT54=AT55,"","X")</f>
        <v/>
      </c>
      <c r="AU56" s="120" t="str">
        <f t="shared" ref="AU56" si="1066">IF(AU54=AU55,"","X")</f>
        <v/>
      </c>
      <c r="AV56" s="120" t="str">
        <f t="shared" ref="AV56" si="1067">IF(AV54=AV55,"","X")</f>
        <v/>
      </c>
      <c r="AW56" s="120" t="str">
        <f t="shared" ref="AW56" si="1068">IF(AW54=AW55,"","X")</f>
        <v/>
      </c>
      <c r="AX56" s="120" t="str">
        <f t="shared" ref="AX56" si="1069">IF(AX54=AX55,"","X")</f>
        <v/>
      </c>
      <c r="AY56" s="120" t="str">
        <f t="shared" ref="AY56" si="1070">IF(AY54=AY55,"","X")</f>
        <v/>
      </c>
      <c r="AZ56" s="120" t="str">
        <f t="shared" ref="AZ56" si="1071">IF(AZ54=AZ55,"","X")</f>
        <v/>
      </c>
      <c r="BA56" s="120" t="str">
        <f t="shared" ref="BA56" si="1072">IF(BA54=BA55,"","X")</f>
        <v/>
      </c>
      <c r="BB56" s="120" t="str">
        <f t="shared" ref="BB56" si="1073">IF(BB54=BB55,"","X")</f>
        <v/>
      </c>
      <c r="BC56" s="120" t="str">
        <f t="shared" ref="BC56" si="1074">IF(BC54=BC55,"","X")</f>
        <v/>
      </c>
      <c r="BD56" s="120" t="str">
        <f t="shared" ref="BD56" si="1075">IF(BD54=BD55,"","X")</f>
        <v/>
      </c>
      <c r="BE56" s="120" t="str">
        <f t="shared" ref="BE56" si="1076">IF(BE54=BE55,"","X")</f>
        <v/>
      </c>
      <c r="BF56" s="120" t="str">
        <f t="shared" ref="BF56" si="1077">IF(BF54=BF55,"","X")</f>
        <v/>
      </c>
      <c r="BG56" s="120" t="str">
        <f t="shared" ref="BG56" si="1078">IF(BG54=BG55,"","X")</f>
        <v/>
      </c>
      <c r="BH56" s="120" t="str">
        <f t="shared" ref="BH56" si="1079">IF(BH54=BH55,"","X")</f>
        <v/>
      </c>
      <c r="BI56" s="120" t="str">
        <f t="shared" ref="BI56" si="1080">IF(BI54=BI55,"","X")</f>
        <v/>
      </c>
      <c r="BJ56" s="120" t="str">
        <f t="shared" ref="BJ56" si="1081">IF(BJ54=BJ55,"","X")</f>
        <v/>
      </c>
      <c r="BK56" s="120" t="str">
        <f t="shared" ref="BK56" si="1082">IF(BK54=BK55,"","X")</f>
        <v/>
      </c>
      <c r="BL56" s="120" t="str">
        <f t="shared" ref="BL56" si="1083">IF(BL54=BL55,"","X")</f>
        <v/>
      </c>
      <c r="BM56" s="120" t="str">
        <f t="shared" ref="BM56" si="1084">IF(BM54=BM55,"","X")</f>
        <v/>
      </c>
      <c r="BN56" s="120" t="str">
        <f t="shared" ref="BN56" si="1085">IF(BN54=BN55,"","X")</f>
        <v/>
      </c>
      <c r="BO56" s="120" t="str">
        <f t="shared" ref="BO56" si="1086">IF(BO54=BO55,"","X")</f>
        <v/>
      </c>
      <c r="BP56" s="120" t="str">
        <f t="shared" ref="BP56" si="1087">IF(BP54=BP55,"","X")</f>
        <v/>
      </c>
      <c r="BQ56" s="120" t="str">
        <f t="shared" ref="BQ56" si="1088">IF(BQ54=BQ55,"","X")</f>
        <v/>
      </c>
      <c r="BR56" s="120" t="str">
        <f t="shared" ref="BR56" si="1089">IF(BR54=BR55,"","X")</f>
        <v/>
      </c>
    </row>
    <row r="57" spans="1:70" ht="15" customHeight="1" thickBot="1" x14ac:dyDescent="0.3">
      <c r="A57" s="203"/>
      <c r="B57" s="208"/>
      <c r="C57" s="13" t="s">
        <v>35</v>
      </c>
      <c r="D57" s="95" t="str">
        <f>'DE-9IM Matrixes'!D56</f>
        <v>*</v>
      </c>
      <c r="E57" s="96" t="str">
        <f>'DE-9IM Matrixes'!E56</f>
        <v>*</v>
      </c>
      <c r="F57" s="111" t="str">
        <f>'DE-9IM Matrixes'!F56</f>
        <v>*</v>
      </c>
      <c r="G57" s="19"/>
      <c r="H57" s="210"/>
      <c r="I57" s="13" t="s">
        <v>35</v>
      </c>
      <c r="J57" s="95" t="str">
        <f>'DE-9IM Matrixes'!J56</f>
        <v>T</v>
      </c>
      <c r="K57" s="96" t="str">
        <f>'DE-9IM Matrixes'!K56</f>
        <v>*</v>
      </c>
      <c r="L57" s="111" t="str">
        <f>'DE-9IM Matrixes'!L56</f>
        <v>*</v>
      </c>
      <c r="M57" s="19"/>
      <c r="N57" s="212"/>
      <c r="O57" s="13" t="s">
        <v>35</v>
      </c>
      <c r="P57" s="95" t="str">
        <f>'DE-9IM Matrixes'!P56</f>
        <v>*</v>
      </c>
      <c r="Q57" s="96" t="str">
        <f>'DE-9IM Matrixes'!Q56</f>
        <v>*</v>
      </c>
      <c r="R57" s="111" t="str">
        <f>'DE-9IM Matrixes'!R56</f>
        <v>*</v>
      </c>
      <c r="T57" s="186"/>
      <c r="U57" s="208"/>
      <c r="V57" s="13" t="s">
        <v>35</v>
      </c>
      <c r="W57" s="109" t="str">
        <f>F55</f>
        <v>*</v>
      </c>
      <c r="X57" s="110" t="str">
        <f>F56</f>
        <v>*</v>
      </c>
      <c r="Y57" s="112" t="str">
        <f>F57</f>
        <v>*</v>
      </c>
      <c r="Z57" s="19"/>
      <c r="AA57" s="210"/>
      <c r="AB57" s="13" t="s">
        <v>35</v>
      </c>
      <c r="AC57" s="109" t="str">
        <f>L55</f>
        <v>F</v>
      </c>
      <c r="AD57" s="110" t="str">
        <f>L56</f>
        <v>*</v>
      </c>
      <c r="AE57" s="112" t="str">
        <f>L57</f>
        <v>*</v>
      </c>
      <c r="AF57" s="19"/>
      <c r="AG57" s="212"/>
      <c r="AH57" s="13" t="s">
        <v>35</v>
      </c>
      <c r="AI57" s="109" t="str">
        <f>R55</f>
        <v>*</v>
      </c>
      <c r="AJ57" s="110" t="str">
        <f>R56</f>
        <v>*</v>
      </c>
      <c r="AK57" s="112" t="str">
        <f>R57</f>
        <v>*</v>
      </c>
      <c r="AN57"/>
      <c r="AX57"/>
      <c r="BH57"/>
      <c r="BR57"/>
    </row>
    <row r="58" spans="1:70" ht="15" customHeight="1" thickTop="1" thickBot="1" x14ac:dyDescent="0.3">
      <c r="A58" s="184" t="str">
        <f>'DE-9IM Matrixes'!A57</f>
        <v xml:space="preserve">A is Disjoint 
with B </v>
      </c>
      <c r="B58" s="20"/>
      <c r="C58" s="11"/>
      <c r="D58" s="206" t="s">
        <v>31</v>
      </c>
      <c r="E58" s="206"/>
      <c r="F58" s="206"/>
      <c r="G58" s="12"/>
      <c r="H58" s="11"/>
      <c r="I58" s="11"/>
      <c r="J58" s="206" t="s">
        <v>31</v>
      </c>
      <c r="K58" s="206"/>
      <c r="L58" s="206"/>
      <c r="M58" s="12"/>
      <c r="N58" s="11"/>
      <c r="O58" s="11"/>
      <c r="P58" s="206" t="s">
        <v>31</v>
      </c>
      <c r="Q58" s="206"/>
      <c r="R58" s="206"/>
      <c r="T58" s="194" t="str">
        <f t="shared" ref="T58" si="1090">SUBSTITUTE(SUBSTITUTE(SUBSTITUTE(SUBSTITUTE(A58,"A","x"),"B","A"),"x","B"),"Ao","Bo")</f>
        <v xml:space="preserve">B is Disjoint 
with A </v>
      </c>
      <c r="U58" s="20"/>
      <c r="V58" s="11"/>
      <c r="W58" s="206" t="s">
        <v>31</v>
      </c>
      <c r="X58" s="206"/>
      <c r="Y58" s="206"/>
      <c r="Z58" s="12"/>
      <c r="AA58" s="11"/>
      <c r="AB58" s="11"/>
      <c r="AC58" s="206" t="s">
        <v>31</v>
      </c>
      <c r="AD58" s="206"/>
      <c r="AE58" s="206"/>
      <c r="AF58" s="12"/>
      <c r="AG58" s="11"/>
      <c r="AH58" s="11"/>
      <c r="AI58" s="206" t="s">
        <v>31</v>
      </c>
      <c r="AJ58" s="206"/>
      <c r="AK58" s="206"/>
      <c r="AM58" s="24" t="str">
        <f t="shared" ref="AM58" si="1091">A58</f>
        <v xml:space="preserve">A is Disjoint 
with B </v>
      </c>
      <c r="AN58" s="25"/>
      <c r="AO58" s="83" t="str">
        <f t="shared" ref="AO58" si="1092">D60</f>
        <v>F</v>
      </c>
      <c r="AP58" s="86" t="str">
        <f t="shared" ref="AP58" si="1093">E60</f>
        <v>*</v>
      </c>
      <c r="AQ58" s="88" t="str">
        <f t="shared" ref="AQ58" si="1094">F60</f>
        <v>*</v>
      </c>
      <c r="AR58" s="87" t="str">
        <f t="shared" ref="AR58" si="1095">D61</f>
        <v>*</v>
      </c>
      <c r="AS58" s="84" t="str">
        <f t="shared" ref="AS58" si="1096">E61</f>
        <v>F</v>
      </c>
      <c r="AT58" s="90" t="str">
        <f t="shared" ref="AT58" si="1097">F61</f>
        <v>*</v>
      </c>
      <c r="AU58" s="80" t="str">
        <f t="shared" ref="AU58" si="1098">D62</f>
        <v>*</v>
      </c>
      <c r="AV58" s="82" t="str">
        <f t="shared" ref="AV58" si="1099">E62</f>
        <v>*</v>
      </c>
      <c r="AW58" s="85" t="str">
        <f t="shared" ref="AW58" si="1100">F62</f>
        <v>*</v>
      </c>
      <c r="AX58" s="25"/>
      <c r="AY58" s="83" t="str">
        <f t="shared" ref="AY58" si="1101">J60</f>
        <v>*</v>
      </c>
      <c r="AZ58" s="86" t="str">
        <f t="shared" ref="AZ58" si="1102">K60</f>
        <v>*</v>
      </c>
      <c r="BA58" s="88" t="str">
        <f t="shared" ref="BA58" si="1103">L60</f>
        <v>T</v>
      </c>
      <c r="BB58" s="87" t="str">
        <f t="shared" ref="BB58" si="1104">J61</f>
        <v>*</v>
      </c>
      <c r="BC58" s="84" t="str">
        <f t="shared" ref="BC58" si="1105">K61</f>
        <v>*</v>
      </c>
      <c r="BD58" s="90" t="str">
        <f t="shared" ref="BD58" si="1106">L61</f>
        <v>*</v>
      </c>
      <c r="BE58" s="80" t="str">
        <f t="shared" ref="BE58" si="1107">J62</f>
        <v>T</v>
      </c>
      <c r="BF58" s="82" t="str">
        <f t="shared" ref="BF58" si="1108">K62</f>
        <v>*</v>
      </c>
      <c r="BG58" s="85" t="str">
        <f t="shared" ref="BG58" si="1109">L62</f>
        <v>*</v>
      </c>
      <c r="BH58" s="25"/>
      <c r="BI58" s="83" t="str">
        <f t="shared" ref="BI58" si="1110">P60</f>
        <v>*</v>
      </c>
      <c r="BJ58" s="86" t="str">
        <f t="shared" ref="BJ58" si="1111">Q60</f>
        <v>*</v>
      </c>
      <c r="BK58" s="88" t="str">
        <f t="shared" ref="BK58" si="1112">R60</f>
        <v>T</v>
      </c>
      <c r="BL58" s="87" t="str">
        <f t="shared" ref="BL58" si="1113">P61</f>
        <v>*</v>
      </c>
      <c r="BM58" s="84" t="str">
        <f t="shared" ref="BM58" si="1114">Q61</f>
        <v>*</v>
      </c>
      <c r="BN58" s="90" t="str">
        <f t="shared" ref="BN58" si="1115">R61</f>
        <v>*</v>
      </c>
      <c r="BO58" s="80" t="str">
        <f t="shared" ref="BO58" si="1116">P62</f>
        <v>T</v>
      </c>
      <c r="BP58" s="82" t="str">
        <f t="shared" ref="BP58" si="1117">Q62</f>
        <v>*</v>
      </c>
      <c r="BQ58" s="85" t="str">
        <f t="shared" ref="BQ58" si="1118">R62</f>
        <v>*</v>
      </c>
      <c r="BR58" s="28"/>
    </row>
    <row r="59" spans="1:70" ht="15" customHeight="1" thickTop="1" thickBot="1" x14ac:dyDescent="0.3">
      <c r="A59" s="185"/>
      <c r="B59" s="21"/>
      <c r="C59" s="16" t="s">
        <v>33</v>
      </c>
      <c r="D59" s="13" t="s">
        <v>34</v>
      </c>
      <c r="E59" s="13" t="s">
        <v>31</v>
      </c>
      <c r="F59" s="13" t="s">
        <v>35</v>
      </c>
      <c r="G59" s="17"/>
      <c r="I59" s="16" t="s">
        <v>33</v>
      </c>
      <c r="J59" s="13" t="s">
        <v>34</v>
      </c>
      <c r="K59" s="13" t="s">
        <v>31</v>
      </c>
      <c r="L59" s="13" t="s">
        <v>35</v>
      </c>
      <c r="M59" s="17"/>
      <c r="O59" s="16" t="s">
        <v>33</v>
      </c>
      <c r="P59" s="13" t="s">
        <v>34</v>
      </c>
      <c r="Q59" s="13" t="s">
        <v>31</v>
      </c>
      <c r="R59" s="13" t="s">
        <v>35</v>
      </c>
      <c r="T59" s="185"/>
      <c r="U59" s="21"/>
      <c r="V59" s="16" t="s">
        <v>33</v>
      </c>
      <c r="W59" s="13" t="s">
        <v>34</v>
      </c>
      <c r="X59" s="13" t="s">
        <v>31</v>
      </c>
      <c r="Y59" s="13" t="s">
        <v>35</v>
      </c>
      <c r="Z59" s="17"/>
      <c r="AB59" s="16" t="s">
        <v>33</v>
      </c>
      <c r="AC59" s="13" t="s">
        <v>34</v>
      </c>
      <c r="AD59" s="13" t="s">
        <v>31</v>
      </c>
      <c r="AE59" s="13" t="s">
        <v>35</v>
      </c>
      <c r="AF59" s="17"/>
      <c r="AH59" s="16" t="s">
        <v>33</v>
      </c>
      <c r="AI59" s="13" t="s">
        <v>34</v>
      </c>
      <c r="AJ59" s="13" t="s">
        <v>31</v>
      </c>
      <c r="AK59" s="13" t="s">
        <v>35</v>
      </c>
      <c r="AM59" s="150" t="s">
        <v>80</v>
      </c>
      <c r="AN59" s="151"/>
      <c r="AO59" s="152" t="str">
        <f t="shared" ref="AO59" si="1119">AO58</f>
        <v>F</v>
      </c>
      <c r="AP59" s="152" t="str">
        <f t="shared" ref="AP59" si="1120">IF(ISERROR(SEARCH("Not",$AM61)),AP58,AR58)</f>
        <v>*</v>
      </c>
      <c r="AQ59" s="152" t="str">
        <f t="shared" ref="AQ59" si="1121">IF(ISERROR(SEARCH("Not",$AM61)),AQ58,AU58)</f>
        <v>*</v>
      </c>
      <c r="AR59" s="152" t="str">
        <f t="shared" ref="AR59" si="1122">IF(ISERROR(SEARCH("Not",$AM61)),AR58,AP58)</f>
        <v>*</v>
      </c>
      <c r="AS59" s="152" t="str">
        <f t="shared" ref="AS59" si="1123">AS58</f>
        <v>F</v>
      </c>
      <c r="AT59" s="152" t="str">
        <f t="shared" ref="AT59" si="1124">IF(ISERROR(SEARCH("Not",$AM61)),AT58,AV58)</f>
        <v>*</v>
      </c>
      <c r="AU59" s="152" t="str">
        <f t="shared" ref="AU59" si="1125">IF(ISERROR(SEARCH("Not",$AM61)),AU58,AQ58)</f>
        <v>*</v>
      </c>
      <c r="AV59" s="152" t="str">
        <f t="shared" ref="AV59" si="1126">IF(ISERROR(SEARCH("Not",$AM61)),AV58,AT58)</f>
        <v>*</v>
      </c>
      <c r="AW59" s="152" t="str">
        <f t="shared" ref="AW59" si="1127">AW58</f>
        <v>*</v>
      </c>
      <c r="AX59" s="152"/>
      <c r="AY59" s="152" t="str">
        <f t="shared" ref="AY59" si="1128">AY58</f>
        <v>*</v>
      </c>
      <c r="AZ59" s="152" t="str">
        <f t="shared" ref="AZ59" si="1129">IF(ISERROR(SEARCH("Not",$AM61)),AZ58,BB58)</f>
        <v>*</v>
      </c>
      <c r="BA59" s="152" t="str">
        <f t="shared" ref="BA59" si="1130">IF(ISERROR(SEARCH("Not",$AM61)),BA58,BE58)</f>
        <v>T</v>
      </c>
      <c r="BB59" s="152" t="str">
        <f t="shared" ref="BB59" si="1131">IF(ISERROR(SEARCH("Not",$AM61)),BB58,AZ58)</f>
        <v>*</v>
      </c>
      <c r="BC59" s="152" t="str">
        <f t="shared" ref="BC59" si="1132">BC58</f>
        <v>*</v>
      </c>
      <c r="BD59" s="152" t="str">
        <f t="shared" ref="BD59" si="1133">IF(ISERROR(SEARCH("Not",$AM61)),BD58,BF58)</f>
        <v>*</v>
      </c>
      <c r="BE59" s="152" t="str">
        <f t="shared" ref="BE59" si="1134">IF(ISERROR(SEARCH("Not",$AM61)),BE58,BA58)</f>
        <v>T</v>
      </c>
      <c r="BF59" s="152" t="str">
        <f t="shared" ref="BF59" si="1135">IF(ISERROR(SEARCH("Not",$AM61)),BF58,BD58)</f>
        <v>*</v>
      </c>
      <c r="BG59" s="152" t="str">
        <f t="shared" ref="BG59" si="1136">BG58</f>
        <v>*</v>
      </c>
      <c r="BH59" s="152"/>
      <c r="BI59" s="152" t="str">
        <f t="shared" ref="BI59" si="1137">BI58</f>
        <v>*</v>
      </c>
      <c r="BJ59" s="152" t="str">
        <f t="shared" ref="BJ59" si="1138">IF(ISERROR(SEARCH("Not",$AM61)),BJ58,BL58)</f>
        <v>*</v>
      </c>
      <c r="BK59" s="152" t="str">
        <f t="shared" ref="BK59" si="1139">IF(ISERROR(SEARCH("Not",$AM61)),BK58,BO58)</f>
        <v>T</v>
      </c>
      <c r="BL59" s="152" t="str">
        <f t="shared" ref="BL59" si="1140">IF(ISERROR(SEARCH("Not",$AM61)),BL58,BJ58)</f>
        <v>*</v>
      </c>
      <c r="BM59" s="152" t="str">
        <f t="shared" ref="BM59" si="1141">BM58</f>
        <v>*</v>
      </c>
      <c r="BN59" s="152" t="str">
        <f t="shared" ref="BN59" si="1142">IF(ISERROR(SEARCH("Not",$AM61)),BN58,BP58)</f>
        <v>*</v>
      </c>
      <c r="BO59" s="152" t="str">
        <f t="shared" ref="BO59" si="1143">IF(ISERROR(SEARCH("Not",$AM61)),BO58,BK58)</f>
        <v>T</v>
      </c>
      <c r="BP59" s="152" t="str">
        <f t="shared" ref="BP59" si="1144">IF(ISERROR(SEARCH("Not",$AM61)),BP58,BN58)</f>
        <v>*</v>
      </c>
      <c r="BQ59" s="152" t="str">
        <f t="shared" ref="BQ59" si="1145">BQ58</f>
        <v>*</v>
      </c>
      <c r="BR59" s="124"/>
    </row>
    <row r="60" spans="1:70" ht="15" customHeight="1" thickTop="1" thickBot="1" x14ac:dyDescent="0.3">
      <c r="A60" s="185"/>
      <c r="B60" s="207" t="s">
        <v>36</v>
      </c>
      <c r="C60" s="13" t="s">
        <v>34</v>
      </c>
      <c r="D60" s="97" t="str">
        <f>'DE-9IM Matrixes'!D59</f>
        <v>F</v>
      </c>
      <c r="E60" s="98" t="str">
        <f>'DE-9IM Matrixes'!E59</f>
        <v>*</v>
      </c>
      <c r="F60" s="99" t="str">
        <f>'DE-9IM Matrixes'!F59</f>
        <v>*</v>
      </c>
      <c r="G60" s="17"/>
      <c r="H60" s="209" t="s">
        <v>36</v>
      </c>
      <c r="I60" s="13" t="s">
        <v>34</v>
      </c>
      <c r="J60" s="97" t="str">
        <f>'DE-9IM Matrixes'!J59</f>
        <v>*</v>
      </c>
      <c r="K60" s="98" t="str">
        <f>'DE-9IM Matrixes'!K59</f>
        <v>*</v>
      </c>
      <c r="L60" s="99" t="str">
        <f>'DE-9IM Matrixes'!L59</f>
        <v>T</v>
      </c>
      <c r="M60" s="17"/>
      <c r="N60" s="211" t="s">
        <v>36</v>
      </c>
      <c r="O60" s="13" t="s">
        <v>34</v>
      </c>
      <c r="P60" s="97" t="str">
        <f>'DE-9IM Matrixes'!P59</f>
        <v>*</v>
      </c>
      <c r="Q60" s="98" t="str">
        <f>'DE-9IM Matrixes'!Q59</f>
        <v>*</v>
      </c>
      <c r="R60" s="99" t="str">
        <f>'DE-9IM Matrixes'!R59</f>
        <v>T</v>
      </c>
      <c r="T60" s="185"/>
      <c r="U60" s="207" t="s">
        <v>36</v>
      </c>
      <c r="V60" s="13" t="s">
        <v>34</v>
      </c>
      <c r="W60" s="101" t="str">
        <f>D60</f>
        <v>F</v>
      </c>
      <c r="X60" s="102" t="str">
        <f>D61</f>
        <v>*</v>
      </c>
      <c r="Y60" s="103" t="str">
        <f>D62</f>
        <v>*</v>
      </c>
      <c r="Z60" s="17"/>
      <c r="AA60" s="209" t="s">
        <v>36</v>
      </c>
      <c r="AB60" s="13" t="s">
        <v>34</v>
      </c>
      <c r="AC60" s="101" t="str">
        <f>J60</f>
        <v>*</v>
      </c>
      <c r="AD60" s="102" t="str">
        <f>J61</f>
        <v>*</v>
      </c>
      <c r="AE60" s="103" t="str">
        <f>J62</f>
        <v>T</v>
      </c>
      <c r="AF60" s="17"/>
      <c r="AG60" s="211" t="s">
        <v>36</v>
      </c>
      <c r="AH60" s="13" t="s">
        <v>34</v>
      </c>
      <c r="AI60" s="101" t="str">
        <f>P60</f>
        <v>*</v>
      </c>
      <c r="AJ60" s="102" t="str">
        <f>P61</f>
        <v>*</v>
      </c>
      <c r="AK60" s="103" t="str">
        <f>P62</f>
        <v>T</v>
      </c>
      <c r="AM60" s="24" t="str">
        <f t="shared" ref="AM60" si="1146">T58</f>
        <v xml:space="preserve">B is Disjoint 
with A </v>
      </c>
      <c r="AN60" s="25"/>
      <c r="AO60" s="83" t="str">
        <f t="shared" ref="AO60" si="1147">W60</f>
        <v>F</v>
      </c>
      <c r="AP60" s="87" t="str">
        <f t="shared" ref="AP60" si="1148">X60</f>
        <v>*</v>
      </c>
      <c r="AQ60" s="89" t="str">
        <f t="shared" ref="AQ60" si="1149">Y60</f>
        <v>*</v>
      </c>
      <c r="AR60" s="86" t="str">
        <f t="shared" ref="AR60" si="1150">W61</f>
        <v>*</v>
      </c>
      <c r="AS60" s="84" t="str">
        <f t="shared" ref="AS60" si="1151">X61</f>
        <v>F</v>
      </c>
      <c r="AT60" s="91" t="str">
        <f t="shared" ref="AT60" si="1152">Y61</f>
        <v>*</v>
      </c>
      <c r="AU60" s="79" t="str">
        <f t="shared" ref="AU60:AW60" si="1153">W62</f>
        <v>*</v>
      </c>
      <c r="AV60" s="81" t="str">
        <f t="shared" si="1153"/>
        <v>*</v>
      </c>
      <c r="AW60" s="85" t="str">
        <f t="shared" si="1153"/>
        <v>*</v>
      </c>
      <c r="AX60" s="25"/>
      <c r="AY60" s="83" t="str">
        <f t="shared" ref="AY60" si="1154">AC60</f>
        <v>*</v>
      </c>
      <c r="AZ60" s="87" t="str">
        <f t="shared" ref="AZ60" si="1155">AD60</f>
        <v>*</v>
      </c>
      <c r="BA60" s="89" t="str">
        <f t="shared" ref="BA60" si="1156">AE60</f>
        <v>T</v>
      </c>
      <c r="BB60" s="86" t="str">
        <f t="shared" ref="BB60" si="1157">AC61</f>
        <v>*</v>
      </c>
      <c r="BC60" s="84" t="str">
        <f t="shared" ref="BC60" si="1158">AD61</f>
        <v>*</v>
      </c>
      <c r="BD60" s="91" t="str">
        <f t="shared" ref="BD60" si="1159">AE61</f>
        <v>*</v>
      </c>
      <c r="BE60" s="79" t="str">
        <f t="shared" ref="BE60:BG60" si="1160">AC62</f>
        <v>T</v>
      </c>
      <c r="BF60" s="81" t="str">
        <f t="shared" si="1160"/>
        <v>*</v>
      </c>
      <c r="BG60" s="85" t="str">
        <f t="shared" si="1160"/>
        <v>*</v>
      </c>
      <c r="BH60" s="25"/>
      <c r="BI60" s="83" t="str">
        <f t="shared" ref="BI60" si="1161">AI60</f>
        <v>*</v>
      </c>
      <c r="BJ60" s="87" t="str">
        <f t="shared" ref="BJ60" si="1162">AJ60</f>
        <v>*</v>
      </c>
      <c r="BK60" s="89" t="str">
        <f t="shared" ref="BK60" si="1163">AK60</f>
        <v>T</v>
      </c>
      <c r="BL60" s="86" t="str">
        <f t="shared" ref="BL60" si="1164">AI61</f>
        <v>*</v>
      </c>
      <c r="BM60" s="84" t="str">
        <f t="shared" ref="BM60" si="1165">AJ61</f>
        <v>*</v>
      </c>
      <c r="BN60" s="91" t="str">
        <f t="shared" ref="BN60" si="1166">AK61</f>
        <v>*</v>
      </c>
      <c r="BO60" s="79" t="str">
        <f t="shared" ref="BO60:BQ60" si="1167">AI62</f>
        <v>T</v>
      </c>
      <c r="BP60" s="81" t="str">
        <f t="shared" si="1167"/>
        <v>*</v>
      </c>
      <c r="BQ60" s="85" t="str">
        <f t="shared" si="1167"/>
        <v>*</v>
      </c>
      <c r="BR60" s="28"/>
    </row>
    <row r="61" spans="1:70" ht="15" customHeight="1" x14ac:dyDescent="0.25">
      <c r="A61" s="185"/>
      <c r="B61" s="207"/>
      <c r="C61" s="13" t="s">
        <v>31</v>
      </c>
      <c r="D61" s="92" t="str">
        <f>'DE-9IM Matrixes'!D60</f>
        <v>*</v>
      </c>
      <c r="E61" s="93" t="str">
        <f>'DE-9IM Matrixes'!E60</f>
        <v>F</v>
      </c>
      <c r="F61" s="94" t="str">
        <f>'DE-9IM Matrixes'!F60</f>
        <v>*</v>
      </c>
      <c r="G61" s="17"/>
      <c r="H61" s="209"/>
      <c r="I61" s="13" t="s">
        <v>31</v>
      </c>
      <c r="J61" s="92" t="str">
        <f>'DE-9IM Matrixes'!J60</f>
        <v>*</v>
      </c>
      <c r="K61" s="93" t="str">
        <f>'DE-9IM Matrixes'!K60</f>
        <v>*</v>
      </c>
      <c r="L61" s="94" t="str">
        <f>'DE-9IM Matrixes'!L60</f>
        <v>*</v>
      </c>
      <c r="M61" s="17"/>
      <c r="N61" s="211"/>
      <c r="O61" s="13" t="s">
        <v>31</v>
      </c>
      <c r="P61" s="92" t="str">
        <f>'DE-9IM Matrixes'!P60</f>
        <v>*</v>
      </c>
      <c r="Q61" s="93" t="str">
        <f>'DE-9IM Matrixes'!Q60</f>
        <v>*</v>
      </c>
      <c r="R61" s="94" t="str">
        <f>'DE-9IM Matrixes'!R60</f>
        <v>*</v>
      </c>
      <c r="T61" s="185"/>
      <c r="U61" s="207"/>
      <c r="V61" s="13" t="s">
        <v>31</v>
      </c>
      <c r="W61" s="105" t="str">
        <f>E60</f>
        <v>*</v>
      </c>
      <c r="X61" s="106" t="str">
        <f>E61</f>
        <v>F</v>
      </c>
      <c r="Y61" s="107" t="str">
        <f>E62</f>
        <v>*</v>
      </c>
      <c r="Z61" s="17"/>
      <c r="AA61" s="209"/>
      <c r="AB61" s="13" t="s">
        <v>31</v>
      </c>
      <c r="AC61" s="105" t="str">
        <f>K60</f>
        <v>*</v>
      </c>
      <c r="AD61" s="106" t="str">
        <f>K61</f>
        <v>*</v>
      </c>
      <c r="AE61" s="107" t="str">
        <f>K62</f>
        <v>*</v>
      </c>
      <c r="AF61" s="17"/>
      <c r="AG61" s="211"/>
      <c r="AH61" s="13" t="s">
        <v>31</v>
      </c>
      <c r="AI61" s="105" t="str">
        <f>Q60</f>
        <v>*</v>
      </c>
      <c r="AJ61" s="106" t="str">
        <f>Q61</f>
        <v>*</v>
      </c>
      <c r="AK61" s="107" t="str">
        <f>Q62</f>
        <v>*</v>
      </c>
      <c r="AM61" s="149" t="s">
        <v>10</v>
      </c>
      <c r="AN61" s="120"/>
      <c r="AO61" s="120" t="str">
        <f t="shared" ref="AO61" si="1168">IF(AO59=AO60,"","X")</f>
        <v/>
      </c>
      <c r="AP61" s="120" t="str">
        <f t="shared" ref="AP61" si="1169">IF(AP59=AP60,"","X")</f>
        <v/>
      </c>
      <c r="AQ61" s="120" t="str">
        <f t="shared" ref="AQ61" si="1170">IF(AQ59=AQ60,"","X")</f>
        <v/>
      </c>
      <c r="AR61" s="120" t="str">
        <f t="shared" ref="AR61" si="1171">IF(AR59=AR60,"","X")</f>
        <v/>
      </c>
      <c r="AS61" s="120" t="str">
        <f t="shared" ref="AS61" si="1172">IF(AS59=AS60,"","X")</f>
        <v/>
      </c>
      <c r="AT61" s="120" t="str">
        <f t="shared" ref="AT61" si="1173">IF(AT59=AT60,"","X")</f>
        <v/>
      </c>
      <c r="AU61" s="120" t="str">
        <f t="shared" ref="AU61" si="1174">IF(AU59=AU60,"","X")</f>
        <v/>
      </c>
      <c r="AV61" s="120" t="str">
        <f t="shared" ref="AV61" si="1175">IF(AV59=AV60,"","X")</f>
        <v/>
      </c>
      <c r="AW61" s="120" t="str">
        <f t="shared" ref="AW61" si="1176">IF(AW59=AW60,"","X")</f>
        <v/>
      </c>
      <c r="AX61" s="120" t="str">
        <f t="shared" ref="AX61" si="1177">IF(AX59=AX60,"","X")</f>
        <v/>
      </c>
      <c r="AY61" s="120" t="str">
        <f t="shared" ref="AY61" si="1178">IF(AY59=AY60,"","X")</f>
        <v/>
      </c>
      <c r="AZ61" s="120" t="str">
        <f t="shared" ref="AZ61" si="1179">IF(AZ59=AZ60,"","X")</f>
        <v/>
      </c>
      <c r="BA61" s="120" t="str">
        <f t="shared" ref="BA61" si="1180">IF(BA59=BA60,"","X")</f>
        <v/>
      </c>
      <c r="BB61" s="120" t="str">
        <f t="shared" ref="BB61" si="1181">IF(BB59=BB60,"","X")</f>
        <v/>
      </c>
      <c r="BC61" s="120" t="str">
        <f t="shared" ref="BC61" si="1182">IF(BC59=BC60,"","X")</f>
        <v/>
      </c>
      <c r="BD61" s="120" t="str">
        <f t="shared" ref="BD61" si="1183">IF(BD59=BD60,"","X")</f>
        <v/>
      </c>
      <c r="BE61" s="120" t="str">
        <f t="shared" ref="BE61" si="1184">IF(BE59=BE60,"","X")</f>
        <v/>
      </c>
      <c r="BF61" s="120" t="str">
        <f t="shared" ref="BF61" si="1185">IF(BF59=BF60,"","X")</f>
        <v/>
      </c>
      <c r="BG61" s="120" t="str">
        <f t="shared" ref="BG61" si="1186">IF(BG59=BG60,"","X")</f>
        <v/>
      </c>
      <c r="BH61" s="120" t="str">
        <f t="shared" ref="BH61" si="1187">IF(BH59=BH60,"","X")</f>
        <v/>
      </c>
      <c r="BI61" s="120" t="str">
        <f t="shared" ref="BI61" si="1188">IF(BI59=BI60,"","X")</f>
        <v/>
      </c>
      <c r="BJ61" s="120" t="str">
        <f t="shared" ref="BJ61" si="1189">IF(BJ59=BJ60,"","X")</f>
        <v/>
      </c>
      <c r="BK61" s="120" t="str">
        <f t="shared" ref="BK61" si="1190">IF(BK59=BK60,"","X")</f>
        <v/>
      </c>
      <c r="BL61" s="120" t="str">
        <f t="shared" ref="BL61" si="1191">IF(BL59=BL60,"","X")</f>
        <v/>
      </c>
      <c r="BM61" s="120" t="str">
        <f t="shared" ref="BM61" si="1192">IF(BM59=BM60,"","X")</f>
        <v/>
      </c>
      <c r="BN61" s="120" t="str">
        <f t="shared" ref="BN61" si="1193">IF(BN59=BN60,"","X")</f>
        <v/>
      </c>
      <c r="BO61" s="120" t="str">
        <f t="shared" ref="BO61" si="1194">IF(BO59=BO60,"","X")</f>
        <v/>
      </c>
      <c r="BP61" s="120" t="str">
        <f t="shared" ref="BP61" si="1195">IF(BP59=BP60,"","X")</f>
        <v/>
      </c>
      <c r="BQ61" s="120" t="str">
        <f t="shared" ref="BQ61" si="1196">IF(BQ59=BQ60,"","X")</f>
        <v/>
      </c>
      <c r="BR61" s="120" t="str">
        <f t="shared" ref="BR61" si="1197">IF(BR59=BR60,"","X")</f>
        <v/>
      </c>
    </row>
    <row r="62" spans="1:70" ht="15" customHeight="1" thickBot="1" x14ac:dyDescent="0.3">
      <c r="A62" s="203"/>
      <c r="B62" s="208"/>
      <c r="C62" s="13" t="s">
        <v>35</v>
      </c>
      <c r="D62" s="95" t="str">
        <f>'DE-9IM Matrixes'!D61</f>
        <v>*</v>
      </c>
      <c r="E62" s="96" t="str">
        <f>'DE-9IM Matrixes'!E61</f>
        <v>*</v>
      </c>
      <c r="F62" s="111" t="str">
        <f>'DE-9IM Matrixes'!F61</f>
        <v>*</v>
      </c>
      <c r="G62" s="19"/>
      <c r="H62" s="210"/>
      <c r="I62" s="13" t="s">
        <v>35</v>
      </c>
      <c r="J62" s="95" t="str">
        <f>'DE-9IM Matrixes'!J61</f>
        <v>T</v>
      </c>
      <c r="K62" s="96" t="str">
        <f>'DE-9IM Matrixes'!K61</f>
        <v>*</v>
      </c>
      <c r="L62" s="111" t="str">
        <f>'DE-9IM Matrixes'!L61</f>
        <v>*</v>
      </c>
      <c r="M62" s="19"/>
      <c r="N62" s="212"/>
      <c r="O62" s="13" t="s">
        <v>35</v>
      </c>
      <c r="P62" s="95" t="str">
        <f>'DE-9IM Matrixes'!P61</f>
        <v>T</v>
      </c>
      <c r="Q62" s="96" t="str">
        <f>'DE-9IM Matrixes'!Q61</f>
        <v>*</v>
      </c>
      <c r="R62" s="111" t="str">
        <f>'DE-9IM Matrixes'!R61</f>
        <v>*</v>
      </c>
      <c r="T62" s="186"/>
      <c r="U62" s="208"/>
      <c r="V62" s="13" t="s">
        <v>35</v>
      </c>
      <c r="W62" s="109" t="str">
        <f>F60</f>
        <v>*</v>
      </c>
      <c r="X62" s="110" t="str">
        <f>F61</f>
        <v>*</v>
      </c>
      <c r="Y62" s="112" t="str">
        <f>F62</f>
        <v>*</v>
      </c>
      <c r="Z62" s="19"/>
      <c r="AA62" s="210"/>
      <c r="AB62" s="13" t="s">
        <v>35</v>
      </c>
      <c r="AC62" s="109" t="str">
        <f>L60</f>
        <v>T</v>
      </c>
      <c r="AD62" s="110" t="str">
        <f>L61</f>
        <v>*</v>
      </c>
      <c r="AE62" s="112" t="str">
        <f>L62</f>
        <v>*</v>
      </c>
      <c r="AF62" s="19"/>
      <c r="AG62" s="212"/>
      <c r="AH62" s="13" t="s">
        <v>35</v>
      </c>
      <c r="AI62" s="109" t="str">
        <f>R60</f>
        <v>T</v>
      </c>
      <c r="AJ62" s="110" t="str">
        <f>R61</f>
        <v>*</v>
      </c>
      <c r="AK62" s="112" t="str">
        <f>R62</f>
        <v>*</v>
      </c>
      <c r="AN62"/>
      <c r="AX62"/>
      <c r="BH62"/>
      <c r="BR62"/>
    </row>
    <row r="63" spans="1:70" ht="15" customHeight="1" thickTop="1" thickBot="1" x14ac:dyDescent="0.3">
      <c r="A63" s="184" t="str">
        <f>'DE-9IM Matrixes'!A62</f>
        <v>A Shelters B</v>
      </c>
      <c r="B63" s="20"/>
      <c r="C63" s="11"/>
      <c r="D63" s="206" t="s">
        <v>31</v>
      </c>
      <c r="E63" s="206"/>
      <c r="F63" s="206"/>
      <c r="G63" s="12"/>
      <c r="H63" s="11"/>
      <c r="I63" s="11"/>
      <c r="J63" s="206" t="s">
        <v>31</v>
      </c>
      <c r="K63" s="206"/>
      <c r="L63" s="206"/>
      <c r="M63" s="12"/>
      <c r="N63" s="11"/>
      <c r="O63" s="11"/>
      <c r="P63" s="206" t="s">
        <v>31</v>
      </c>
      <c r="Q63" s="206"/>
      <c r="R63" s="206"/>
      <c r="T63" s="194" t="str">
        <f t="shared" ref="T63" si="1198">SUBSTITUTE(SUBSTITUTE(SUBSTITUTE(SUBSTITUTE(A63,"A","x"),"B","A"),"x","B"),"Ao","Bo")</f>
        <v>B Shelters A</v>
      </c>
      <c r="U63" s="20"/>
      <c r="V63" s="11"/>
      <c r="W63" s="206" t="s">
        <v>31</v>
      </c>
      <c r="X63" s="206"/>
      <c r="Y63" s="206"/>
      <c r="Z63" s="12"/>
      <c r="AA63" s="11"/>
      <c r="AB63" s="11"/>
      <c r="AC63" s="206" t="s">
        <v>31</v>
      </c>
      <c r="AD63" s="206"/>
      <c r="AE63" s="206"/>
      <c r="AF63" s="12"/>
      <c r="AG63" s="11"/>
      <c r="AH63" s="11"/>
      <c r="AI63" s="206" t="s">
        <v>31</v>
      </c>
      <c r="AJ63" s="206"/>
      <c r="AK63" s="206"/>
      <c r="AM63" s="24" t="str">
        <f t="shared" ref="AM63" si="1199">A63</f>
        <v>A Shelters B</v>
      </c>
      <c r="AN63" s="25"/>
      <c r="AO63" s="83" t="str">
        <f t="shared" ref="AO63" si="1200">D65</f>
        <v>F</v>
      </c>
      <c r="AP63" s="86" t="str">
        <f t="shared" ref="AP63" si="1201">E65</f>
        <v>*</v>
      </c>
      <c r="AQ63" s="88" t="str">
        <f t="shared" ref="AQ63" si="1202">F65</f>
        <v>T</v>
      </c>
      <c r="AR63" s="87" t="str">
        <f t="shared" ref="AR63" si="1203">D66</f>
        <v>*</v>
      </c>
      <c r="AS63" s="84" t="str">
        <f t="shared" ref="AS63" si="1204">E66</f>
        <v>F</v>
      </c>
      <c r="AT63" s="90" t="str">
        <f t="shared" ref="AT63" si="1205">F66</f>
        <v>*</v>
      </c>
      <c r="AU63" s="80" t="str">
        <f t="shared" ref="AU63" si="1206">D67</f>
        <v>T</v>
      </c>
      <c r="AV63" s="82" t="str">
        <f t="shared" ref="AV63" si="1207">E67</f>
        <v>*</v>
      </c>
      <c r="AW63" s="85" t="str">
        <f t="shared" ref="AW63" si="1208">F67</f>
        <v>*</v>
      </c>
      <c r="AX63" s="25"/>
      <c r="AY63" s="83" t="str">
        <f t="shared" ref="AY63" si="1209">J65</f>
        <v>F</v>
      </c>
      <c r="AZ63" s="86" t="str">
        <f t="shared" ref="AZ63" si="1210">K65</f>
        <v>*</v>
      </c>
      <c r="BA63" s="88" t="str">
        <f t="shared" ref="BA63" si="1211">L65</f>
        <v>*</v>
      </c>
      <c r="BB63" s="87" t="str">
        <f t="shared" ref="BB63" si="1212">J66</f>
        <v>*</v>
      </c>
      <c r="BC63" s="84" t="str">
        <f t="shared" ref="BC63" si="1213">K66</f>
        <v>*</v>
      </c>
      <c r="BD63" s="90" t="str">
        <f t="shared" ref="BD63" si="1214">L66</f>
        <v>*</v>
      </c>
      <c r="BE63" s="80" t="str">
        <f t="shared" ref="BE63" si="1215">J67</f>
        <v>*</v>
      </c>
      <c r="BF63" s="82" t="str">
        <f t="shared" ref="BF63" si="1216">K67</f>
        <v>*</v>
      </c>
      <c r="BG63" s="85" t="str">
        <f t="shared" ref="BG63" si="1217">L67</f>
        <v>*</v>
      </c>
      <c r="BH63" s="25"/>
      <c r="BI63" s="83" t="str">
        <f t="shared" ref="BI63" si="1218">P65</f>
        <v>T</v>
      </c>
      <c r="BJ63" s="86" t="str">
        <f t="shared" ref="BJ63" si="1219">Q65</f>
        <v>*</v>
      </c>
      <c r="BK63" s="88" t="str">
        <f t="shared" ref="BK63" si="1220">R65</f>
        <v>T</v>
      </c>
      <c r="BL63" s="87" t="str">
        <f t="shared" ref="BL63" si="1221">P66</f>
        <v>*</v>
      </c>
      <c r="BM63" s="84" t="str">
        <f t="shared" ref="BM63" si="1222">Q66</f>
        <v>*</v>
      </c>
      <c r="BN63" s="90" t="str">
        <f t="shared" ref="BN63" si="1223">R66</f>
        <v>*</v>
      </c>
      <c r="BO63" s="80" t="str">
        <f t="shared" ref="BO63" si="1224">P67</f>
        <v>F</v>
      </c>
      <c r="BP63" s="82" t="str">
        <f t="shared" ref="BP63" si="1225">Q67</f>
        <v>*</v>
      </c>
      <c r="BQ63" s="85" t="str">
        <f t="shared" ref="BQ63" si="1226">R67</f>
        <v>*</v>
      </c>
      <c r="BR63" s="28"/>
    </row>
    <row r="64" spans="1:70" ht="15" customHeight="1" thickTop="1" thickBot="1" x14ac:dyDescent="0.3">
      <c r="A64" s="185"/>
      <c r="B64" s="21"/>
      <c r="C64" s="16" t="s">
        <v>33</v>
      </c>
      <c r="D64" s="13" t="s">
        <v>34</v>
      </c>
      <c r="E64" s="13" t="s">
        <v>31</v>
      </c>
      <c r="F64" s="13" t="s">
        <v>35</v>
      </c>
      <c r="G64" s="17"/>
      <c r="I64" s="16" t="s">
        <v>33</v>
      </c>
      <c r="J64" s="13" t="s">
        <v>34</v>
      </c>
      <c r="K64" s="13" t="s">
        <v>31</v>
      </c>
      <c r="L64" s="13" t="s">
        <v>35</v>
      </c>
      <c r="M64" s="17"/>
      <c r="O64" s="16" t="s">
        <v>33</v>
      </c>
      <c r="P64" s="13" t="s">
        <v>34</v>
      </c>
      <c r="Q64" s="13" t="s">
        <v>31</v>
      </c>
      <c r="R64" s="13" t="s">
        <v>35</v>
      </c>
      <c r="T64" s="185"/>
      <c r="U64" s="21"/>
      <c r="V64" s="16" t="s">
        <v>33</v>
      </c>
      <c r="W64" s="13" t="s">
        <v>34</v>
      </c>
      <c r="X64" s="13" t="s">
        <v>31</v>
      </c>
      <c r="Y64" s="13" t="s">
        <v>35</v>
      </c>
      <c r="Z64" s="17"/>
      <c r="AB64" s="16" t="s">
        <v>33</v>
      </c>
      <c r="AC64" s="13" t="s">
        <v>34</v>
      </c>
      <c r="AD64" s="13" t="s">
        <v>31</v>
      </c>
      <c r="AE64" s="13" t="s">
        <v>35</v>
      </c>
      <c r="AF64" s="17"/>
      <c r="AH64" s="16" t="s">
        <v>33</v>
      </c>
      <c r="AI64" s="13" t="s">
        <v>34</v>
      </c>
      <c r="AJ64" s="13" t="s">
        <v>31</v>
      </c>
      <c r="AK64" s="13" t="s">
        <v>35</v>
      </c>
      <c r="AM64" s="150" t="s">
        <v>80</v>
      </c>
      <c r="AN64" s="151"/>
      <c r="AO64" s="152" t="str">
        <f t="shared" ref="AO64" si="1227">AO63</f>
        <v>F</v>
      </c>
      <c r="AP64" s="152" t="str">
        <f t="shared" ref="AP64" si="1228">IF(ISERROR(SEARCH("Not",$AM66)),AP63,AR63)</f>
        <v>*</v>
      </c>
      <c r="AQ64" s="152" t="str">
        <f t="shared" ref="AQ64" si="1229">IF(ISERROR(SEARCH("Not",$AM66)),AQ63,AU63)</f>
        <v>T</v>
      </c>
      <c r="AR64" s="152" t="str">
        <f t="shared" ref="AR64" si="1230">IF(ISERROR(SEARCH("Not",$AM66)),AR63,AP63)</f>
        <v>*</v>
      </c>
      <c r="AS64" s="152" t="str">
        <f t="shared" ref="AS64" si="1231">AS63</f>
        <v>F</v>
      </c>
      <c r="AT64" s="152" t="str">
        <f t="shared" ref="AT64" si="1232">IF(ISERROR(SEARCH("Not",$AM66)),AT63,AV63)</f>
        <v>*</v>
      </c>
      <c r="AU64" s="152" t="str">
        <f t="shared" ref="AU64" si="1233">IF(ISERROR(SEARCH("Not",$AM66)),AU63,AQ63)</f>
        <v>T</v>
      </c>
      <c r="AV64" s="152" t="str">
        <f t="shared" ref="AV64" si="1234">IF(ISERROR(SEARCH("Not",$AM66)),AV63,AT63)</f>
        <v>*</v>
      </c>
      <c r="AW64" s="152" t="str">
        <f t="shared" ref="AW64" si="1235">AW63</f>
        <v>*</v>
      </c>
      <c r="AX64" s="152"/>
      <c r="AY64" s="152" t="str">
        <f t="shared" ref="AY64" si="1236">AY63</f>
        <v>F</v>
      </c>
      <c r="AZ64" s="152" t="str">
        <f t="shared" ref="AZ64" si="1237">IF(ISERROR(SEARCH("Not",$AM66)),AZ63,BB63)</f>
        <v>*</v>
      </c>
      <c r="BA64" s="152" t="str">
        <f t="shared" ref="BA64" si="1238">IF(ISERROR(SEARCH("Not",$AM66)),BA63,BE63)</f>
        <v>*</v>
      </c>
      <c r="BB64" s="152" t="str">
        <f t="shared" ref="BB64" si="1239">IF(ISERROR(SEARCH("Not",$AM66)),BB63,AZ63)</f>
        <v>*</v>
      </c>
      <c r="BC64" s="152" t="str">
        <f t="shared" ref="BC64" si="1240">BC63</f>
        <v>*</v>
      </c>
      <c r="BD64" s="152" t="str">
        <f t="shared" ref="BD64" si="1241">IF(ISERROR(SEARCH("Not",$AM66)),BD63,BF63)</f>
        <v>*</v>
      </c>
      <c r="BE64" s="152" t="str">
        <f t="shared" ref="BE64" si="1242">IF(ISERROR(SEARCH("Not",$AM66)),BE63,BA63)</f>
        <v>*</v>
      </c>
      <c r="BF64" s="152" t="str">
        <f t="shared" ref="BF64" si="1243">IF(ISERROR(SEARCH("Not",$AM66)),BF63,BD63)</f>
        <v>*</v>
      </c>
      <c r="BG64" s="152" t="str">
        <f t="shared" ref="BG64" si="1244">BG63</f>
        <v>*</v>
      </c>
      <c r="BH64" s="152"/>
      <c r="BI64" s="152" t="str">
        <f t="shared" ref="BI64" si="1245">BI63</f>
        <v>T</v>
      </c>
      <c r="BJ64" s="152" t="str">
        <f t="shared" ref="BJ64" si="1246">IF(ISERROR(SEARCH("Not",$AM66)),BJ63,BL63)</f>
        <v>*</v>
      </c>
      <c r="BK64" s="152" t="str">
        <f t="shared" ref="BK64" si="1247">IF(ISERROR(SEARCH("Not",$AM66)),BK63,BO63)</f>
        <v>F</v>
      </c>
      <c r="BL64" s="152" t="str">
        <f t="shared" ref="BL64" si="1248">IF(ISERROR(SEARCH("Not",$AM66)),BL63,BJ63)</f>
        <v>*</v>
      </c>
      <c r="BM64" s="152" t="str">
        <f t="shared" ref="BM64" si="1249">BM63</f>
        <v>*</v>
      </c>
      <c r="BN64" s="152" t="str">
        <f t="shared" ref="BN64" si="1250">IF(ISERROR(SEARCH("Not",$AM66)),BN63,BP63)</f>
        <v>*</v>
      </c>
      <c r="BO64" s="152" t="str">
        <f t="shared" ref="BO64" si="1251">IF(ISERROR(SEARCH("Not",$AM66)),BO63,BK63)</f>
        <v>T</v>
      </c>
      <c r="BP64" s="152" t="str">
        <f t="shared" ref="BP64" si="1252">IF(ISERROR(SEARCH("Not",$AM66)),BP63,BN63)</f>
        <v>*</v>
      </c>
      <c r="BQ64" s="152" t="str">
        <f t="shared" ref="BQ64" si="1253">BQ63</f>
        <v>*</v>
      </c>
      <c r="BR64" s="124"/>
    </row>
    <row r="65" spans="1:70" ht="15" customHeight="1" thickTop="1" thickBot="1" x14ac:dyDescent="0.3">
      <c r="A65" s="185"/>
      <c r="B65" s="207" t="s">
        <v>36</v>
      </c>
      <c r="C65" s="13" t="s">
        <v>34</v>
      </c>
      <c r="D65" s="97" t="str">
        <f>'DE-9IM Matrixes'!D64</f>
        <v>F</v>
      </c>
      <c r="E65" s="98" t="str">
        <f>'DE-9IM Matrixes'!E64</f>
        <v>*</v>
      </c>
      <c r="F65" s="99" t="str">
        <f>'DE-9IM Matrixes'!F64</f>
        <v>T</v>
      </c>
      <c r="G65" s="17"/>
      <c r="H65" s="209" t="s">
        <v>36</v>
      </c>
      <c r="I65" s="13" t="s">
        <v>34</v>
      </c>
      <c r="J65" s="97" t="str">
        <f>'DE-9IM Matrixes'!J64</f>
        <v>F</v>
      </c>
      <c r="K65" s="98" t="str">
        <f>'DE-9IM Matrixes'!K64</f>
        <v>*</v>
      </c>
      <c r="L65" s="99" t="str">
        <f>'DE-9IM Matrixes'!L64</f>
        <v>*</v>
      </c>
      <c r="M65" s="17"/>
      <c r="N65" s="211" t="s">
        <v>36</v>
      </c>
      <c r="O65" s="13" t="s">
        <v>34</v>
      </c>
      <c r="P65" s="97" t="str">
        <f>'DE-9IM Matrixes'!P64</f>
        <v>T</v>
      </c>
      <c r="Q65" s="98" t="str">
        <f>'DE-9IM Matrixes'!Q64</f>
        <v>*</v>
      </c>
      <c r="R65" s="99" t="str">
        <f>'DE-9IM Matrixes'!R64</f>
        <v>T</v>
      </c>
      <c r="T65" s="185"/>
      <c r="U65" s="207" t="s">
        <v>36</v>
      </c>
      <c r="V65" s="13" t="s">
        <v>34</v>
      </c>
      <c r="W65" s="101" t="str">
        <f>D65</f>
        <v>F</v>
      </c>
      <c r="X65" s="102" t="str">
        <f>D66</f>
        <v>*</v>
      </c>
      <c r="Y65" s="103" t="str">
        <f>D67</f>
        <v>T</v>
      </c>
      <c r="Z65" s="17"/>
      <c r="AA65" s="209" t="s">
        <v>36</v>
      </c>
      <c r="AB65" s="13" t="s">
        <v>34</v>
      </c>
      <c r="AC65" s="101" t="str">
        <f>J65</f>
        <v>F</v>
      </c>
      <c r="AD65" s="102" t="str">
        <f>J66</f>
        <v>*</v>
      </c>
      <c r="AE65" s="103" t="str">
        <f>J67</f>
        <v>*</v>
      </c>
      <c r="AF65" s="17"/>
      <c r="AG65" s="211" t="s">
        <v>36</v>
      </c>
      <c r="AH65" s="13" t="s">
        <v>34</v>
      </c>
      <c r="AI65" s="101" t="str">
        <f>P65</f>
        <v>T</v>
      </c>
      <c r="AJ65" s="102" t="str">
        <f>P66</f>
        <v>*</v>
      </c>
      <c r="AK65" s="103" t="str">
        <f>P67</f>
        <v>F</v>
      </c>
      <c r="AM65" s="24" t="str">
        <f t="shared" ref="AM65" si="1254">T63</f>
        <v>B Shelters A</v>
      </c>
      <c r="AN65" s="25"/>
      <c r="AO65" s="83" t="str">
        <f t="shared" ref="AO65" si="1255">W65</f>
        <v>F</v>
      </c>
      <c r="AP65" s="87" t="str">
        <f t="shared" ref="AP65" si="1256">X65</f>
        <v>*</v>
      </c>
      <c r="AQ65" s="89" t="str">
        <f t="shared" ref="AQ65" si="1257">Y65</f>
        <v>T</v>
      </c>
      <c r="AR65" s="86" t="str">
        <f t="shared" ref="AR65" si="1258">W66</f>
        <v>*</v>
      </c>
      <c r="AS65" s="84" t="str">
        <f t="shared" ref="AS65" si="1259">X66</f>
        <v>F</v>
      </c>
      <c r="AT65" s="91" t="str">
        <f t="shared" ref="AT65" si="1260">Y66</f>
        <v>*</v>
      </c>
      <c r="AU65" s="79" t="str">
        <f t="shared" ref="AU65:AW65" si="1261">W67</f>
        <v>T</v>
      </c>
      <c r="AV65" s="81" t="str">
        <f t="shared" si="1261"/>
        <v>*</v>
      </c>
      <c r="AW65" s="85" t="str">
        <f t="shared" si="1261"/>
        <v>*</v>
      </c>
      <c r="AX65" s="25"/>
      <c r="AY65" s="83" t="str">
        <f t="shared" ref="AY65" si="1262">AC65</f>
        <v>F</v>
      </c>
      <c r="AZ65" s="87" t="str">
        <f t="shared" ref="AZ65" si="1263">AD65</f>
        <v>*</v>
      </c>
      <c r="BA65" s="89" t="str">
        <f t="shared" ref="BA65" si="1264">AE65</f>
        <v>*</v>
      </c>
      <c r="BB65" s="86" t="str">
        <f t="shared" ref="BB65" si="1265">AC66</f>
        <v>*</v>
      </c>
      <c r="BC65" s="84" t="str">
        <f t="shared" ref="BC65" si="1266">AD66</f>
        <v>*</v>
      </c>
      <c r="BD65" s="91" t="str">
        <f t="shared" ref="BD65" si="1267">AE66</f>
        <v>*</v>
      </c>
      <c r="BE65" s="79" t="str">
        <f t="shared" ref="BE65:BG65" si="1268">AC67</f>
        <v>*</v>
      </c>
      <c r="BF65" s="81" t="str">
        <f t="shared" si="1268"/>
        <v>*</v>
      </c>
      <c r="BG65" s="85" t="str">
        <f t="shared" si="1268"/>
        <v>*</v>
      </c>
      <c r="BH65" s="25"/>
      <c r="BI65" s="83" t="str">
        <f t="shared" ref="BI65" si="1269">AI65</f>
        <v>T</v>
      </c>
      <c r="BJ65" s="87" t="str">
        <f t="shared" ref="BJ65" si="1270">AJ65</f>
        <v>*</v>
      </c>
      <c r="BK65" s="89" t="str">
        <f t="shared" ref="BK65" si="1271">AK65</f>
        <v>F</v>
      </c>
      <c r="BL65" s="86" t="str">
        <f t="shared" ref="BL65" si="1272">AI66</f>
        <v>*</v>
      </c>
      <c r="BM65" s="84" t="str">
        <f t="shared" ref="BM65" si="1273">AJ66</f>
        <v>*</v>
      </c>
      <c r="BN65" s="91" t="str">
        <f t="shared" ref="BN65" si="1274">AK66</f>
        <v>*</v>
      </c>
      <c r="BO65" s="79" t="str">
        <f t="shared" ref="BO65:BQ65" si="1275">AI67</f>
        <v>T</v>
      </c>
      <c r="BP65" s="81" t="str">
        <f t="shared" si="1275"/>
        <v>*</v>
      </c>
      <c r="BQ65" s="85" t="str">
        <f t="shared" si="1275"/>
        <v>*</v>
      </c>
      <c r="BR65" s="28"/>
    </row>
    <row r="66" spans="1:70" ht="15" customHeight="1" x14ac:dyDescent="0.25">
      <c r="A66" s="185"/>
      <c r="B66" s="207"/>
      <c r="C66" s="13" t="s">
        <v>31</v>
      </c>
      <c r="D66" s="92" t="str">
        <f>'DE-9IM Matrixes'!D65</f>
        <v>*</v>
      </c>
      <c r="E66" s="93" t="str">
        <f>'DE-9IM Matrixes'!E65</f>
        <v>F</v>
      </c>
      <c r="F66" s="94" t="str">
        <f>'DE-9IM Matrixes'!F65</f>
        <v>*</v>
      </c>
      <c r="G66" s="17"/>
      <c r="H66" s="209"/>
      <c r="I66" s="13" t="s">
        <v>31</v>
      </c>
      <c r="J66" s="92" t="str">
        <f>'DE-9IM Matrixes'!J65</f>
        <v>*</v>
      </c>
      <c r="K66" s="93" t="str">
        <f>'DE-9IM Matrixes'!K65</f>
        <v>*</v>
      </c>
      <c r="L66" s="94" t="str">
        <f>'DE-9IM Matrixes'!L65</f>
        <v>*</v>
      </c>
      <c r="M66" s="17"/>
      <c r="N66" s="211"/>
      <c r="O66" s="13" t="s">
        <v>31</v>
      </c>
      <c r="P66" s="92" t="str">
        <f>'DE-9IM Matrixes'!P65</f>
        <v>*</v>
      </c>
      <c r="Q66" s="93" t="str">
        <f>'DE-9IM Matrixes'!Q65</f>
        <v>*</v>
      </c>
      <c r="R66" s="94" t="str">
        <f>'DE-9IM Matrixes'!R65</f>
        <v>*</v>
      </c>
      <c r="T66" s="185"/>
      <c r="U66" s="207"/>
      <c r="V66" s="13" t="s">
        <v>31</v>
      </c>
      <c r="W66" s="105" t="str">
        <f>E65</f>
        <v>*</v>
      </c>
      <c r="X66" s="106" t="str">
        <f>E66</f>
        <v>F</v>
      </c>
      <c r="Y66" s="107" t="str">
        <f>E67</f>
        <v>*</v>
      </c>
      <c r="Z66" s="17"/>
      <c r="AA66" s="209"/>
      <c r="AB66" s="13" t="s">
        <v>31</v>
      </c>
      <c r="AC66" s="105" t="str">
        <f>K65</f>
        <v>*</v>
      </c>
      <c r="AD66" s="106" t="str">
        <f>K66</f>
        <v>*</v>
      </c>
      <c r="AE66" s="107" t="str">
        <f>K67</f>
        <v>*</v>
      </c>
      <c r="AF66" s="17"/>
      <c r="AG66" s="211"/>
      <c r="AH66" s="13" t="s">
        <v>31</v>
      </c>
      <c r="AI66" s="105" t="str">
        <f>Q65</f>
        <v>*</v>
      </c>
      <c r="AJ66" s="106" t="str">
        <f>Q66</f>
        <v>*</v>
      </c>
      <c r="AK66" s="107" t="str">
        <f>Q67</f>
        <v>*</v>
      </c>
      <c r="AM66" s="149" t="s">
        <v>79</v>
      </c>
      <c r="AN66" s="120"/>
      <c r="AO66" s="120" t="str">
        <f t="shared" ref="AO66" si="1276">IF(AO64=AO65,"","X")</f>
        <v/>
      </c>
      <c r="AP66" s="120" t="str">
        <f t="shared" ref="AP66" si="1277">IF(AP64=AP65,"","X")</f>
        <v/>
      </c>
      <c r="AQ66" s="120" t="str">
        <f t="shared" ref="AQ66" si="1278">IF(AQ64=AQ65,"","X")</f>
        <v/>
      </c>
      <c r="AR66" s="120" t="str">
        <f t="shared" ref="AR66" si="1279">IF(AR64=AR65,"","X")</f>
        <v/>
      </c>
      <c r="AS66" s="120" t="str">
        <f t="shared" ref="AS66" si="1280">IF(AS64=AS65,"","X")</f>
        <v/>
      </c>
      <c r="AT66" s="120" t="str">
        <f t="shared" ref="AT66" si="1281">IF(AT64=AT65,"","X")</f>
        <v/>
      </c>
      <c r="AU66" s="120" t="str">
        <f t="shared" ref="AU66" si="1282">IF(AU64=AU65,"","X")</f>
        <v/>
      </c>
      <c r="AV66" s="120" t="str">
        <f t="shared" ref="AV66" si="1283">IF(AV64=AV65,"","X")</f>
        <v/>
      </c>
      <c r="AW66" s="120" t="str">
        <f t="shared" ref="AW66" si="1284">IF(AW64=AW65,"","X")</f>
        <v/>
      </c>
      <c r="AX66" s="120" t="str">
        <f t="shared" ref="AX66" si="1285">IF(AX64=AX65,"","X")</f>
        <v/>
      </c>
      <c r="AY66" s="120" t="str">
        <f t="shared" ref="AY66" si="1286">IF(AY64=AY65,"","X")</f>
        <v/>
      </c>
      <c r="AZ66" s="120" t="str">
        <f t="shared" ref="AZ66" si="1287">IF(AZ64=AZ65,"","X")</f>
        <v/>
      </c>
      <c r="BA66" s="120" t="str">
        <f t="shared" ref="BA66" si="1288">IF(BA64=BA65,"","X")</f>
        <v/>
      </c>
      <c r="BB66" s="120" t="str">
        <f t="shared" ref="BB66" si="1289">IF(BB64=BB65,"","X")</f>
        <v/>
      </c>
      <c r="BC66" s="120" t="str">
        <f t="shared" ref="BC66" si="1290">IF(BC64=BC65,"","X")</f>
        <v/>
      </c>
      <c r="BD66" s="120" t="str">
        <f t="shared" ref="BD66" si="1291">IF(BD64=BD65,"","X")</f>
        <v/>
      </c>
      <c r="BE66" s="120" t="str">
        <f t="shared" ref="BE66" si="1292">IF(BE64=BE65,"","X")</f>
        <v/>
      </c>
      <c r="BF66" s="120" t="str">
        <f t="shared" ref="BF66" si="1293">IF(BF64=BF65,"","X")</f>
        <v/>
      </c>
      <c r="BG66" s="120" t="str">
        <f t="shared" ref="BG66" si="1294">IF(BG64=BG65,"","X")</f>
        <v/>
      </c>
      <c r="BH66" s="120" t="str">
        <f t="shared" ref="BH66" si="1295">IF(BH64=BH65,"","X")</f>
        <v/>
      </c>
      <c r="BI66" s="120" t="str">
        <f t="shared" ref="BI66" si="1296">IF(BI64=BI65,"","X")</f>
        <v/>
      </c>
      <c r="BJ66" s="120" t="str">
        <f t="shared" ref="BJ66" si="1297">IF(BJ64=BJ65,"","X")</f>
        <v/>
      </c>
      <c r="BK66" s="120" t="str">
        <f t="shared" ref="BK66" si="1298">IF(BK64=BK65,"","X")</f>
        <v/>
      </c>
      <c r="BL66" s="120" t="str">
        <f t="shared" ref="BL66" si="1299">IF(BL64=BL65,"","X")</f>
        <v/>
      </c>
      <c r="BM66" s="120" t="str">
        <f t="shared" ref="BM66" si="1300">IF(BM64=BM65,"","X")</f>
        <v/>
      </c>
      <c r="BN66" s="120" t="str">
        <f t="shared" ref="BN66" si="1301">IF(BN64=BN65,"","X")</f>
        <v/>
      </c>
      <c r="BO66" s="120" t="str">
        <f t="shared" ref="BO66" si="1302">IF(BO64=BO65,"","X")</f>
        <v/>
      </c>
      <c r="BP66" s="120" t="str">
        <f t="shared" ref="BP66" si="1303">IF(BP64=BP65,"","X")</f>
        <v/>
      </c>
      <c r="BQ66" s="120" t="str">
        <f t="shared" ref="BQ66" si="1304">IF(BQ64=BQ65,"","X")</f>
        <v/>
      </c>
      <c r="BR66" s="120" t="str">
        <f t="shared" ref="BR66" si="1305">IF(BR64=BR65,"","X")</f>
        <v/>
      </c>
    </row>
    <row r="67" spans="1:70" ht="15" customHeight="1" thickBot="1" x14ac:dyDescent="0.3">
      <c r="A67" s="203"/>
      <c r="B67" s="208"/>
      <c r="C67" s="13" t="s">
        <v>35</v>
      </c>
      <c r="D67" s="95" t="str">
        <f>'DE-9IM Matrixes'!D66</f>
        <v>T</v>
      </c>
      <c r="E67" s="96" t="str">
        <f>'DE-9IM Matrixes'!E66</f>
        <v>*</v>
      </c>
      <c r="F67" s="111" t="str">
        <f>'DE-9IM Matrixes'!F66</f>
        <v>*</v>
      </c>
      <c r="G67" s="19"/>
      <c r="H67" s="210"/>
      <c r="I67" s="13" t="s">
        <v>35</v>
      </c>
      <c r="J67" s="95" t="str">
        <f>'DE-9IM Matrixes'!J66</f>
        <v>*</v>
      </c>
      <c r="K67" s="96" t="str">
        <f>'DE-9IM Matrixes'!K66</f>
        <v>*</v>
      </c>
      <c r="L67" s="111" t="str">
        <f>'DE-9IM Matrixes'!L66</f>
        <v>*</v>
      </c>
      <c r="M67" s="19"/>
      <c r="N67" s="212"/>
      <c r="O67" s="13" t="s">
        <v>35</v>
      </c>
      <c r="P67" s="95" t="str">
        <f>'DE-9IM Matrixes'!P66</f>
        <v>F</v>
      </c>
      <c r="Q67" s="96" t="str">
        <f>'DE-9IM Matrixes'!Q66</f>
        <v>*</v>
      </c>
      <c r="R67" s="111" t="str">
        <f>'DE-9IM Matrixes'!R66</f>
        <v>*</v>
      </c>
      <c r="T67" s="186"/>
      <c r="U67" s="208"/>
      <c r="V67" s="13" t="s">
        <v>35</v>
      </c>
      <c r="W67" s="109" t="str">
        <f>F65</f>
        <v>T</v>
      </c>
      <c r="X67" s="110" t="str">
        <f>F66</f>
        <v>*</v>
      </c>
      <c r="Y67" s="112" t="str">
        <f>F67</f>
        <v>*</v>
      </c>
      <c r="Z67" s="19"/>
      <c r="AA67" s="210"/>
      <c r="AB67" s="13" t="s">
        <v>35</v>
      </c>
      <c r="AC67" s="109" t="str">
        <f>L65</f>
        <v>*</v>
      </c>
      <c r="AD67" s="110" t="str">
        <f>L66</f>
        <v>*</v>
      </c>
      <c r="AE67" s="112" t="str">
        <f>L67</f>
        <v>*</v>
      </c>
      <c r="AF67" s="19"/>
      <c r="AG67" s="212"/>
      <c r="AH67" s="13" t="s">
        <v>35</v>
      </c>
      <c r="AI67" s="109" t="str">
        <f>R65</f>
        <v>T</v>
      </c>
      <c r="AJ67" s="110" t="str">
        <f>R66</f>
        <v>*</v>
      </c>
      <c r="AK67" s="112" t="str">
        <f>R67</f>
        <v>*</v>
      </c>
      <c r="AN67"/>
      <c r="AX67"/>
      <c r="BH67"/>
      <c r="BR67"/>
    </row>
    <row r="68" spans="1:70" ht="15" customHeight="1" thickTop="1" thickBot="1" x14ac:dyDescent="0.3">
      <c r="A68" s="184" t="str">
        <f>'DE-9IM Matrixes'!A67</f>
        <v>A is Sheltered by B</v>
      </c>
      <c r="B68" s="20"/>
      <c r="C68" s="11"/>
      <c r="D68" s="206" t="s">
        <v>31</v>
      </c>
      <c r="E68" s="206"/>
      <c r="F68" s="206"/>
      <c r="G68" s="12"/>
      <c r="H68" s="11"/>
      <c r="I68" s="11"/>
      <c r="J68" s="206" t="s">
        <v>31</v>
      </c>
      <c r="K68" s="206"/>
      <c r="L68" s="206"/>
      <c r="M68" s="12"/>
      <c r="N68" s="11"/>
      <c r="O68" s="11"/>
      <c r="P68" s="206" t="s">
        <v>31</v>
      </c>
      <c r="Q68" s="206"/>
      <c r="R68" s="206"/>
      <c r="T68" s="194" t="str">
        <f t="shared" ref="T68" si="1306">SUBSTITUTE(SUBSTITUTE(SUBSTITUTE(SUBSTITUTE(A68,"A","x"),"B","A"),"x","B"),"Ao","Bo")</f>
        <v>B is Sheltered by A</v>
      </c>
      <c r="U68" s="20"/>
      <c r="V68" s="11"/>
      <c r="W68" s="206" t="s">
        <v>31</v>
      </c>
      <c r="X68" s="206"/>
      <c r="Y68" s="206"/>
      <c r="Z68" s="12"/>
      <c r="AA68" s="11"/>
      <c r="AB68" s="11"/>
      <c r="AC68" s="206" t="s">
        <v>31</v>
      </c>
      <c r="AD68" s="206"/>
      <c r="AE68" s="206"/>
      <c r="AF68" s="12"/>
      <c r="AG68" s="11"/>
      <c r="AH68" s="11"/>
      <c r="AI68" s="206" t="s">
        <v>31</v>
      </c>
      <c r="AJ68" s="206"/>
      <c r="AK68" s="206"/>
      <c r="AM68" s="24" t="str">
        <f t="shared" ref="AM68" si="1307">A68</f>
        <v>A is Sheltered by B</v>
      </c>
      <c r="AN68" s="25"/>
      <c r="AO68" s="83" t="str">
        <f t="shared" ref="AO68" si="1308">D70</f>
        <v>F</v>
      </c>
      <c r="AP68" s="86" t="str">
        <f t="shared" ref="AP68" si="1309">E70</f>
        <v>*</v>
      </c>
      <c r="AQ68" s="88" t="str">
        <f t="shared" ref="AQ68" si="1310">F70</f>
        <v>T</v>
      </c>
      <c r="AR68" s="87" t="str">
        <f t="shared" ref="AR68" si="1311">D71</f>
        <v>*</v>
      </c>
      <c r="AS68" s="84" t="str">
        <f t="shared" ref="AS68" si="1312">E71</f>
        <v>F</v>
      </c>
      <c r="AT68" s="90" t="str">
        <f t="shared" ref="AT68" si="1313">F71</f>
        <v>*</v>
      </c>
      <c r="AU68" s="80" t="str">
        <f t="shared" ref="AU68" si="1314">D72</f>
        <v>T</v>
      </c>
      <c r="AV68" s="82" t="str">
        <f t="shared" ref="AV68" si="1315">E72</f>
        <v>*</v>
      </c>
      <c r="AW68" s="85" t="str">
        <f t="shared" ref="AW68" si="1316">F72</f>
        <v>*</v>
      </c>
      <c r="AX68" s="25"/>
      <c r="AY68" s="83" t="str">
        <f t="shared" ref="AY68" si="1317">J70</f>
        <v>F</v>
      </c>
      <c r="AZ68" s="86" t="str">
        <f t="shared" ref="AZ68" si="1318">K70</f>
        <v>*</v>
      </c>
      <c r="BA68" s="88" t="str">
        <f t="shared" ref="BA68" si="1319">L70</f>
        <v>*</v>
      </c>
      <c r="BB68" s="87" t="str">
        <f t="shared" ref="BB68" si="1320">J71</f>
        <v>*</v>
      </c>
      <c r="BC68" s="84" t="str">
        <f t="shared" ref="BC68" si="1321">K71</f>
        <v>*</v>
      </c>
      <c r="BD68" s="90" t="str">
        <f t="shared" ref="BD68" si="1322">L71</f>
        <v>*</v>
      </c>
      <c r="BE68" s="80" t="str">
        <f t="shared" ref="BE68" si="1323">J72</f>
        <v>*</v>
      </c>
      <c r="BF68" s="82" t="str">
        <f t="shared" ref="BF68" si="1324">K72</f>
        <v>*</v>
      </c>
      <c r="BG68" s="85" t="str">
        <f t="shared" ref="BG68" si="1325">L72</f>
        <v>*</v>
      </c>
      <c r="BH68" s="25"/>
      <c r="BI68" s="83" t="str">
        <f t="shared" ref="BI68" si="1326">P70</f>
        <v>T</v>
      </c>
      <c r="BJ68" s="86" t="str">
        <f t="shared" ref="BJ68" si="1327">Q70</f>
        <v>*</v>
      </c>
      <c r="BK68" s="88" t="str">
        <f t="shared" ref="BK68" si="1328">R70</f>
        <v>F</v>
      </c>
      <c r="BL68" s="87" t="str">
        <f t="shared" ref="BL68" si="1329">P71</f>
        <v>*</v>
      </c>
      <c r="BM68" s="84" t="str">
        <f t="shared" ref="BM68" si="1330">Q71</f>
        <v>*</v>
      </c>
      <c r="BN68" s="90" t="str">
        <f t="shared" ref="BN68" si="1331">R71</f>
        <v>*</v>
      </c>
      <c r="BO68" s="80" t="str">
        <f t="shared" ref="BO68" si="1332">P72</f>
        <v>T</v>
      </c>
      <c r="BP68" s="82" t="str">
        <f t="shared" ref="BP68" si="1333">Q72</f>
        <v>*</v>
      </c>
      <c r="BQ68" s="85" t="str">
        <f t="shared" ref="BQ68" si="1334">R72</f>
        <v>*</v>
      </c>
      <c r="BR68" s="28"/>
    </row>
    <row r="69" spans="1:70" ht="15" customHeight="1" thickTop="1" thickBot="1" x14ac:dyDescent="0.3">
      <c r="A69" s="185"/>
      <c r="B69" s="21"/>
      <c r="C69" s="16" t="s">
        <v>33</v>
      </c>
      <c r="D69" s="13" t="s">
        <v>34</v>
      </c>
      <c r="E69" s="13" t="s">
        <v>31</v>
      </c>
      <c r="F69" s="13" t="s">
        <v>35</v>
      </c>
      <c r="G69" s="17"/>
      <c r="I69" s="16" t="s">
        <v>33</v>
      </c>
      <c r="J69" s="13" t="s">
        <v>34</v>
      </c>
      <c r="K69" s="13" t="s">
        <v>31</v>
      </c>
      <c r="L69" s="13" t="s">
        <v>35</v>
      </c>
      <c r="M69" s="17"/>
      <c r="O69" s="16" t="s">
        <v>33</v>
      </c>
      <c r="P69" s="13" t="s">
        <v>34</v>
      </c>
      <c r="Q69" s="13" t="s">
        <v>31</v>
      </c>
      <c r="R69" s="13" t="s">
        <v>35</v>
      </c>
      <c r="T69" s="185"/>
      <c r="U69" s="21"/>
      <c r="V69" s="16" t="s">
        <v>33</v>
      </c>
      <c r="W69" s="13" t="s">
        <v>34</v>
      </c>
      <c r="X69" s="13" t="s">
        <v>31</v>
      </c>
      <c r="Y69" s="13" t="s">
        <v>35</v>
      </c>
      <c r="Z69" s="17"/>
      <c r="AB69" s="16" t="s">
        <v>33</v>
      </c>
      <c r="AC69" s="13" t="s">
        <v>34</v>
      </c>
      <c r="AD69" s="13" t="s">
        <v>31</v>
      </c>
      <c r="AE69" s="13" t="s">
        <v>35</v>
      </c>
      <c r="AF69" s="17"/>
      <c r="AH69" s="16" t="s">
        <v>33</v>
      </c>
      <c r="AI69" s="13" t="s">
        <v>34</v>
      </c>
      <c r="AJ69" s="13" t="s">
        <v>31</v>
      </c>
      <c r="AK69" s="13" t="s">
        <v>35</v>
      </c>
      <c r="AM69" s="150" t="s">
        <v>80</v>
      </c>
      <c r="AN69" s="151"/>
      <c r="AO69" s="152" t="str">
        <f t="shared" ref="AO69" si="1335">AO68</f>
        <v>F</v>
      </c>
      <c r="AP69" s="152" t="str">
        <f t="shared" ref="AP69" si="1336">IF(ISERROR(SEARCH("Not",$AM71)),AP68,AR68)</f>
        <v>*</v>
      </c>
      <c r="AQ69" s="152" t="str">
        <f t="shared" ref="AQ69" si="1337">IF(ISERROR(SEARCH("Not",$AM71)),AQ68,AU68)</f>
        <v>T</v>
      </c>
      <c r="AR69" s="152" t="str">
        <f t="shared" ref="AR69" si="1338">IF(ISERROR(SEARCH("Not",$AM71)),AR68,AP68)</f>
        <v>*</v>
      </c>
      <c r="AS69" s="152" t="str">
        <f t="shared" ref="AS69" si="1339">AS68</f>
        <v>F</v>
      </c>
      <c r="AT69" s="152" t="str">
        <f t="shared" ref="AT69" si="1340">IF(ISERROR(SEARCH("Not",$AM71)),AT68,AV68)</f>
        <v>*</v>
      </c>
      <c r="AU69" s="152" t="str">
        <f t="shared" ref="AU69" si="1341">IF(ISERROR(SEARCH("Not",$AM71)),AU68,AQ68)</f>
        <v>T</v>
      </c>
      <c r="AV69" s="152" t="str">
        <f t="shared" ref="AV69" si="1342">IF(ISERROR(SEARCH("Not",$AM71)),AV68,AT68)</f>
        <v>*</v>
      </c>
      <c r="AW69" s="152" t="str">
        <f t="shared" ref="AW69" si="1343">AW68</f>
        <v>*</v>
      </c>
      <c r="AX69" s="152"/>
      <c r="AY69" s="152" t="str">
        <f t="shared" ref="AY69" si="1344">AY68</f>
        <v>F</v>
      </c>
      <c r="AZ69" s="152" t="str">
        <f t="shared" ref="AZ69" si="1345">IF(ISERROR(SEARCH("Not",$AM71)),AZ68,BB68)</f>
        <v>*</v>
      </c>
      <c r="BA69" s="152" t="str">
        <f t="shared" ref="BA69" si="1346">IF(ISERROR(SEARCH("Not",$AM71)),BA68,BE68)</f>
        <v>*</v>
      </c>
      <c r="BB69" s="152" t="str">
        <f t="shared" ref="BB69" si="1347">IF(ISERROR(SEARCH("Not",$AM71)),BB68,AZ68)</f>
        <v>*</v>
      </c>
      <c r="BC69" s="152" t="str">
        <f t="shared" ref="BC69" si="1348">BC68</f>
        <v>*</v>
      </c>
      <c r="BD69" s="152" t="str">
        <f t="shared" ref="BD69" si="1349">IF(ISERROR(SEARCH("Not",$AM71)),BD68,BF68)</f>
        <v>*</v>
      </c>
      <c r="BE69" s="152" t="str">
        <f t="shared" ref="BE69" si="1350">IF(ISERROR(SEARCH("Not",$AM71)),BE68,BA68)</f>
        <v>*</v>
      </c>
      <c r="BF69" s="152" t="str">
        <f t="shared" ref="BF69" si="1351">IF(ISERROR(SEARCH("Not",$AM71)),BF68,BD68)</f>
        <v>*</v>
      </c>
      <c r="BG69" s="152" t="str">
        <f t="shared" ref="BG69" si="1352">BG68</f>
        <v>*</v>
      </c>
      <c r="BH69" s="152"/>
      <c r="BI69" s="152" t="str">
        <f t="shared" ref="BI69" si="1353">BI68</f>
        <v>T</v>
      </c>
      <c r="BJ69" s="152" t="str">
        <f t="shared" ref="BJ69" si="1354">IF(ISERROR(SEARCH("Not",$AM71)),BJ68,BL68)</f>
        <v>*</v>
      </c>
      <c r="BK69" s="152" t="str">
        <f t="shared" ref="BK69" si="1355">IF(ISERROR(SEARCH("Not",$AM71)),BK68,BO68)</f>
        <v>T</v>
      </c>
      <c r="BL69" s="152" t="str">
        <f t="shared" ref="BL69" si="1356">IF(ISERROR(SEARCH("Not",$AM71)),BL68,BJ68)</f>
        <v>*</v>
      </c>
      <c r="BM69" s="152" t="str">
        <f t="shared" ref="BM69" si="1357">BM68</f>
        <v>*</v>
      </c>
      <c r="BN69" s="152" t="str">
        <f t="shared" ref="BN69" si="1358">IF(ISERROR(SEARCH("Not",$AM71)),BN68,BP68)</f>
        <v>*</v>
      </c>
      <c r="BO69" s="152" t="str">
        <f t="shared" ref="BO69" si="1359">IF(ISERROR(SEARCH("Not",$AM71)),BO68,BK68)</f>
        <v>F</v>
      </c>
      <c r="BP69" s="152" t="str">
        <f t="shared" ref="BP69" si="1360">IF(ISERROR(SEARCH("Not",$AM71)),BP68,BN68)</f>
        <v>*</v>
      </c>
      <c r="BQ69" s="152" t="str">
        <f t="shared" ref="BQ69" si="1361">BQ68</f>
        <v>*</v>
      </c>
      <c r="BR69" s="124"/>
    </row>
    <row r="70" spans="1:70" ht="15" customHeight="1" thickTop="1" thickBot="1" x14ac:dyDescent="0.3">
      <c r="A70" s="185"/>
      <c r="B70" s="207" t="s">
        <v>36</v>
      </c>
      <c r="C70" s="13" t="s">
        <v>34</v>
      </c>
      <c r="D70" s="97" t="str">
        <f>'DE-9IM Matrixes'!D69</f>
        <v>F</v>
      </c>
      <c r="E70" s="98" t="str">
        <f>'DE-9IM Matrixes'!E69</f>
        <v>*</v>
      </c>
      <c r="F70" s="99" t="str">
        <f>'DE-9IM Matrixes'!F69</f>
        <v>T</v>
      </c>
      <c r="G70" s="17"/>
      <c r="H70" s="209" t="s">
        <v>36</v>
      </c>
      <c r="I70" s="13" t="s">
        <v>34</v>
      </c>
      <c r="J70" s="97" t="str">
        <f>'DE-9IM Matrixes'!J69</f>
        <v>F</v>
      </c>
      <c r="K70" s="98" t="str">
        <f>'DE-9IM Matrixes'!K69</f>
        <v>*</v>
      </c>
      <c r="L70" s="99" t="str">
        <f>'DE-9IM Matrixes'!L69</f>
        <v>*</v>
      </c>
      <c r="M70" s="17"/>
      <c r="N70" s="211" t="s">
        <v>36</v>
      </c>
      <c r="O70" s="13" t="s">
        <v>34</v>
      </c>
      <c r="P70" s="97" t="str">
        <f>'DE-9IM Matrixes'!P69</f>
        <v>T</v>
      </c>
      <c r="Q70" s="98" t="str">
        <f>'DE-9IM Matrixes'!Q69</f>
        <v>*</v>
      </c>
      <c r="R70" s="99" t="str">
        <f>'DE-9IM Matrixes'!R69</f>
        <v>F</v>
      </c>
      <c r="T70" s="185"/>
      <c r="U70" s="207" t="s">
        <v>36</v>
      </c>
      <c r="V70" s="13" t="s">
        <v>34</v>
      </c>
      <c r="W70" s="101" t="str">
        <f>D70</f>
        <v>F</v>
      </c>
      <c r="X70" s="102" t="str">
        <f>D71</f>
        <v>*</v>
      </c>
      <c r="Y70" s="103" t="str">
        <f>D72</f>
        <v>T</v>
      </c>
      <c r="Z70" s="17"/>
      <c r="AA70" s="209" t="s">
        <v>36</v>
      </c>
      <c r="AB70" s="13" t="s">
        <v>34</v>
      </c>
      <c r="AC70" s="101" t="str">
        <f>J70</f>
        <v>F</v>
      </c>
      <c r="AD70" s="102" t="str">
        <f>J71</f>
        <v>*</v>
      </c>
      <c r="AE70" s="103" t="str">
        <f>J72</f>
        <v>*</v>
      </c>
      <c r="AF70" s="17"/>
      <c r="AG70" s="211" t="s">
        <v>36</v>
      </c>
      <c r="AH70" s="13" t="s">
        <v>34</v>
      </c>
      <c r="AI70" s="101" t="str">
        <f>P70</f>
        <v>T</v>
      </c>
      <c r="AJ70" s="102" t="str">
        <f>P71</f>
        <v>*</v>
      </c>
      <c r="AK70" s="103" t="str">
        <f>P72</f>
        <v>T</v>
      </c>
      <c r="AM70" s="24" t="str">
        <f t="shared" ref="AM70" si="1362">T68</f>
        <v>B is Sheltered by A</v>
      </c>
      <c r="AN70" s="25"/>
      <c r="AO70" s="83" t="str">
        <f t="shared" ref="AO70" si="1363">W70</f>
        <v>F</v>
      </c>
      <c r="AP70" s="87" t="str">
        <f t="shared" ref="AP70" si="1364">X70</f>
        <v>*</v>
      </c>
      <c r="AQ70" s="89" t="str">
        <f t="shared" ref="AQ70" si="1365">Y70</f>
        <v>T</v>
      </c>
      <c r="AR70" s="86" t="str">
        <f t="shared" ref="AR70" si="1366">W71</f>
        <v>*</v>
      </c>
      <c r="AS70" s="84" t="str">
        <f t="shared" ref="AS70" si="1367">X71</f>
        <v>F</v>
      </c>
      <c r="AT70" s="91" t="str">
        <f t="shared" ref="AT70" si="1368">Y71</f>
        <v>*</v>
      </c>
      <c r="AU70" s="79" t="str">
        <f t="shared" ref="AU70:AW70" si="1369">W72</f>
        <v>T</v>
      </c>
      <c r="AV70" s="81" t="str">
        <f t="shared" si="1369"/>
        <v>*</v>
      </c>
      <c r="AW70" s="85" t="str">
        <f t="shared" si="1369"/>
        <v>*</v>
      </c>
      <c r="AX70" s="25"/>
      <c r="AY70" s="83" t="str">
        <f t="shared" ref="AY70" si="1370">AC70</f>
        <v>F</v>
      </c>
      <c r="AZ70" s="87" t="str">
        <f t="shared" ref="AZ70" si="1371">AD70</f>
        <v>*</v>
      </c>
      <c r="BA70" s="89" t="str">
        <f t="shared" ref="BA70" si="1372">AE70</f>
        <v>*</v>
      </c>
      <c r="BB70" s="86" t="str">
        <f t="shared" ref="BB70" si="1373">AC71</f>
        <v>*</v>
      </c>
      <c r="BC70" s="84" t="str">
        <f t="shared" ref="BC70" si="1374">AD71</f>
        <v>*</v>
      </c>
      <c r="BD70" s="91" t="str">
        <f t="shared" ref="BD70" si="1375">AE71</f>
        <v>*</v>
      </c>
      <c r="BE70" s="79" t="str">
        <f t="shared" ref="BE70:BG70" si="1376">AC72</f>
        <v>*</v>
      </c>
      <c r="BF70" s="81" t="str">
        <f t="shared" si="1376"/>
        <v>*</v>
      </c>
      <c r="BG70" s="85" t="str">
        <f t="shared" si="1376"/>
        <v>*</v>
      </c>
      <c r="BH70" s="25"/>
      <c r="BI70" s="83" t="str">
        <f t="shared" ref="BI70" si="1377">AI70</f>
        <v>T</v>
      </c>
      <c r="BJ70" s="87" t="str">
        <f t="shared" ref="BJ70" si="1378">AJ70</f>
        <v>*</v>
      </c>
      <c r="BK70" s="89" t="str">
        <f t="shared" ref="BK70" si="1379">AK70</f>
        <v>T</v>
      </c>
      <c r="BL70" s="86" t="str">
        <f t="shared" ref="BL70" si="1380">AI71</f>
        <v>*</v>
      </c>
      <c r="BM70" s="84" t="str">
        <f t="shared" ref="BM70" si="1381">AJ71</f>
        <v>*</v>
      </c>
      <c r="BN70" s="91" t="str">
        <f t="shared" ref="BN70" si="1382">AK71</f>
        <v>*</v>
      </c>
      <c r="BO70" s="79" t="str">
        <f t="shared" ref="BO70:BQ70" si="1383">AI72</f>
        <v>F</v>
      </c>
      <c r="BP70" s="81" t="str">
        <f t="shared" si="1383"/>
        <v>*</v>
      </c>
      <c r="BQ70" s="85" t="str">
        <f t="shared" si="1383"/>
        <v>*</v>
      </c>
      <c r="BR70" s="28"/>
    </row>
    <row r="71" spans="1:70" ht="15" customHeight="1" x14ac:dyDescent="0.25">
      <c r="A71" s="185"/>
      <c r="B71" s="207"/>
      <c r="C71" s="13" t="s">
        <v>31</v>
      </c>
      <c r="D71" s="92" t="str">
        <f>'DE-9IM Matrixes'!D70</f>
        <v>*</v>
      </c>
      <c r="E71" s="93" t="str">
        <f>'DE-9IM Matrixes'!E70</f>
        <v>F</v>
      </c>
      <c r="F71" s="94" t="str">
        <f>'DE-9IM Matrixes'!F70</f>
        <v>*</v>
      </c>
      <c r="G71" s="17"/>
      <c r="H71" s="209"/>
      <c r="I71" s="13" t="s">
        <v>31</v>
      </c>
      <c r="J71" s="92" t="str">
        <f>'DE-9IM Matrixes'!J70</f>
        <v>*</v>
      </c>
      <c r="K71" s="93" t="str">
        <f>'DE-9IM Matrixes'!K70</f>
        <v>*</v>
      </c>
      <c r="L71" s="94" t="str">
        <f>'DE-9IM Matrixes'!L70</f>
        <v>*</v>
      </c>
      <c r="M71" s="17"/>
      <c r="N71" s="211"/>
      <c r="O71" s="13" t="s">
        <v>31</v>
      </c>
      <c r="P71" s="92" t="str">
        <f>'DE-9IM Matrixes'!P70</f>
        <v>*</v>
      </c>
      <c r="Q71" s="93" t="str">
        <f>'DE-9IM Matrixes'!Q70</f>
        <v>*</v>
      </c>
      <c r="R71" s="94" t="str">
        <f>'DE-9IM Matrixes'!R70</f>
        <v>*</v>
      </c>
      <c r="T71" s="185"/>
      <c r="U71" s="207"/>
      <c r="V71" s="13" t="s">
        <v>31</v>
      </c>
      <c r="W71" s="105" t="str">
        <f>E70</f>
        <v>*</v>
      </c>
      <c r="X71" s="106" t="str">
        <f>E71</f>
        <v>F</v>
      </c>
      <c r="Y71" s="107" t="str">
        <f>E72</f>
        <v>*</v>
      </c>
      <c r="Z71" s="17"/>
      <c r="AA71" s="209"/>
      <c r="AB71" s="13" t="s">
        <v>31</v>
      </c>
      <c r="AC71" s="105" t="str">
        <f>K70</f>
        <v>*</v>
      </c>
      <c r="AD71" s="106" t="str">
        <f>K71</f>
        <v>*</v>
      </c>
      <c r="AE71" s="107" t="str">
        <f>K72</f>
        <v>*</v>
      </c>
      <c r="AF71" s="17"/>
      <c r="AG71" s="211"/>
      <c r="AH71" s="13" t="s">
        <v>31</v>
      </c>
      <c r="AI71" s="105" t="str">
        <f>Q70</f>
        <v>*</v>
      </c>
      <c r="AJ71" s="106" t="str">
        <f>Q71</f>
        <v>*</v>
      </c>
      <c r="AK71" s="107" t="str">
        <f>Q72</f>
        <v>*</v>
      </c>
      <c r="AM71" s="149" t="s">
        <v>79</v>
      </c>
      <c r="AN71" s="120"/>
      <c r="AO71" s="120" t="str">
        <f t="shared" ref="AO71" si="1384">IF(AO69=AO70,"","X")</f>
        <v/>
      </c>
      <c r="AP71" s="120" t="str">
        <f t="shared" ref="AP71" si="1385">IF(AP69=AP70,"","X")</f>
        <v/>
      </c>
      <c r="AQ71" s="120" t="str">
        <f t="shared" ref="AQ71" si="1386">IF(AQ69=AQ70,"","X")</f>
        <v/>
      </c>
      <c r="AR71" s="120" t="str">
        <f t="shared" ref="AR71" si="1387">IF(AR69=AR70,"","X")</f>
        <v/>
      </c>
      <c r="AS71" s="120" t="str">
        <f t="shared" ref="AS71" si="1388">IF(AS69=AS70,"","X")</f>
        <v/>
      </c>
      <c r="AT71" s="120" t="str">
        <f t="shared" ref="AT71" si="1389">IF(AT69=AT70,"","X")</f>
        <v/>
      </c>
      <c r="AU71" s="120" t="str">
        <f t="shared" ref="AU71" si="1390">IF(AU69=AU70,"","X")</f>
        <v/>
      </c>
      <c r="AV71" s="120" t="str">
        <f t="shared" ref="AV71" si="1391">IF(AV69=AV70,"","X")</f>
        <v/>
      </c>
      <c r="AW71" s="120" t="str">
        <f t="shared" ref="AW71" si="1392">IF(AW69=AW70,"","X")</f>
        <v/>
      </c>
      <c r="AX71" s="120" t="str">
        <f t="shared" ref="AX71" si="1393">IF(AX69=AX70,"","X")</f>
        <v/>
      </c>
      <c r="AY71" s="120" t="str">
        <f t="shared" ref="AY71" si="1394">IF(AY69=AY70,"","X")</f>
        <v/>
      </c>
      <c r="AZ71" s="120" t="str">
        <f t="shared" ref="AZ71" si="1395">IF(AZ69=AZ70,"","X")</f>
        <v/>
      </c>
      <c r="BA71" s="120" t="str">
        <f t="shared" ref="BA71" si="1396">IF(BA69=BA70,"","X")</f>
        <v/>
      </c>
      <c r="BB71" s="120" t="str">
        <f t="shared" ref="BB71" si="1397">IF(BB69=BB70,"","X")</f>
        <v/>
      </c>
      <c r="BC71" s="120" t="str">
        <f t="shared" ref="BC71" si="1398">IF(BC69=BC70,"","X")</f>
        <v/>
      </c>
      <c r="BD71" s="120" t="str">
        <f t="shared" ref="BD71" si="1399">IF(BD69=BD70,"","X")</f>
        <v/>
      </c>
      <c r="BE71" s="120" t="str">
        <f t="shared" ref="BE71" si="1400">IF(BE69=BE70,"","X")</f>
        <v/>
      </c>
      <c r="BF71" s="120" t="str">
        <f t="shared" ref="BF71" si="1401">IF(BF69=BF70,"","X")</f>
        <v/>
      </c>
      <c r="BG71" s="120" t="str">
        <f t="shared" ref="BG71" si="1402">IF(BG69=BG70,"","X")</f>
        <v/>
      </c>
      <c r="BH71" s="120" t="str">
        <f t="shared" ref="BH71" si="1403">IF(BH69=BH70,"","X")</f>
        <v/>
      </c>
      <c r="BI71" s="120" t="str">
        <f t="shared" ref="BI71" si="1404">IF(BI69=BI70,"","X")</f>
        <v/>
      </c>
      <c r="BJ71" s="120" t="str">
        <f t="shared" ref="BJ71" si="1405">IF(BJ69=BJ70,"","X")</f>
        <v/>
      </c>
      <c r="BK71" s="120" t="str">
        <f t="shared" ref="BK71" si="1406">IF(BK69=BK70,"","X")</f>
        <v/>
      </c>
      <c r="BL71" s="120" t="str">
        <f t="shared" ref="BL71" si="1407">IF(BL69=BL70,"","X")</f>
        <v/>
      </c>
      <c r="BM71" s="120" t="str">
        <f t="shared" ref="BM71" si="1408">IF(BM69=BM70,"","X")</f>
        <v/>
      </c>
      <c r="BN71" s="120" t="str">
        <f t="shared" ref="BN71" si="1409">IF(BN69=BN70,"","X")</f>
        <v/>
      </c>
      <c r="BO71" s="120" t="str">
        <f t="shared" ref="BO71" si="1410">IF(BO69=BO70,"","X")</f>
        <v/>
      </c>
      <c r="BP71" s="120" t="str">
        <f t="shared" ref="BP71" si="1411">IF(BP69=BP70,"","X")</f>
        <v/>
      </c>
      <c r="BQ71" s="120" t="str">
        <f t="shared" ref="BQ71" si="1412">IF(BQ69=BQ70,"","X")</f>
        <v/>
      </c>
      <c r="BR71" s="120" t="str">
        <f t="shared" ref="BR71" si="1413">IF(BR69=BR70,"","X")</f>
        <v/>
      </c>
    </row>
    <row r="72" spans="1:70" ht="15" customHeight="1" thickBot="1" x14ac:dyDescent="0.3">
      <c r="A72" s="203"/>
      <c r="B72" s="208"/>
      <c r="C72" s="13" t="s">
        <v>35</v>
      </c>
      <c r="D72" s="95" t="str">
        <f>'DE-9IM Matrixes'!D71</f>
        <v>T</v>
      </c>
      <c r="E72" s="96" t="str">
        <f>'DE-9IM Matrixes'!E71</f>
        <v>*</v>
      </c>
      <c r="F72" s="111" t="str">
        <f>'DE-9IM Matrixes'!F71</f>
        <v>*</v>
      </c>
      <c r="G72" s="19"/>
      <c r="H72" s="210"/>
      <c r="I72" s="13" t="s">
        <v>35</v>
      </c>
      <c r="J72" s="95" t="str">
        <f>'DE-9IM Matrixes'!J71</f>
        <v>*</v>
      </c>
      <c r="K72" s="96" t="str">
        <f>'DE-9IM Matrixes'!K71</f>
        <v>*</v>
      </c>
      <c r="L72" s="111" t="str">
        <f>'DE-9IM Matrixes'!L71</f>
        <v>*</v>
      </c>
      <c r="M72" s="19"/>
      <c r="N72" s="212"/>
      <c r="O72" s="13" t="s">
        <v>35</v>
      </c>
      <c r="P72" s="95" t="str">
        <f>'DE-9IM Matrixes'!P71</f>
        <v>T</v>
      </c>
      <c r="Q72" s="96" t="str">
        <f>'DE-9IM Matrixes'!Q71</f>
        <v>*</v>
      </c>
      <c r="R72" s="111" t="str">
        <f>'DE-9IM Matrixes'!R71</f>
        <v>*</v>
      </c>
      <c r="T72" s="186"/>
      <c r="U72" s="208"/>
      <c r="V72" s="13" t="s">
        <v>35</v>
      </c>
      <c r="W72" s="109" t="str">
        <f>F70</f>
        <v>T</v>
      </c>
      <c r="X72" s="110" t="str">
        <f>F71</f>
        <v>*</v>
      </c>
      <c r="Y72" s="112" t="str">
        <f>F72</f>
        <v>*</v>
      </c>
      <c r="Z72" s="19"/>
      <c r="AA72" s="210"/>
      <c r="AB72" s="13" t="s">
        <v>35</v>
      </c>
      <c r="AC72" s="109" t="str">
        <f>L70</f>
        <v>*</v>
      </c>
      <c r="AD72" s="110" t="str">
        <f>L71</f>
        <v>*</v>
      </c>
      <c r="AE72" s="112" t="str">
        <f>L72</f>
        <v>*</v>
      </c>
      <c r="AF72" s="19"/>
      <c r="AG72" s="212"/>
      <c r="AH72" s="13" t="s">
        <v>35</v>
      </c>
      <c r="AI72" s="109" t="str">
        <f>R70</f>
        <v>F</v>
      </c>
      <c r="AJ72" s="110" t="str">
        <f>R71</f>
        <v>*</v>
      </c>
      <c r="AK72" s="112" t="str">
        <f>R72</f>
        <v>*</v>
      </c>
      <c r="AN72"/>
      <c r="AX72"/>
      <c r="BH72"/>
      <c r="BR72"/>
    </row>
    <row r="73" spans="1:70" ht="15" customHeight="1" thickTop="1" x14ac:dyDescent="0.25"/>
  </sheetData>
  <mergeCells count="207">
    <mergeCell ref="A1:R1"/>
    <mergeCell ref="T1:AK1"/>
    <mergeCell ref="U2:Y2"/>
    <mergeCell ref="AA2:AE2"/>
    <mergeCell ref="AG2:AK2"/>
    <mergeCell ref="T23:T27"/>
    <mergeCell ref="T43:T47"/>
    <mergeCell ref="W43:Y43"/>
    <mergeCell ref="AC43:AE43"/>
    <mergeCell ref="AI43:AK43"/>
    <mergeCell ref="U45:U47"/>
    <mergeCell ref="AA45:AA47"/>
    <mergeCell ref="AG45:AG47"/>
    <mergeCell ref="T38:T42"/>
    <mergeCell ref="W38:Y38"/>
    <mergeCell ref="AC38:AE38"/>
    <mergeCell ref="AI38:AK38"/>
    <mergeCell ref="U40:U42"/>
    <mergeCell ref="AA40:AA42"/>
    <mergeCell ref="AG40:AG42"/>
    <mergeCell ref="T33:T37"/>
    <mergeCell ref="W33:Y33"/>
    <mergeCell ref="AC33:AE33"/>
    <mergeCell ref="AI33:AK33"/>
    <mergeCell ref="U35:U37"/>
    <mergeCell ref="AA35:AA37"/>
    <mergeCell ref="AG35:AG37"/>
    <mergeCell ref="T28:T32"/>
    <mergeCell ref="W28:Y28"/>
    <mergeCell ref="AC28:AE28"/>
    <mergeCell ref="AI28:AK28"/>
    <mergeCell ref="U30:U32"/>
    <mergeCell ref="AA30:AA32"/>
    <mergeCell ref="AG30:AG32"/>
    <mergeCell ref="W23:Y23"/>
    <mergeCell ref="AC23:AE23"/>
    <mergeCell ref="AI23:AK23"/>
    <mergeCell ref="U25:U27"/>
    <mergeCell ref="AA25:AA27"/>
    <mergeCell ref="AG25:AG27"/>
    <mergeCell ref="T18:T22"/>
    <mergeCell ref="W18:Y18"/>
    <mergeCell ref="AC18:AE18"/>
    <mergeCell ref="AI18:AK18"/>
    <mergeCell ref="U20:U22"/>
    <mergeCell ref="AA20:AA22"/>
    <mergeCell ref="AG20:AG22"/>
    <mergeCell ref="T13:T17"/>
    <mergeCell ref="W13:Y13"/>
    <mergeCell ref="AC13:AE13"/>
    <mergeCell ref="AI13:AK13"/>
    <mergeCell ref="U15:U17"/>
    <mergeCell ref="AA15:AA17"/>
    <mergeCell ref="AG15:AG17"/>
    <mergeCell ref="AG5:AG7"/>
    <mergeCell ref="T8:T12"/>
    <mergeCell ref="W8:Y8"/>
    <mergeCell ref="AC8:AE8"/>
    <mergeCell ref="AI8:AK8"/>
    <mergeCell ref="U10:U12"/>
    <mergeCell ref="AA10:AA12"/>
    <mergeCell ref="AG10:AG12"/>
    <mergeCell ref="A43:A47"/>
    <mergeCell ref="D43:F43"/>
    <mergeCell ref="J43:L43"/>
    <mergeCell ref="P43:R43"/>
    <mergeCell ref="B45:B47"/>
    <mergeCell ref="H45:H47"/>
    <mergeCell ref="N45:N47"/>
    <mergeCell ref="A38:A42"/>
    <mergeCell ref="D38:F38"/>
    <mergeCell ref="J38:L38"/>
    <mergeCell ref="P38:R38"/>
    <mergeCell ref="B40:B42"/>
    <mergeCell ref="H40:H42"/>
    <mergeCell ref="N40:N42"/>
    <mergeCell ref="A33:A37"/>
    <mergeCell ref="D33:F33"/>
    <mergeCell ref="J33:L33"/>
    <mergeCell ref="P33:R33"/>
    <mergeCell ref="B35:B37"/>
    <mergeCell ref="H35:H37"/>
    <mergeCell ref="N35:N37"/>
    <mergeCell ref="A28:A32"/>
    <mergeCell ref="D28:F28"/>
    <mergeCell ref="J28:L28"/>
    <mergeCell ref="P28:R28"/>
    <mergeCell ref="B30:B32"/>
    <mergeCell ref="H30:H32"/>
    <mergeCell ref="N30:N32"/>
    <mergeCell ref="A23:A27"/>
    <mergeCell ref="D23:F23"/>
    <mergeCell ref="J23:L23"/>
    <mergeCell ref="P23:R23"/>
    <mergeCell ref="B25:B27"/>
    <mergeCell ref="H25:H27"/>
    <mergeCell ref="N25:N27"/>
    <mergeCell ref="A18:A22"/>
    <mergeCell ref="D18:F18"/>
    <mergeCell ref="J18:L18"/>
    <mergeCell ref="P18:R18"/>
    <mergeCell ref="B20:B22"/>
    <mergeCell ref="H20:H22"/>
    <mergeCell ref="N20:N22"/>
    <mergeCell ref="A13:A17"/>
    <mergeCell ref="D13:F13"/>
    <mergeCell ref="J13:L13"/>
    <mergeCell ref="P13:R13"/>
    <mergeCell ref="B15:B17"/>
    <mergeCell ref="H15:H17"/>
    <mergeCell ref="N15:N17"/>
    <mergeCell ref="A8:A12"/>
    <mergeCell ref="D8:F8"/>
    <mergeCell ref="J8:L8"/>
    <mergeCell ref="P8:R8"/>
    <mergeCell ref="B10:B12"/>
    <mergeCell ref="H10:H12"/>
    <mergeCell ref="N10:N12"/>
    <mergeCell ref="A48:A52"/>
    <mergeCell ref="A53:A57"/>
    <mergeCell ref="A58:A62"/>
    <mergeCell ref="A63:A67"/>
    <mergeCell ref="A68:A72"/>
    <mergeCell ref="AO2:AW2"/>
    <mergeCell ref="AY2:BG2"/>
    <mergeCell ref="BI2:BQ2"/>
    <mergeCell ref="A3:A7"/>
    <mergeCell ref="D3:F3"/>
    <mergeCell ref="J3:L3"/>
    <mergeCell ref="P3:R3"/>
    <mergeCell ref="B5:B7"/>
    <mergeCell ref="H5:H7"/>
    <mergeCell ref="N5:N7"/>
    <mergeCell ref="B2:F2"/>
    <mergeCell ref="H2:L2"/>
    <mergeCell ref="N2:R2"/>
    <mergeCell ref="T3:T7"/>
    <mergeCell ref="W3:Y3"/>
    <mergeCell ref="AC3:AE3"/>
    <mergeCell ref="AI3:AK3"/>
    <mergeCell ref="U5:U7"/>
    <mergeCell ref="AA5:AA7"/>
    <mergeCell ref="J58:L58"/>
    <mergeCell ref="P58:R58"/>
    <mergeCell ref="B60:B62"/>
    <mergeCell ref="H60:H62"/>
    <mergeCell ref="N60:N62"/>
    <mergeCell ref="D48:F48"/>
    <mergeCell ref="J48:L48"/>
    <mergeCell ref="P48:R48"/>
    <mergeCell ref="B50:B52"/>
    <mergeCell ref="H50:H52"/>
    <mergeCell ref="N50:N52"/>
    <mergeCell ref="D53:F53"/>
    <mergeCell ref="J53:L53"/>
    <mergeCell ref="P53:R53"/>
    <mergeCell ref="B70:B72"/>
    <mergeCell ref="H70:H72"/>
    <mergeCell ref="N70:N72"/>
    <mergeCell ref="T48:T52"/>
    <mergeCell ref="T53:T57"/>
    <mergeCell ref="T58:T62"/>
    <mergeCell ref="T63:T67"/>
    <mergeCell ref="T68:T72"/>
    <mergeCell ref="W48:Y48"/>
    <mergeCell ref="W58:Y58"/>
    <mergeCell ref="W68:Y68"/>
    <mergeCell ref="D63:F63"/>
    <mergeCell ref="J63:L63"/>
    <mergeCell ref="P63:R63"/>
    <mergeCell ref="B65:B67"/>
    <mergeCell ref="H65:H67"/>
    <mergeCell ref="N65:N67"/>
    <mergeCell ref="D68:F68"/>
    <mergeCell ref="J68:L68"/>
    <mergeCell ref="P68:R68"/>
    <mergeCell ref="B55:B57"/>
    <mergeCell ref="H55:H57"/>
    <mergeCell ref="N55:N57"/>
    <mergeCell ref="D58:F58"/>
    <mergeCell ref="AC48:AE48"/>
    <mergeCell ref="AI48:AK48"/>
    <mergeCell ref="U50:U52"/>
    <mergeCell ref="AA50:AA52"/>
    <mergeCell ref="AG50:AG52"/>
    <mergeCell ref="W53:Y53"/>
    <mergeCell ref="AC53:AE53"/>
    <mergeCell ref="AI53:AK53"/>
    <mergeCell ref="U55:U57"/>
    <mergeCell ref="AA55:AA57"/>
    <mergeCell ref="AG55:AG57"/>
    <mergeCell ref="AC68:AE68"/>
    <mergeCell ref="AI68:AK68"/>
    <mergeCell ref="U70:U72"/>
    <mergeCell ref="AA70:AA72"/>
    <mergeCell ref="AG70:AG72"/>
    <mergeCell ref="AC58:AE58"/>
    <mergeCell ref="AI58:AK58"/>
    <mergeCell ref="U60:U62"/>
    <mergeCell ref="AA60:AA62"/>
    <mergeCell ref="AG60:AG62"/>
    <mergeCell ref="W63:Y63"/>
    <mergeCell ref="AC63:AE63"/>
    <mergeCell ref="AI63:AK63"/>
    <mergeCell ref="U65:U67"/>
    <mergeCell ref="AA65:AA67"/>
    <mergeCell ref="AG65:AG67"/>
  </mergeCells>
  <conditionalFormatting sqref="AO6:BR6 AO11:BR11 AO16:BR16 AO21:BR21 AO26:BR26 AO31:BR31 AO36:BR36 AO41:BR41 AO46:BR46 AO51:BR51 AO56:BR56 AO61:BR61 AO66:BR66 AO71:BR71">
    <cfRule type="cellIs" dxfId="0" priority="14" operator="equal">
      <formula>"X"</formula>
    </cfRule>
  </conditionalFormatting>
  <pageMargins left="0.7" right="0.7" top="0.75" bottom="0.75" header="0.3" footer="0.3"/>
  <tableParts count="8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9"/>
  <sheetViews>
    <sheetView workbookViewId="0">
      <selection activeCell="P19" sqref="P19:P101"/>
    </sheetView>
  </sheetViews>
  <sheetFormatPr defaultRowHeight="15" x14ac:dyDescent="0.25"/>
  <cols>
    <col min="1" max="1" width="20.5703125" bestFit="1" customWidth="1"/>
    <col min="2" max="2" width="16" bestFit="1" customWidth="1"/>
    <col min="3" max="3" width="17.140625" bestFit="1" customWidth="1"/>
    <col min="4" max="4" width="15.5703125" bestFit="1" customWidth="1"/>
    <col min="6" max="6" width="20" bestFit="1" customWidth="1"/>
    <col min="7" max="9" width="15.5703125" style="1" bestFit="1" customWidth="1"/>
    <col min="11" max="11" width="20" bestFit="1" customWidth="1"/>
    <col min="12" max="14" width="15.5703125" bestFit="1" customWidth="1"/>
    <col min="16" max="16" width="33.85546875" style="160" bestFit="1" customWidth="1"/>
    <col min="17" max="17" width="30.7109375" style="160" bestFit="1" customWidth="1"/>
    <col min="18" max="18" width="47.28515625" style="160" bestFit="1" customWidth="1"/>
    <col min="19" max="20" width="42.140625" style="160" bestFit="1" customWidth="1"/>
  </cols>
  <sheetData>
    <row r="1" spans="1:14" ht="20.25" thickBot="1" x14ac:dyDescent="0.35">
      <c r="A1" s="216" t="s">
        <v>54</v>
      </c>
      <c r="B1" s="216"/>
      <c r="C1" s="216"/>
      <c r="D1" s="216"/>
      <c r="F1" s="217" t="s">
        <v>55</v>
      </c>
      <c r="G1" s="218"/>
      <c r="H1" s="218"/>
      <c r="I1" s="219"/>
      <c r="K1" s="217" t="s">
        <v>56</v>
      </c>
      <c r="L1" s="218"/>
      <c r="M1" s="218"/>
      <c r="N1" s="219"/>
    </row>
    <row r="2" spans="1:14" ht="20.25" thickTop="1" thickBot="1" x14ac:dyDescent="0.3">
      <c r="A2" s="153" t="s">
        <v>57</v>
      </c>
      <c r="B2" s="35" t="s">
        <v>48</v>
      </c>
      <c r="C2" s="35" t="s">
        <v>49</v>
      </c>
      <c r="D2" s="35" t="s">
        <v>50</v>
      </c>
      <c r="F2" s="36" t="s">
        <v>57</v>
      </c>
      <c r="G2" s="37" t="s">
        <v>51</v>
      </c>
      <c r="H2" s="37" t="s">
        <v>52</v>
      </c>
      <c r="I2" s="37" t="s">
        <v>53</v>
      </c>
      <c r="K2" s="38" t="s">
        <v>57</v>
      </c>
      <c r="L2" s="37" t="s">
        <v>51</v>
      </c>
      <c r="M2" s="37" t="s">
        <v>52</v>
      </c>
      <c r="N2" s="40" t="s">
        <v>53</v>
      </c>
    </row>
    <row r="3" spans="1:14" ht="19.5" thickBot="1" x14ac:dyDescent="0.3">
      <c r="A3" s="154" t="str">
        <f>'DE-9IM Matrixes'!BA2</f>
        <v>A Overlaps B</v>
      </c>
      <c r="B3" s="66" t="str">
        <f>'DE-9IM Matrixes'!BB2</f>
        <v>T*T***T**</v>
      </c>
      <c r="C3" s="67" t="str">
        <f>'DE-9IM Matrixes'!BC2</f>
        <v>*********</v>
      </c>
      <c r="D3" s="68" t="str">
        <f>'DE-9IM Matrixes'!BD2</f>
        <v>*********</v>
      </c>
      <c r="F3" s="2" t="str">
        <f t="shared" ref="F3" si="0">A3</f>
        <v>A Overlaps B</v>
      </c>
      <c r="G3" s="3" t="str">
        <f t="shared" ref="G3" si="1">IF(ISBLANK(B3),0,SUBSTITUTE(SUBSTITUTE(SUBSTITUTE(B3,"*",0),"F","1"),"T",1))</f>
        <v>101000100</v>
      </c>
      <c r="H3" s="3" t="str">
        <f t="shared" ref="H3" si="2">IF(ISBLANK(C3),0,SUBSTITUTE(SUBSTITUTE(SUBSTITUTE(C3,"*",0),"F","1"),"T",1))</f>
        <v>000000000</v>
      </c>
      <c r="I3" s="4" t="str">
        <f t="shared" ref="I3" si="3">IF(ISBLANK(D3),0,SUBSTITUTE(SUBSTITUTE(SUBSTITUTE(D3,"*",0),"F","1"),"T",1))</f>
        <v>000000000</v>
      </c>
      <c r="K3" s="39" t="str">
        <f t="shared" ref="K3" si="4">A3</f>
        <v>A Overlaps B</v>
      </c>
      <c r="L3" s="3" t="str">
        <f t="shared" ref="L3" si="5">IF(ISBLANK(B3),0,SUBSTITUTE(SUBSTITUTE(SUBSTITUTE(B3,"*",0),"F","0"),"T",1))</f>
        <v>101000100</v>
      </c>
      <c r="M3" s="3" t="str">
        <f t="shared" ref="M3" si="6">IF(ISBLANK(C3),0,SUBSTITUTE(SUBSTITUTE(SUBSTITUTE(C3,"*",0),"F","0"),"T",1))</f>
        <v>000000000</v>
      </c>
      <c r="N3" s="41" t="str">
        <f t="shared" ref="N3" si="7">IF(ISBLANK(D3),0,SUBSTITUTE(SUBSTITUTE(SUBSTITUTE(D3,"*",0),"F","0"),"T",1))</f>
        <v>000000000</v>
      </c>
    </row>
    <row r="4" spans="1:14" ht="19.5" thickBot="1" x14ac:dyDescent="0.3">
      <c r="A4" s="155" t="str">
        <f>'DE-9IM Matrixes'!BA7</f>
        <v>A is Partitioned by  B</v>
      </c>
      <c r="B4" s="33" t="str">
        <f>'DE-9IM Matrixes'!BB7</f>
        <v>T*T*T*F**</v>
      </c>
      <c r="C4" s="29" t="str">
        <f>'DE-9IM Matrixes'!BC7</f>
        <v>*********</v>
      </c>
      <c r="D4" s="30" t="str">
        <f>'DE-9IM Matrixes'!BD7</f>
        <v>*********</v>
      </c>
      <c r="F4" s="2" t="str">
        <f t="shared" ref="F4:F11" si="8">A4</f>
        <v>A is Partitioned by  B</v>
      </c>
      <c r="G4" s="3" t="str">
        <f t="shared" ref="G4:G11" si="9">IF(ISBLANK(B4),0,SUBSTITUTE(SUBSTITUTE(SUBSTITUTE(B4,"*",0),"F","1"),"T",1))</f>
        <v>101010100</v>
      </c>
      <c r="H4" s="3" t="str">
        <f t="shared" ref="H4:H11" si="10">IF(ISBLANK(C4),0,SUBSTITUTE(SUBSTITUTE(SUBSTITUTE(C4,"*",0),"F","1"),"T",1))</f>
        <v>000000000</v>
      </c>
      <c r="I4" s="4" t="str">
        <f t="shared" ref="I4:I11" si="11">IF(ISBLANK(D4),0,SUBSTITUTE(SUBSTITUTE(SUBSTITUTE(D4,"*",0),"F","1"),"T",1))</f>
        <v>000000000</v>
      </c>
      <c r="K4" s="39" t="str">
        <f t="shared" ref="K4:K11" si="12">A4</f>
        <v>A is Partitioned by  B</v>
      </c>
      <c r="L4" s="3" t="str">
        <f t="shared" ref="L4:L11" si="13">IF(ISBLANK(B4),0,SUBSTITUTE(SUBSTITUTE(SUBSTITUTE(B4,"*",0),"F","0"),"T",1))</f>
        <v>101010000</v>
      </c>
      <c r="M4" s="3" t="str">
        <f t="shared" ref="M4:M11" si="14">IF(ISBLANK(C4),0,SUBSTITUTE(SUBSTITUTE(SUBSTITUTE(C4,"*",0),"F","0"),"T",1))</f>
        <v>000000000</v>
      </c>
      <c r="N4" s="41" t="str">
        <f t="shared" ref="N4:N11" si="15">IF(ISBLANK(D4),0,SUBSTITUTE(SUBSTITUTE(SUBSTITUTE(D4,"*",0),"F","0"),"T",1))</f>
        <v>000000000</v>
      </c>
    </row>
    <row r="5" spans="1:14" ht="19.5" thickBot="1" x14ac:dyDescent="0.3">
      <c r="A5" s="155" t="str">
        <f>'DE-9IM Matrixes'!BA12</f>
        <v>A Partitions B</v>
      </c>
      <c r="B5" s="33" t="str">
        <f>'DE-9IM Matrixes'!BB12</f>
        <v>T*F*T*T**</v>
      </c>
      <c r="C5" s="29" t="str">
        <f>'DE-9IM Matrixes'!BC12</f>
        <v>*********</v>
      </c>
      <c r="D5" s="30" t="str">
        <f>'DE-9IM Matrixes'!BD12</f>
        <v>*********</v>
      </c>
      <c r="F5" s="2" t="str">
        <f t="shared" si="8"/>
        <v>A Partitions B</v>
      </c>
      <c r="G5" s="3" t="str">
        <f t="shared" si="9"/>
        <v>101010100</v>
      </c>
      <c r="H5" s="3" t="str">
        <f t="shared" si="10"/>
        <v>000000000</v>
      </c>
      <c r="I5" s="4" t="str">
        <f t="shared" si="11"/>
        <v>000000000</v>
      </c>
      <c r="K5" s="39" t="str">
        <f t="shared" si="12"/>
        <v>A Partitions B</v>
      </c>
      <c r="L5" s="3" t="str">
        <f t="shared" si="13"/>
        <v>100010100</v>
      </c>
      <c r="M5" s="3" t="str">
        <f t="shared" si="14"/>
        <v>000000000</v>
      </c>
      <c r="N5" s="41" t="str">
        <f t="shared" si="15"/>
        <v>000000000</v>
      </c>
    </row>
    <row r="6" spans="1:14" ht="19.5" thickBot="1" x14ac:dyDescent="0.3">
      <c r="A6" s="155" t="str">
        <f>'DE-9IM Matrixes'!BA17</f>
        <v>A Equals B</v>
      </c>
      <c r="B6" s="33" t="str">
        <f>'DE-9IM Matrixes'!BB17</f>
        <v>T*F*T*F**</v>
      </c>
      <c r="C6" s="29" t="str">
        <f>'DE-9IM Matrixes'!BC17</f>
        <v>*********</v>
      </c>
      <c r="D6" s="30" t="str">
        <f>'DE-9IM Matrixes'!BD17</f>
        <v>*********</v>
      </c>
      <c r="F6" s="2" t="str">
        <f t="shared" si="8"/>
        <v>A Equals B</v>
      </c>
      <c r="G6" s="3" t="str">
        <f t="shared" si="9"/>
        <v>101010100</v>
      </c>
      <c r="H6" s="3" t="str">
        <f t="shared" si="10"/>
        <v>000000000</v>
      </c>
      <c r="I6" s="4" t="str">
        <f t="shared" si="11"/>
        <v>000000000</v>
      </c>
      <c r="K6" s="39" t="str">
        <f t="shared" si="12"/>
        <v>A Equals B</v>
      </c>
      <c r="L6" s="3" t="str">
        <f t="shared" si="13"/>
        <v>100010000</v>
      </c>
      <c r="M6" s="3" t="str">
        <f t="shared" si="14"/>
        <v>000000000</v>
      </c>
      <c r="N6" s="41" t="str">
        <f t="shared" si="15"/>
        <v>000000000</v>
      </c>
    </row>
    <row r="7" spans="1:14" ht="19.5" thickBot="1" x14ac:dyDescent="0.3">
      <c r="A7" s="155" t="str">
        <f>'DE-9IM Matrixes'!BA22</f>
        <v>A Confines B</v>
      </c>
      <c r="B7" s="33" t="str">
        <f>'DE-9IM Matrixes'!BB22</f>
        <v>F***T****</v>
      </c>
      <c r="C7" s="29" t="str">
        <f>'DE-9IM Matrixes'!BC22</f>
        <v>T*T***F**</v>
      </c>
      <c r="D7" s="30" t="str">
        <f>'DE-9IM Matrixes'!BD22</f>
        <v>*********</v>
      </c>
      <c r="F7" s="2" t="str">
        <f t="shared" si="8"/>
        <v>A Confines B</v>
      </c>
      <c r="G7" s="3" t="str">
        <f t="shared" si="9"/>
        <v>100010000</v>
      </c>
      <c r="H7" s="3" t="str">
        <f t="shared" si="10"/>
        <v>101000100</v>
      </c>
      <c r="I7" s="4" t="str">
        <f t="shared" si="11"/>
        <v>000000000</v>
      </c>
      <c r="K7" s="39" t="str">
        <f t="shared" si="12"/>
        <v>A Confines B</v>
      </c>
      <c r="L7" s="3" t="str">
        <f t="shared" si="13"/>
        <v>000010000</v>
      </c>
      <c r="M7" s="3" t="str">
        <f t="shared" si="14"/>
        <v>101000000</v>
      </c>
      <c r="N7" s="41" t="str">
        <f t="shared" si="15"/>
        <v>000000000</v>
      </c>
    </row>
    <row r="8" spans="1:14" ht="19.5" thickBot="1" x14ac:dyDescent="0.3">
      <c r="A8" s="155" t="str">
        <f>'DE-9IM Matrixes'!BA27</f>
        <v>A is Confined by B</v>
      </c>
      <c r="B8" s="33" t="str">
        <f>'DE-9IM Matrixes'!BB27</f>
        <v>F***T****</v>
      </c>
      <c r="C8" s="29" t="str">
        <f>'DE-9IM Matrixes'!BC27</f>
        <v>T*F***T**</v>
      </c>
      <c r="D8" s="30" t="str">
        <f>'DE-9IM Matrixes'!BD27</f>
        <v>*********</v>
      </c>
      <c r="F8" s="2" t="str">
        <f t="shared" si="8"/>
        <v>A is Confined by B</v>
      </c>
      <c r="G8" s="3" t="str">
        <f t="shared" si="9"/>
        <v>100010000</v>
      </c>
      <c r="H8" s="3" t="str">
        <f t="shared" si="10"/>
        <v>101000100</v>
      </c>
      <c r="I8" s="4" t="str">
        <f t="shared" si="11"/>
        <v>000000000</v>
      </c>
      <c r="K8" s="39" t="str">
        <f t="shared" si="12"/>
        <v>A is Confined by B</v>
      </c>
      <c r="L8" s="3" t="str">
        <f t="shared" si="13"/>
        <v>000010000</v>
      </c>
      <c r="M8" s="3" t="str">
        <f t="shared" si="14"/>
        <v>100000100</v>
      </c>
      <c r="N8" s="41" t="str">
        <f t="shared" si="15"/>
        <v>000000000</v>
      </c>
    </row>
    <row r="9" spans="1:14" ht="19.5" thickBot="1" x14ac:dyDescent="0.3">
      <c r="A9" s="155" t="str">
        <f>'DE-9IM Matrixes'!BA32</f>
        <v>A Borders B</v>
      </c>
      <c r="B9" s="33" t="str">
        <f>'DE-9IM Matrixes'!BB32</f>
        <v>F***T****</v>
      </c>
      <c r="C9" s="29" t="str">
        <f>'DE-9IM Matrixes'!BC32</f>
        <v>F*T***T**</v>
      </c>
      <c r="D9" s="30" t="str">
        <f>'DE-9IM Matrixes'!BD32</f>
        <v>*********</v>
      </c>
      <c r="F9" s="2" t="str">
        <f t="shared" si="8"/>
        <v>A Borders B</v>
      </c>
      <c r="G9" s="3" t="str">
        <f t="shared" si="9"/>
        <v>100010000</v>
      </c>
      <c r="H9" s="3" t="str">
        <f t="shared" si="10"/>
        <v>101000100</v>
      </c>
      <c r="I9" s="4" t="str">
        <f t="shared" si="11"/>
        <v>000000000</v>
      </c>
      <c r="K9" s="42" t="str">
        <f t="shared" si="12"/>
        <v>A Borders B</v>
      </c>
      <c r="L9" s="43" t="str">
        <f t="shared" si="13"/>
        <v>000010000</v>
      </c>
      <c r="M9" s="43" t="str">
        <f t="shared" si="14"/>
        <v>001000100</v>
      </c>
      <c r="N9" s="44" t="str">
        <f t="shared" si="15"/>
        <v>000000000</v>
      </c>
    </row>
    <row r="10" spans="1:14" ht="19.5" thickBot="1" x14ac:dyDescent="0.3">
      <c r="A10" s="155" t="str">
        <f>'DE-9IM Matrixes'!BA37</f>
        <v>A Contains B</v>
      </c>
      <c r="B10" s="33" t="str">
        <f>'DE-9IM Matrixes'!BB37</f>
        <v>T*T*F*F**</v>
      </c>
      <c r="C10" s="29" t="str">
        <f>'DE-9IM Matrixes'!BC37</f>
        <v>*********</v>
      </c>
      <c r="D10" s="30" t="str">
        <f>'DE-9IM Matrixes'!BD37</f>
        <v>*********</v>
      </c>
      <c r="F10" s="2" t="str">
        <f t="shared" si="8"/>
        <v>A Contains B</v>
      </c>
      <c r="G10" s="3" t="str">
        <f t="shared" si="9"/>
        <v>101010100</v>
      </c>
      <c r="H10" s="3" t="str">
        <f t="shared" si="10"/>
        <v>000000000</v>
      </c>
      <c r="I10" s="4" t="str">
        <f t="shared" si="11"/>
        <v>000000000</v>
      </c>
      <c r="K10" s="39" t="str">
        <f t="shared" si="12"/>
        <v>A Contains B</v>
      </c>
      <c r="L10" s="3" t="str">
        <f t="shared" si="13"/>
        <v>101000000</v>
      </c>
      <c r="M10" s="3" t="str">
        <f t="shared" si="14"/>
        <v>000000000</v>
      </c>
      <c r="N10" s="41" t="str">
        <f t="shared" si="15"/>
        <v>000000000</v>
      </c>
    </row>
    <row r="11" spans="1:14" ht="19.5" thickBot="1" x14ac:dyDescent="0.3">
      <c r="A11" s="156" t="str">
        <f>'DE-9IM Matrixes'!BA42</f>
        <v>A is Within B</v>
      </c>
      <c r="B11" s="34" t="str">
        <f>'DE-9IM Matrixes'!BB42</f>
        <v>T*F*F*T**</v>
      </c>
      <c r="C11" s="31" t="str">
        <f>'DE-9IM Matrixes'!BC42</f>
        <v>*********</v>
      </c>
      <c r="D11" s="32" t="str">
        <f>'DE-9IM Matrixes'!BD42</f>
        <v>*********</v>
      </c>
      <c r="F11" s="2" t="str">
        <f t="shared" si="8"/>
        <v>A is Within B</v>
      </c>
      <c r="G11" s="3" t="str">
        <f t="shared" si="9"/>
        <v>101010100</v>
      </c>
      <c r="H11" s="3" t="str">
        <f t="shared" si="10"/>
        <v>000000000</v>
      </c>
      <c r="I11" s="4" t="str">
        <f t="shared" si="11"/>
        <v>000000000</v>
      </c>
      <c r="K11" s="39" t="str">
        <f t="shared" si="12"/>
        <v>A is Within B</v>
      </c>
      <c r="L11" s="3" t="str">
        <f t="shared" si="13"/>
        <v>100000100</v>
      </c>
      <c r="M11" s="3" t="str">
        <f t="shared" si="14"/>
        <v>000000000</v>
      </c>
      <c r="N11" s="41" t="str">
        <f t="shared" si="15"/>
        <v>000000000</v>
      </c>
    </row>
    <row r="12" spans="1:14" ht="19.5" thickBot="1" x14ac:dyDescent="0.3">
      <c r="A12" s="156" t="str">
        <f>'DE-9IM Matrixes'!BA47</f>
        <v>A Surrounds B</v>
      </c>
      <c r="B12" s="34" t="str">
        <f>'DE-9IM Matrixes'!BB47</f>
        <v>F***F****</v>
      </c>
      <c r="C12" s="31" t="str">
        <f>'DE-9IM Matrixes'!BC47</f>
        <v>T*T***F**</v>
      </c>
      <c r="D12" s="32" t="str">
        <f>'DE-9IM Matrixes'!BD47</f>
        <v>*********</v>
      </c>
      <c r="E12" s="1"/>
      <c r="F12" s="2" t="str">
        <f t="shared" ref="F12:F16" si="16">A12</f>
        <v>A Surrounds B</v>
      </c>
      <c r="G12" s="3" t="str">
        <f t="shared" ref="G12:G16" si="17">IF(ISBLANK(B12),0,SUBSTITUTE(SUBSTITUTE(SUBSTITUTE(B12,"*",0),"F","1"),"T",1))</f>
        <v>100010000</v>
      </c>
      <c r="H12" s="3" t="str">
        <f t="shared" ref="H12:H16" si="18">IF(ISBLANK(C12),0,SUBSTITUTE(SUBSTITUTE(SUBSTITUTE(C12,"*",0),"F","1"),"T",1))</f>
        <v>101000100</v>
      </c>
      <c r="I12" s="4" t="str">
        <f t="shared" ref="I12:I16" si="19">IF(ISBLANK(D12),0,SUBSTITUTE(SUBSTITUTE(SUBSTITUTE(D12,"*",0),"F","1"),"T",1))</f>
        <v>000000000</v>
      </c>
      <c r="K12" s="39" t="str">
        <f t="shared" ref="K12:K16" si="20">A12</f>
        <v>A Surrounds B</v>
      </c>
      <c r="L12" s="3" t="str">
        <f t="shared" ref="L12:L16" si="21">IF(ISBLANK(B12),0,SUBSTITUTE(SUBSTITUTE(SUBSTITUTE(B12,"*",0),"F","0"),"T",1))</f>
        <v>000000000</v>
      </c>
      <c r="M12" s="3" t="str">
        <f t="shared" ref="M12:M16" si="22">IF(ISBLANK(C12),0,SUBSTITUTE(SUBSTITUTE(SUBSTITUTE(C12,"*",0),"F","0"),"T",1))</f>
        <v>101000000</v>
      </c>
      <c r="N12" s="41" t="str">
        <f t="shared" ref="N12:N16" si="23">IF(ISBLANK(D12),0,SUBSTITUTE(SUBSTITUTE(SUBSTITUTE(D12,"*",0),"F","0"),"T",1))</f>
        <v>000000000</v>
      </c>
    </row>
    <row r="13" spans="1:14" ht="19.5" thickBot="1" x14ac:dyDescent="0.3">
      <c r="A13" s="156" t="str">
        <f>'DE-9IM Matrixes'!BA52</f>
        <v>A is Enclosed by B</v>
      </c>
      <c r="B13" s="34" t="str">
        <f>'DE-9IM Matrixes'!BB52</f>
        <v>F***F****</v>
      </c>
      <c r="C13" s="31" t="str">
        <f>'DE-9IM Matrixes'!BC52</f>
        <v>T*F***T**</v>
      </c>
      <c r="D13" s="32" t="str">
        <f>'DE-9IM Matrixes'!BD52</f>
        <v>*********</v>
      </c>
      <c r="E13" s="1"/>
      <c r="F13" s="2" t="str">
        <f t="shared" si="16"/>
        <v>A is Enclosed by B</v>
      </c>
      <c r="G13" s="3" t="str">
        <f t="shared" si="17"/>
        <v>100010000</v>
      </c>
      <c r="H13" s="3" t="str">
        <f t="shared" si="18"/>
        <v>101000100</v>
      </c>
      <c r="I13" s="4" t="str">
        <f t="shared" si="19"/>
        <v>000000000</v>
      </c>
      <c r="K13" s="39" t="str">
        <f t="shared" si="20"/>
        <v>A is Enclosed by B</v>
      </c>
      <c r="L13" s="3" t="str">
        <f t="shared" si="21"/>
        <v>000000000</v>
      </c>
      <c r="M13" s="3" t="str">
        <f t="shared" si="22"/>
        <v>100000100</v>
      </c>
      <c r="N13" s="41" t="str">
        <f t="shared" si="23"/>
        <v>000000000</v>
      </c>
    </row>
    <row r="14" spans="1:14" ht="19.5" thickBot="1" x14ac:dyDescent="0.3">
      <c r="A14" s="156" t="str">
        <f>'DE-9IM Matrixes'!BA57</f>
        <v xml:space="preserve">A is Disjoint 
with B </v>
      </c>
      <c r="B14" s="34" t="str">
        <f>'DE-9IM Matrixes'!BB57</f>
        <v>F***F****</v>
      </c>
      <c r="C14" s="31" t="str">
        <f>'DE-9IM Matrixes'!BC57</f>
        <v>**T***T**</v>
      </c>
      <c r="D14" s="32" t="str">
        <f>'DE-9IM Matrixes'!BD57</f>
        <v>**T***T**</v>
      </c>
      <c r="E14" s="1"/>
      <c r="F14" s="2" t="str">
        <f t="shared" si="16"/>
        <v xml:space="preserve">A is Disjoint 
with B </v>
      </c>
      <c r="G14" s="3" t="str">
        <f t="shared" si="17"/>
        <v>100010000</v>
      </c>
      <c r="H14" s="3" t="str">
        <f t="shared" si="18"/>
        <v>001000100</v>
      </c>
      <c r="I14" s="4" t="str">
        <f t="shared" si="19"/>
        <v>001000100</v>
      </c>
      <c r="K14" s="39" t="str">
        <f t="shared" si="20"/>
        <v xml:space="preserve">A is Disjoint 
with B </v>
      </c>
      <c r="L14" s="3" t="str">
        <f t="shared" si="21"/>
        <v>000000000</v>
      </c>
      <c r="M14" s="3" t="str">
        <f t="shared" si="22"/>
        <v>001000100</v>
      </c>
      <c r="N14" s="41" t="str">
        <f t="shared" si="23"/>
        <v>001000100</v>
      </c>
    </row>
    <row r="15" spans="1:14" ht="19.5" thickBot="1" x14ac:dyDescent="0.3">
      <c r="A15" s="156" t="str">
        <f>'DE-9IM Matrixes'!BA62</f>
        <v>A Shelters B</v>
      </c>
      <c r="B15" s="34" t="str">
        <f>'DE-9IM Matrixes'!BB62</f>
        <v>F*T*F*T**</v>
      </c>
      <c r="C15" s="31" t="str">
        <f>'DE-9IM Matrixes'!BC62</f>
        <v>F********</v>
      </c>
      <c r="D15" s="32" t="str">
        <f>'DE-9IM Matrixes'!BD62</f>
        <v>T*T***F**</v>
      </c>
      <c r="E15" s="1"/>
      <c r="F15" s="2" t="str">
        <f t="shared" si="16"/>
        <v>A Shelters B</v>
      </c>
      <c r="G15" s="3" t="str">
        <f t="shared" si="17"/>
        <v>101010100</v>
      </c>
      <c r="H15" s="3" t="str">
        <f t="shared" si="18"/>
        <v>100000000</v>
      </c>
      <c r="I15" s="4" t="str">
        <f t="shared" si="19"/>
        <v>101000100</v>
      </c>
      <c r="K15" s="39" t="str">
        <f t="shared" si="20"/>
        <v>A Shelters B</v>
      </c>
      <c r="L15" s="3" t="str">
        <f t="shared" si="21"/>
        <v>001000100</v>
      </c>
      <c r="M15" s="3" t="str">
        <f t="shared" si="22"/>
        <v>000000000</v>
      </c>
      <c r="N15" s="41" t="str">
        <f t="shared" si="23"/>
        <v>101000000</v>
      </c>
    </row>
    <row r="16" spans="1:14" ht="19.5" thickBot="1" x14ac:dyDescent="0.3">
      <c r="A16" s="156" t="str">
        <f>'DE-9IM Matrixes'!BA67</f>
        <v>A is Sheltered by B</v>
      </c>
      <c r="B16" s="34" t="str">
        <f>'DE-9IM Matrixes'!BB67</f>
        <v>F*T*F*T**</v>
      </c>
      <c r="C16" s="31" t="str">
        <f>'DE-9IM Matrixes'!BC67</f>
        <v>F********</v>
      </c>
      <c r="D16" s="32" t="str">
        <f>'DE-9IM Matrixes'!BD67</f>
        <v>T*F***T**</v>
      </c>
      <c r="E16" s="1"/>
      <c r="F16" s="157" t="str">
        <f t="shared" si="16"/>
        <v>A is Sheltered by B</v>
      </c>
      <c r="G16" s="43" t="str">
        <f t="shared" si="17"/>
        <v>101010100</v>
      </c>
      <c r="H16" s="43" t="str">
        <f t="shared" si="18"/>
        <v>100000000</v>
      </c>
      <c r="I16" s="158" t="str">
        <f t="shared" si="19"/>
        <v>101000100</v>
      </c>
      <c r="K16" s="42" t="str">
        <f t="shared" si="20"/>
        <v>A is Sheltered by B</v>
      </c>
      <c r="L16" s="43" t="str">
        <f t="shared" si="21"/>
        <v>001000100</v>
      </c>
      <c r="M16" s="43" t="str">
        <f t="shared" si="22"/>
        <v>000000000</v>
      </c>
      <c r="N16" s="44" t="str">
        <f t="shared" si="23"/>
        <v>100000100</v>
      </c>
    </row>
    <row r="24" spans="11:11" x14ac:dyDescent="0.25">
      <c r="K24" s="159"/>
    </row>
    <row r="25" spans="11:11" x14ac:dyDescent="0.25">
      <c r="K25" s="159"/>
    </row>
    <row r="26" spans="11:11" x14ac:dyDescent="0.25">
      <c r="K26" s="159"/>
    </row>
    <row r="27" spans="11:11" x14ac:dyDescent="0.25">
      <c r="K27" s="159"/>
    </row>
    <row r="28" spans="11:11" x14ac:dyDescent="0.25">
      <c r="K28" s="159"/>
    </row>
    <row r="29" spans="11:11" x14ac:dyDescent="0.25">
      <c r="K29" s="159"/>
    </row>
    <row r="30" spans="11:11" x14ac:dyDescent="0.25">
      <c r="K30" s="159"/>
    </row>
    <row r="31" spans="11:11" x14ac:dyDescent="0.25">
      <c r="K31" s="159"/>
    </row>
    <row r="32" spans="11:11" x14ac:dyDescent="0.25">
      <c r="K32" s="159"/>
    </row>
    <row r="33" spans="11:11" x14ac:dyDescent="0.25">
      <c r="K33" s="159"/>
    </row>
    <row r="36" spans="11:11" x14ac:dyDescent="0.25">
      <c r="K36" s="159"/>
    </row>
    <row r="38" spans="11:11" x14ac:dyDescent="0.25">
      <c r="K38" s="159"/>
    </row>
    <row r="39" spans="11:11" x14ac:dyDescent="0.25">
      <c r="K39" s="159"/>
    </row>
  </sheetData>
  <mergeCells count="3">
    <mergeCell ref="A1:D1"/>
    <mergeCell ref="F1:I1"/>
    <mergeCell ref="K1:N1"/>
  </mergeCells>
  <pageMargins left="0.7" right="0.7" top="0.75" bottom="0.75" header="0.3" footer="0.3"/>
  <pageSetup orientation="portrait" horizontalDpi="0" verticalDpi="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DB7F-4F22-46BC-B8B8-FB54B11B3912}">
  <dimension ref="A1:H85"/>
  <sheetViews>
    <sheetView workbookViewId="0">
      <selection activeCell="E3" sqref="E3:E13"/>
    </sheetView>
  </sheetViews>
  <sheetFormatPr defaultRowHeight="15" x14ac:dyDescent="0.25"/>
  <cols>
    <col min="1" max="1" width="47.28515625" bestFit="1" customWidth="1"/>
  </cols>
  <sheetData>
    <row r="1" spans="1:8" x14ac:dyDescent="0.25">
      <c r="A1" t="s">
        <v>83</v>
      </c>
    </row>
    <row r="2" spans="1:8" x14ac:dyDescent="0.25">
      <c r="A2" s="161" t="str">
        <f>_xlfn.CONCAT("'relation_type': '",UPPER(TRIM(SUBSTITUTE(SUBSTITUTE(SUBSTITUTE(SUBSTITUTE(RIGHT(A3,LEN(A3)-10),"is",""),"by",""),"with",""),"joi","isjoi"))))</f>
        <v>'relation_type': 'OVERLAPS',</v>
      </c>
    </row>
    <row r="3" spans="1:8" x14ac:dyDescent="0.25">
      <c r="A3" s="161" t="str">
        <f>_xlfn.CONCAT("'label': '",TRIM(SUBSTITUTE(SUBSTITUTE(SUBSTITUTE('Tests To Binaries'!K3,"A ",""),"B"," ")," o"," Bo")),"',")</f>
        <v>'label': 'Overlaps',</v>
      </c>
    </row>
    <row r="4" spans="1:8" x14ac:dyDescent="0.25">
      <c r="A4" s="161" t="str">
        <f>_xlfn.CONCAT("'pattern': '",'Tests To Binaries'!B3,"\t",'Tests To Binaries'!C3,"\t",'Tests To Binaries'!D3,"',")</f>
        <v>'pattern': 'T*T***T**\t*********\t*********',</v>
      </c>
    </row>
    <row r="5" spans="1:8" x14ac:dyDescent="0.25">
      <c r="A5" s="161" t="str">
        <f>_xlfn.CONCAT("'mask': '0b",'Tests To Binaries'!G3,'Tests To Binaries'!H3,'Tests To Binaries'!I3,"',")</f>
        <v>'mask': '0b101000100000000000000000000',</v>
      </c>
      <c r="E5" s="164"/>
      <c r="F5" s="164"/>
      <c r="G5" s="164"/>
      <c r="H5" s="164"/>
    </row>
    <row r="6" spans="1:8" x14ac:dyDescent="0.25">
      <c r="A6" s="161" t="str">
        <f>_xlfn.CONCAT("'value': '0b",'Tests To Binaries'!L3,'Tests To Binaries'!M3,'Tests To Binaries'!N3,"',")</f>
        <v>'value': '0b101000100000000000000000000',</v>
      </c>
      <c r="E6" s="164"/>
      <c r="F6" s="164"/>
      <c r="G6" s="164"/>
      <c r="H6" s="164"/>
    </row>
    <row r="7" spans="1:8" x14ac:dyDescent="0.25">
      <c r="A7" s="160" t="s">
        <v>82</v>
      </c>
      <c r="E7" s="164"/>
      <c r="G7" s="164"/>
      <c r="H7" s="164"/>
    </row>
    <row r="8" spans="1:8" x14ac:dyDescent="0.25">
      <c r="A8" s="161" t="str">
        <f>_xlfn.CONCAT("'relation_type': '",UPPER(TRIM(SUBSTITUTE(SUBSTITUTE(SUBSTITUTE(SUBSTITUTE(RIGHT(A9,LEN(A9)-10),"is",""),"by",""),"with",""),"joi","isjoi"))))</f>
        <v>'relation_type': 'PARTITIONED ',</v>
      </c>
    </row>
    <row r="9" spans="1:8" x14ac:dyDescent="0.25">
      <c r="A9" s="161" t="str">
        <f>_xlfn.CONCAT("'label': '",TRIM(SUBSTITUTE(SUBSTITUTE(SUBSTITUTE('Tests To Binaries'!K4,"A ",""),"B"," ")," o"," Bo")),"',")</f>
        <v>'label': 'is Partitioned by',</v>
      </c>
    </row>
    <row r="10" spans="1:8" x14ac:dyDescent="0.25">
      <c r="A10" s="161" t="str">
        <f>_xlfn.CONCAT("'pattern': '",'Tests To Binaries'!B4,"\t",'Tests To Binaries'!C4,"\t",'Tests To Binaries'!D4,"',")</f>
        <v>'pattern': 'T*T*T*F**\t*********\t*********',</v>
      </c>
    </row>
    <row r="11" spans="1:8" x14ac:dyDescent="0.25">
      <c r="A11" s="161" t="str">
        <f>_xlfn.CONCAT("'mask': '0b",'Tests To Binaries'!G4,'Tests To Binaries'!H4,'Tests To Binaries'!I4,"',")</f>
        <v>'mask': '0b101010100000000000000000000',</v>
      </c>
    </row>
    <row r="12" spans="1:8" x14ac:dyDescent="0.25">
      <c r="A12" s="161" t="str">
        <f>_xlfn.CONCAT("'value': '0b",'Tests To Binaries'!L4,'Tests To Binaries'!M4,'Tests To Binaries'!N4,"',")</f>
        <v>'value': '0b101010000000000000000000000',</v>
      </c>
    </row>
    <row r="13" spans="1:8" x14ac:dyDescent="0.25">
      <c r="A13" s="160" t="s">
        <v>82</v>
      </c>
    </row>
    <row r="14" spans="1:8" x14ac:dyDescent="0.25">
      <c r="A14" s="161" t="str">
        <f>_xlfn.CONCAT("'relation_type': '",UPPER(TRIM(SUBSTITUTE(SUBSTITUTE(SUBSTITUTE(SUBSTITUTE(RIGHT(A15,LEN(A15)-10),"is",""),"by",""),"with",""),"joi","isjoi"))))</f>
        <v>'relation_type': 'PARTITIONS',</v>
      </c>
    </row>
    <row r="15" spans="1:8" x14ac:dyDescent="0.25">
      <c r="A15" s="161" t="str">
        <f>_xlfn.CONCAT("'label': '",TRIM(SUBSTITUTE(SUBSTITUTE(SUBSTITUTE('Tests To Binaries'!K5,"A ",""),"B"," ")," o"," Bo")),"',")</f>
        <v>'label': 'Partitions',</v>
      </c>
    </row>
    <row r="16" spans="1:8" x14ac:dyDescent="0.25">
      <c r="A16" s="161" t="str">
        <f>_xlfn.CONCAT("'pattern': '",'Tests To Binaries'!B5,"\t",'Tests To Binaries'!C5,"\t",'Tests To Binaries'!D5,"',")</f>
        <v>'pattern': 'T*F*T*T**\t*********\t*********',</v>
      </c>
    </row>
    <row r="17" spans="1:1" x14ac:dyDescent="0.25">
      <c r="A17" s="161" t="str">
        <f>_xlfn.CONCAT("'mask': '0b",'Tests To Binaries'!G5,'Tests To Binaries'!H5,'Tests To Binaries'!I5,"',")</f>
        <v>'mask': '0b101010100000000000000000000',</v>
      </c>
    </row>
    <row r="18" spans="1:1" x14ac:dyDescent="0.25">
      <c r="A18" s="161" t="str">
        <f>_xlfn.CONCAT("'value': '0b",'Tests To Binaries'!L5,'Tests To Binaries'!M5,'Tests To Binaries'!N5,"',")</f>
        <v>'value': '0b100010100000000000000000000',</v>
      </c>
    </row>
    <row r="19" spans="1:1" x14ac:dyDescent="0.25">
      <c r="A19" s="160" t="s">
        <v>82</v>
      </c>
    </row>
    <row r="20" spans="1:1" x14ac:dyDescent="0.25">
      <c r="A20" s="161" t="str">
        <f>_xlfn.CONCAT("'relation_type': '",UPPER(TRIM(SUBSTITUTE(SUBSTITUTE(SUBSTITUTE(SUBSTITUTE(RIGHT(A21,LEN(A21)-10),"is",""),"by",""),"with",""),"joi","isjoi"))))</f>
        <v>'relation_type': 'EQUALS',</v>
      </c>
    </row>
    <row r="21" spans="1:1" x14ac:dyDescent="0.25">
      <c r="A21" s="161" t="str">
        <f>_xlfn.CONCAT("'label': '",TRIM(SUBSTITUTE(SUBSTITUTE(SUBSTITUTE('Tests To Binaries'!K6,"A ",""),"B"," ")," o"," Bo")),"',")</f>
        <v>'label': 'Equals',</v>
      </c>
    </row>
    <row r="22" spans="1:1" x14ac:dyDescent="0.25">
      <c r="A22" s="161" t="str">
        <f>_xlfn.CONCAT("'pattern': '",'Tests To Binaries'!B6,"\t",'Tests To Binaries'!C6,"\t",'Tests To Binaries'!D6,"',")</f>
        <v>'pattern': 'T*F*T*F**\t*********\t*********',</v>
      </c>
    </row>
    <row r="23" spans="1:1" x14ac:dyDescent="0.25">
      <c r="A23" s="161" t="str">
        <f>_xlfn.CONCAT("'mask': '0b",'Tests To Binaries'!G6,'Tests To Binaries'!H6,'Tests To Binaries'!I6,"',")</f>
        <v>'mask': '0b101010100000000000000000000',</v>
      </c>
    </row>
    <row r="24" spans="1:1" x14ac:dyDescent="0.25">
      <c r="A24" s="161" t="str">
        <f>_xlfn.CONCAT("'value': '0b",'Tests To Binaries'!L6,'Tests To Binaries'!M6,'Tests To Binaries'!N6,"',")</f>
        <v>'value': '0b100010000000000000000000000',</v>
      </c>
    </row>
    <row r="25" spans="1:1" x14ac:dyDescent="0.25">
      <c r="A25" s="160" t="s">
        <v>82</v>
      </c>
    </row>
    <row r="26" spans="1:1" x14ac:dyDescent="0.25">
      <c r="A26" s="161" t="str">
        <f>_xlfn.CONCAT("'relation_type': '",UPPER(TRIM(SUBSTITUTE(SUBSTITUTE(SUBSTITUTE(SUBSTITUTE(RIGHT(A27,LEN(A27)-10),"is",""),"by",""),"with",""),"joi","isjoi"))))</f>
        <v>'relation_type': 'CONFINES',</v>
      </c>
    </row>
    <row r="27" spans="1:1" x14ac:dyDescent="0.25">
      <c r="A27" s="161" t="str">
        <f>_xlfn.CONCAT("'label': '",TRIM(SUBSTITUTE(SUBSTITUTE(SUBSTITUTE('Tests To Binaries'!K7,"A ",""),"B"," ")," o"," Bo")),"',")</f>
        <v>'label': 'Confines',</v>
      </c>
    </row>
    <row r="28" spans="1:1" x14ac:dyDescent="0.25">
      <c r="A28" s="161" t="str">
        <f>_xlfn.CONCAT("'pattern': '",'Tests To Binaries'!B7,"\t",'Tests To Binaries'!C7,"\t",'Tests To Binaries'!D7,"',")</f>
        <v>'pattern': 'F***T****\tT*T***F**\t*********',</v>
      </c>
    </row>
    <row r="29" spans="1:1" x14ac:dyDescent="0.25">
      <c r="A29" s="161" t="str">
        <f>_xlfn.CONCAT("'mask': '0b",'Tests To Binaries'!G7,'Tests To Binaries'!H7,'Tests To Binaries'!I7,"',")</f>
        <v>'mask': '0b100010000101000100000000000',</v>
      </c>
    </row>
    <row r="30" spans="1:1" x14ac:dyDescent="0.25">
      <c r="A30" s="161" t="str">
        <f>_xlfn.CONCAT("'value': '0b",'Tests To Binaries'!L7,'Tests To Binaries'!M7,'Tests To Binaries'!N7,"',")</f>
        <v>'value': '0b000010000101000000000000000',</v>
      </c>
    </row>
    <row r="31" spans="1:1" x14ac:dyDescent="0.25">
      <c r="A31" s="160" t="s">
        <v>82</v>
      </c>
    </row>
    <row r="32" spans="1:1" x14ac:dyDescent="0.25">
      <c r="A32" s="161" t="str">
        <f>_xlfn.CONCAT("'relation_type': '",UPPER(TRIM(SUBSTITUTE(SUBSTITUTE(SUBSTITUTE(SUBSTITUTE(RIGHT(A33,LEN(A33)-10),"is",""),"by",""),"with",""),"joi","isjoi"))))</f>
        <v>'relation_type': 'CONFINED ',</v>
      </c>
    </row>
    <row r="33" spans="1:1" x14ac:dyDescent="0.25">
      <c r="A33" s="161" t="str">
        <f>_xlfn.CONCAT("'label': '",TRIM(SUBSTITUTE(SUBSTITUTE(SUBSTITUTE('Tests To Binaries'!K8,"A ",""),"B"," ")," o"," Bo")),"',")</f>
        <v>'label': 'is Confined by',</v>
      </c>
    </row>
    <row r="34" spans="1:1" x14ac:dyDescent="0.25">
      <c r="A34" s="161" t="str">
        <f>_xlfn.CONCAT("'pattern': '",'Tests To Binaries'!B8,"\t",'Tests To Binaries'!C8,"\t",'Tests To Binaries'!D8,"',")</f>
        <v>'pattern': 'F***T****\tT*F***T**\t*********',</v>
      </c>
    </row>
    <row r="35" spans="1:1" x14ac:dyDescent="0.25">
      <c r="A35" s="161" t="str">
        <f>_xlfn.CONCAT("'mask': '0b",'Tests To Binaries'!G8,'Tests To Binaries'!H8,'Tests To Binaries'!I8,"',")</f>
        <v>'mask': '0b100010000101000100000000000',</v>
      </c>
    </row>
    <row r="36" spans="1:1" x14ac:dyDescent="0.25">
      <c r="A36" s="161" t="str">
        <f>_xlfn.CONCAT("'value': '0b",'Tests To Binaries'!L8,'Tests To Binaries'!M8,'Tests To Binaries'!N8,"',")</f>
        <v>'value': '0b000010000100000100000000000',</v>
      </c>
    </row>
    <row r="37" spans="1:1" x14ac:dyDescent="0.25">
      <c r="A37" s="160" t="s">
        <v>82</v>
      </c>
    </row>
    <row r="38" spans="1:1" x14ac:dyDescent="0.25">
      <c r="A38" s="161" t="str">
        <f>_xlfn.CONCAT("'relation_type': '",UPPER(TRIM(SUBSTITUTE(SUBSTITUTE(SUBSTITUTE(SUBSTITUTE(RIGHT(A39,LEN(A39)-10),"is",""),"by",""),"with",""),"joi","isjoi"))))</f>
        <v>'relation_type': 'BORDERS',</v>
      </c>
    </row>
    <row r="39" spans="1:1" x14ac:dyDescent="0.25">
      <c r="A39" s="161" t="str">
        <f>_xlfn.CONCAT("'label': '",TRIM(SUBSTITUTE(SUBSTITUTE(SUBSTITUTE('Tests To Binaries'!K9,"A ",""),"B"," ")," o"," Bo")),"',")</f>
        <v>'label': 'Borders',</v>
      </c>
    </row>
    <row r="40" spans="1:1" x14ac:dyDescent="0.25">
      <c r="A40" s="161" t="str">
        <f>_xlfn.CONCAT("'pattern': '",'Tests To Binaries'!B9,"\t",'Tests To Binaries'!C9,"\t",'Tests To Binaries'!D9,"',")</f>
        <v>'pattern': 'F***T****\tF*T***T**\t*********',</v>
      </c>
    </row>
    <row r="41" spans="1:1" x14ac:dyDescent="0.25">
      <c r="A41" s="161" t="str">
        <f>_xlfn.CONCAT("'mask': '0b",'Tests To Binaries'!G9,'Tests To Binaries'!H9,'Tests To Binaries'!I9,"',")</f>
        <v>'mask': '0b100010000101000100000000000',</v>
      </c>
    </row>
    <row r="42" spans="1:1" x14ac:dyDescent="0.25">
      <c r="A42" s="161" t="str">
        <f>_xlfn.CONCAT("'value': '0b",'Tests To Binaries'!L9,'Tests To Binaries'!M9,'Tests To Binaries'!N9,"',")</f>
        <v>'value': '0b000010000001000100000000000',</v>
      </c>
    </row>
    <row r="43" spans="1:1" x14ac:dyDescent="0.25">
      <c r="A43" s="160" t="s">
        <v>82</v>
      </c>
    </row>
    <row r="44" spans="1:1" x14ac:dyDescent="0.25">
      <c r="A44" s="161" t="str">
        <f>_xlfn.CONCAT("'relation_type': '",UPPER(TRIM(SUBSTITUTE(SUBSTITUTE(SUBSTITUTE(SUBSTITUTE(RIGHT(A45,LEN(A45)-10),"is",""),"by",""),"with",""),"joi","isjoi"))))</f>
        <v>'relation_type': 'CONTAINS',</v>
      </c>
    </row>
    <row r="45" spans="1:1" x14ac:dyDescent="0.25">
      <c r="A45" s="161" t="str">
        <f>_xlfn.CONCAT("'label': '",TRIM(SUBSTITUTE(SUBSTITUTE(SUBSTITUTE('Tests To Binaries'!K10,"A ",""),"B"," ")," o"," Bo")),"',")</f>
        <v>'label': 'Contains',</v>
      </c>
    </row>
    <row r="46" spans="1:1" x14ac:dyDescent="0.25">
      <c r="A46" s="161" t="str">
        <f>_xlfn.CONCAT("'pattern': '",'Tests To Binaries'!B10,"\t",'Tests To Binaries'!C10,"\t",'Tests To Binaries'!D10,"',")</f>
        <v>'pattern': 'T*T*F*F**\t*********\t*********',</v>
      </c>
    </row>
    <row r="47" spans="1:1" x14ac:dyDescent="0.25">
      <c r="A47" s="161" t="str">
        <f>_xlfn.CONCAT("'mask': '0b",'Tests To Binaries'!G10,'Tests To Binaries'!H10,'Tests To Binaries'!I10,"',")</f>
        <v>'mask': '0b101010100000000000000000000',</v>
      </c>
    </row>
    <row r="48" spans="1:1" x14ac:dyDescent="0.25">
      <c r="A48" s="161" t="str">
        <f>_xlfn.CONCAT("'value': '0b",'Tests To Binaries'!L10,'Tests To Binaries'!M10,'Tests To Binaries'!N10,"',")</f>
        <v>'value': '0b101000000000000000000000000',</v>
      </c>
    </row>
    <row r="49" spans="1:1" x14ac:dyDescent="0.25">
      <c r="A49" s="160" t="s">
        <v>82</v>
      </c>
    </row>
    <row r="50" spans="1:1" x14ac:dyDescent="0.25">
      <c r="A50" s="161" t="str">
        <f>_xlfn.CONCAT("'relation_type': '",UPPER(TRIM(SUBSTITUTE(SUBSTITUTE(SUBSTITUTE(SUBSTITUTE(RIGHT(A51,LEN(A51)-10),"is",""),"by",""),"with",""),"joi","isjoi"))))</f>
        <v>'relation_type': 'WITHIN',</v>
      </c>
    </row>
    <row r="51" spans="1:1" x14ac:dyDescent="0.25">
      <c r="A51" s="161" t="str">
        <f>_xlfn.CONCAT("'label': '",TRIM(SUBSTITUTE(SUBSTITUTE(SUBSTITUTE('Tests To Binaries'!K11,"A ",""),"B"," ")," o"," Bo")),"',")</f>
        <v>'label': 'is Within',</v>
      </c>
    </row>
    <row r="52" spans="1:1" x14ac:dyDescent="0.25">
      <c r="A52" s="161" t="str">
        <f>_xlfn.CONCAT("'pattern': '",'Tests To Binaries'!B11,"\t",'Tests To Binaries'!C11,"\t",'Tests To Binaries'!D11,"',")</f>
        <v>'pattern': 'T*F*F*T**\t*********\t*********',</v>
      </c>
    </row>
    <row r="53" spans="1:1" x14ac:dyDescent="0.25">
      <c r="A53" s="161" t="str">
        <f>_xlfn.CONCAT("'mask': '0b",'Tests To Binaries'!G11,'Tests To Binaries'!H11,'Tests To Binaries'!I11,"',")</f>
        <v>'mask': '0b101010100000000000000000000',</v>
      </c>
    </row>
    <row r="54" spans="1:1" x14ac:dyDescent="0.25">
      <c r="A54" s="161" t="str">
        <f>_xlfn.CONCAT("'value': '0b",'Tests To Binaries'!L11,'Tests To Binaries'!M11,'Tests To Binaries'!N11,"',")</f>
        <v>'value': '0b100000100000000000000000000',</v>
      </c>
    </row>
    <row r="55" spans="1:1" x14ac:dyDescent="0.25">
      <c r="A55" s="160" t="s">
        <v>82</v>
      </c>
    </row>
    <row r="56" spans="1:1" x14ac:dyDescent="0.25">
      <c r="A56" s="161" t="str">
        <f>_xlfn.CONCAT("'relation_type': '",UPPER(TRIM(SUBSTITUTE(SUBSTITUTE(SUBSTITUTE(SUBSTITUTE(RIGHT(A57,LEN(A57)-10),"is",""),"by",""),"with",""),"joi","isjoi"))))</f>
        <v>'relation_type': 'SURROUNDS',</v>
      </c>
    </row>
    <row r="57" spans="1:1" x14ac:dyDescent="0.25">
      <c r="A57" s="161" t="str">
        <f>_xlfn.CONCAT("'label': '",TRIM(SUBSTITUTE(SUBSTITUTE(SUBSTITUTE('Tests To Binaries'!K12,"A ",""),"B"," ")," o"," Bo")),"',")</f>
        <v>'label': 'Surrounds',</v>
      </c>
    </row>
    <row r="58" spans="1:1" x14ac:dyDescent="0.25">
      <c r="A58" s="161" t="str">
        <f>_xlfn.CONCAT("'pattern': '",'Tests To Binaries'!B12,"\t",'Tests To Binaries'!C12,"\t",'Tests To Binaries'!D12,"',")</f>
        <v>'pattern': 'F***F****\tT*T***F**\t*********',</v>
      </c>
    </row>
    <row r="59" spans="1:1" x14ac:dyDescent="0.25">
      <c r="A59" s="161" t="str">
        <f>_xlfn.CONCAT("'mask': '0b",'Tests To Binaries'!G12,'Tests To Binaries'!H12,'Tests To Binaries'!I12,"',")</f>
        <v>'mask': '0b100010000101000100000000000',</v>
      </c>
    </row>
    <row r="60" spans="1:1" x14ac:dyDescent="0.25">
      <c r="A60" s="161" t="str">
        <f>_xlfn.CONCAT("'value': '0b",'Tests To Binaries'!L12,'Tests To Binaries'!M12,'Tests To Binaries'!N12,"',")</f>
        <v>'value': '0b000000000101000000000000000',</v>
      </c>
    </row>
    <row r="61" spans="1:1" x14ac:dyDescent="0.25">
      <c r="A61" s="160" t="s">
        <v>82</v>
      </c>
    </row>
    <row r="62" spans="1:1" x14ac:dyDescent="0.25">
      <c r="A62" s="161" t="str">
        <f>_xlfn.CONCAT("'relation_type': '",UPPER(TRIM(SUBSTITUTE(SUBSTITUTE(SUBSTITUTE(SUBSTITUTE(RIGHT(A63,LEN(A63)-10),"is",""),"by",""),"with",""),"joi","isjoi"))))</f>
        <v>'relation_type': 'ENCLOSED ',</v>
      </c>
    </row>
    <row r="63" spans="1:1" x14ac:dyDescent="0.25">
      <c r="A63" s="161" t="str">
        <f>_xlfn.CONCAT("'label': '",TRIM(SUBSTITUTE(SUBSTITUTE(SUBSTITUTE('Tests To Binaries'!K13,"A ",""),"B"," ")," o"," Bo")),"',")</f>
        <v>'label': 'is Enclosed by',</v>
      </c>
    </row>
    <row r="64" spans="1:1" x14ac:dyDescent="0.25">
      <c r="A64" s="161" t="str">
        <f>_xlfn.CONCAT("'pattern': '",'Tests To Binaries'!B13,"\t",'Tests To Binaries'!C13,"\t",'Tests To Binaries'!D13,"',")</f>
        <v>'pattern': 'F***F****\tT*F***T**\t*********',</v>
      </c>
    </row>
    <row r="65" spans="1:1" x14ac:dyDescent="0.25">
      <c r="A65" s="161" t="str">
        <f>_xlfn.CONCAT("'mask': '0b",'Tests To Binaries'!G13,'Tests To Binaries'!H13,'Tests To Binaries'!I13,"',")</f>
        <v>'mask': '0b100010000101000100000000000',</v>
      </c>
    </row>
    <row r="66" spans="1:1" x14ac:dyDescent="0.25">
      <c r="A66" s="161" t="str">
        <f>_xlfn.CONCAT("'value': '0b",'Tests To Binaries'!L13,'Tests To Binaries'!M13,'Tests To Binaries'!N13,"',")</f>
        <v>'value': '0b000000000100000100000000000',</v>
      </c>
    </row>
    <row r="67" spans="1:1" x14ac:dyDescent="0.25">
      <c r="A67" s="160" t="s">
        <v>82</v>
      </c>
    </row>
    <row r="68" spans="1:1" x14ac:dyDescent="0.25">
      <c r="A68" s="161" t="str">
        <f>_xlfn.CONCAT("'relation_type': '",UPPER(TRIM(SUBSTITUTE(SUBSTITUTE(SUBSTITUTE(SUBSTITUTE(RIGHT(A69,LEN(A69)-10),"is",""),"by",""),"with",""),"joi","isjoi"))))</f>
        <v>'relation_type': 'DISJOINT 
',</v>
      </c>
    </row>
    <row r="69" spans="1:1" x14ac:dyDescent="0.25">
      <c r="A69" s="161" t="str">
        <f>_xlfn.CONCAT("'label': '",TRIM(SUBSTITUTE(SUBSTITUTE(SUBSTITUTE('Tests To Binaries'!K14,"A ",""),"B"," ")," o"," Bo")),"',")</f>
        <v>'label': 'is Disjoint 
with',</v>
      </c>
    </row>
    <row r="70" spans="1:1" x14ac:dyDescent="0.25">
      <c r="A70" s="161" t="str">
        <f>_xlfn.CONCAT("'pattern': '",'Tests To Binaries'!B14,"\t",'Tests To Binaries'!C14,"\t",'Tests To Binaries'!D14,"',")</f>
        <v>'pattern': 'F***F****\t**T***T**\t**T***T**',</v>
      </c>
    </row>
    <row r="71" spans="1:1" x14ac:dyDescent="0.25">
      <c r="A71" s="161" t="str">
        <f>_xlfn.CONCAT("'mask': '0b",'Tests To Binaries'!G14,'Tests To Binaries'!H14,'Tests To Binaries'!I14,"',")</f>
        <v>'mask': '0b100010000001000100001000100',</v>
      </c>
    </row>
    <row r="72" spans="1:1" x14ac:dyDescent="0.25">
      <c r="A72" s="161" t="str">
        <f>_xlfn.CONCAT("'value': '0b",'Tests To Binaries'!L14,'Tests To Binaries'!M14,'Tests To Binaries'!N14,"',")</f>
        <v>'value': '0b000000000001000100001000100',</v>
      </c>
    </row>
    <row r="73" spans="1:1" x14ac:dyDescent="0.25">
      <c r="A73" s="160" t="s">
        <v>82</v>
      </c>
    </row>
    <row r="74" spans="1:1" x14ac:dyDescent="0.25">
      <c r="A74" s="161" t="str">
        <f>_xlfn.CONCAT("'relation_type': '",UPPER(TRIM(SUBSTITUTE(SUBSTITUTE(SUBSTITUTE(SUBSTITUTE(RIGHT(A75,LEN(A75)-10),"is",""),"by",""),"with",""),"joi","isjoi"))))</f>
        <v>'relation_type': 'SHELTERS',</v>
      </c>
    </row>
    <row r="75" spans="1:1" x14ac:dyDescent="0.25">
      <c r="A75" s="161" t="str">
        <f>_xlfn.CONCAT("'label': '",TRIM(SUBSTITUTE(SUBSTITUTE(SUBSTITUTE('Tests To Binaries'!K15,"A ",""),"B"," ")," o"," Bo")),"',")</f>
        <v>'label': 'Shelters',</v>
      </c>
    </row>
    <row r="76" spans="1:1" x14ac:dyDescent="0.25">
      <c r="A76" s="161" t="str">
        <f>_xlfn.CONCAT("'pattern': '",'Tests To Binaries'!B15,"\t",'Tests To Binaries'!C15,"\t",'Tests To Binaries'!D15,"',")</f>
        <v>'pattern': 'F*T*F*T**\tF********\tT*T***F**',</v>
      </c>
    </row>
    <row r="77" spans="1:1" x14ac:dyDescent="0.25">
      <c r="A77" s="161" t="str">
        <f>_xlfn.CONCAT("'mask': '0b",'Tests To Binaries'!G15,'Tests To Binaries'!H15,'Tests To Binaries'!I15,"',")</f>
        <v>'mask': '0b101010100100000000101000100',</v>
      </c>
    </row>
    <row r="78" spans="1:1" x14ac:dyDescent="0.25">
      <c r="A78" s="161" t="str">
        <f>_xlfn.CONCAT("'value': '0b",'Tests To Binaries'!L15,'Tests To Binaries'!M15,'Tests To Binaries'!N15,"',")</f>
        <v>'value': '0b001000100000000000101000000',</v>
      </c>
    </row>
    <row r="79" spans="1:1" x14ac:dyDescent="0.25">
      <c r="A79" s="160" t="s">
        <v>82</v>
      </c>
    </row>
    <row r="80" spans="1:1" x14ac:dyDescent="0.25">
      <c r="A80" s="161" t="str">
        <f>_xlfn.CONCAT("'relation_type': '",UPPER(TRIM(SUBSTITUTE(SUBSTITUTE(SUBSTITUTE(SUBSTITUTE(RIGHT(A81,LEN(A81)-10),"is",""),"by",""),"with",""),"joi","isjoi"))))</f>
        <v>'relation_type': 'SHELTERED ',</v>
      </c>
    </row>
    <row r="81" spans="1:1" x14ac:dyDescent="0.25">
      <c r="A81" s="161" t="str">
        <f>_xlfn.CONCAT("'label': '",TRIM(SUBSTITUTE(SUBSTITUTE(SUBSTITUTE('Tests To Binaries'!K16,"A ",""),"B"," ")," o"," Bo")),"',")</f>
        <v>'label': 'is Sheltered by',</v>
      </c>
    </row>
    <row r="82" spans="1:1" x14ac:dyDescent="0.25">
      <c r="A82" s="161" t="str">
        <f>_xlfn.CONCAT("'pattern': '",'Tests To Binaries'!B16,"\t",'Tests To Binaries'!C16,"\t",'Tests To Binaries'!D16,"',")</f>
        <v>'pattern': 'F*T*F*T**\tF********\tT*F***T**',</v>
      </c>
    </row>
    <row r="83" spans="1:1" x14ac:dyDescent="0.25">
      <c r="A83" s="161" t="str">
        <f>_xlfn.CONCAT("'mask': '0b",'Tests To Binaries'!G16,'Tests To Binaries'!H16,'Tests To Binaries'!I16,"',")</f>
        <v>'mask': '0b101010100100000000101000100',</v>
      </c>
    </row>
    <row r="84" spans="1:1" x14ac:dyDescent="0.25">
      <c r="A84" s="161" t="str">
        <f>_xlfn.CONCAT("'value': '0b",'Tests To Binaries'!L16,'Tests To Binaries'!M16,'Tests To Binaries'!N16,"',")</f>
        <v>'value': '0b001000100000000000100000100',</v>
      </c>
    </row>
    <row r="85" spans="1:1" x14ac:dyDescent="0.25">
      <c r="A85" s="160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>
      <selection activeCell="G1" sqref="G1:I1"/>
    </sheetView>
  </sheetViews>
  <sheetFormatPr defaultRowHeight="15" x14ac:dyDescent="0.25"/>
  <cols>
    <col min="1" max="1" width="17.140625" bestFit="1" customWidth="1"/>
    <col min="2" max="2" width="6.140625" bestFit="1" customWidth="1"/>
    <col min="3" max="3" width="54.5703125" bestFit="1" customWidth="1"/>
    <col min="5" max="5" width="14.28515625" customWidth="1"/>
    <col min="6" max="6" width="7.140625" customWidth="1"/>
    <col min="7" max="7" width="10" bestFit="1" customWidth="1"/>
    <col min="8" max="8" width="10.140625" customWidth="1"/>
    <col min="9" max="9" width="10" bestFit="1" customWidth="1"/>
  </cols>
  <sheetData>
    <row r="1" spans="1:9" ht="19.5" thickBot="1" x14ac:dyDescent="0.3">
      <c r="A1" s="7" t="s">
        <v>57</v>
      </c>
      <c r="B1" s="222" t="s">
        <v>58</v>
      </c>
      <c r="C1" s="223"/>
      <c r="E1" t="s">
        <v>57</v>
      </c>
      <c r="F1" t="s">
        <v>59</v>
      </c>
      <c r="G1" t="s">
        <v>51</v>
      </c>
      <c r="H1" t="s">
        <v>52</v>
      </c>
      <c r="I1" t="s">
        <v>53</v>
      </c>
    </row>
    <row r="2" spans="1:9" ht="18.75" x14ac:dyDescent="0.25">
      <c r="A2" s="220" t="str">
        <f>'Tests To Binaries'!A3</f>
        <v>A Overlaps B</v>
      </c>
      <c r="B2" s="8" t="s">
        <v>60</v>
      </c>
      <c r="C2" s="9" t="str">
        <f>CONCATENATE("(",G2,", ",H2,", ",I2,")")</f>
        <v>(101000100, 000000000, 000000000)</v>
      </c>
      <c r="E2" t="str">
        <f>A2</f>
        <v>A Overlaps B</v>
      </c>
      <c r="F2" t="str">
        <f>B2</f>
        <v>Mask</v>
      </c>
      <c r="G2" t="str">
        <f>IF(EXACT($F2,"Mask"),VLOOKUP($E2,Masks[],MATCH(G$1,Masks[#Headers],0),FALSE),IF(EXACT($F2,"Value"),VLOOKUP($E2,Values[],MATCH(G$1,Values[#Headers],0),FALSE),""))</f>
        <v>101000100</v>
      </c>
      <c r="H2" t="str">
        <f>IF(EXACT($F2,"Mask"),VLOOKUP($E2,Masks[],MATCH(H$1,Masks[#Headers],0),FALSE),IF(EXACT($F2,"Value"),VLOOKUP($E2,Values[],MATCH(H$1,Values[#Headers],0),FALSE),""))</f>
        <v>000000000</v>
      </c>
      <c r="I2" t="str">
        <f>IF(EXACT($F2,"Mask"),VLOOKUP($E2,Masks[],MATCH(I$1,Masks[#Headers],0),FALSE),IF(EXACT($F2,"Value"),VLOOKUP($E2,Values[],MATCH(I$1,Values[#Headers],0),FALSE),""))</f>
        <v>000000000</v>
      </c>
    </row>
    <row r="3" spans="1:9" ht="19.5" thickBot="1" x14ac:dyDescent="0.3">
      <c r="A3" s="221" t="str">
        <f>'Tests To Binaries'!A3</f>
        <v>A Overlaps B</v>
      </c>
      <c r="B3" s="5" t="s">
        <v>61</v>
      </c>
      <c r="C3" s="6" t="str">
        <f t="shared" ref="C3:C19" si="0">CONCATENATE("(",G3,", ",H3,", ",I3,")")</f>
        <v>(101000100, 000000000, 000000000)</v>
      </c>
      <c r="E3" t="str">
        <f t="shared" ref="E3:E19" si="1">A3</f>
        <v>A Overlaps B</v>
      </c>
      <c r="F3" t="str">
        <f t="shared" ref="F3:F19" si="2">B3</f>
        <v>Value</v>
      </c>
      <c r="G3" t="str">
        <f>IF(EXACT($F3,"Mask"),VLOOKUP($E3,Masks[],MATCH(G$1,Masks[#Headers],0),FALSE),IF(EXACT($F3,"Value"),VLOOKUP($E3,Values[],MATCH(G$1,Values[#Headers],0),FALSE),""))</f>
        <v>101000100</v>
      </c>
      <c r="H3" t="str">
        <f>IF(EXACT($F3,"Mask"),VLOOKUP($E3,Masks[],MATCH(H$1,Masks[#Headers],0),FALSE),IF(EXACT($F3,"Value"),VLOOKUP($E3,Values[],MATCH(H$1,Values[#Headers],0),FALSE),""))</f>
        <v>000000000</v>
      </c>
      <c r="I3" t="str">
        <f>IF(EXACT($F3,"Mask"),VLOOKUP($E3,Masks[],MATCH(I$1,Masks[#Headers],0),FALSE),IF(EXACT($F3,"Value"),VLOOKUP($E3,Values[],MATCH(I$1,Values[#Headers],0),FALSE),""))</f>
        <v>000000000</v>
      </c>
    </row>
    <row r="4" spans="1:9" ht="18.75" x14ac:dyDescent="0.25">
      <c r="A4" s="220" t="str">
        <f>'Tests To Binaries'!A4</f>
        <v>A is Partitioned by  B</v>
      </c>
      <c r="B4" s="8" t="s">
        <v>60</v>
      </c>
      <c r="C4" s="9" t="str">
        <f t="shared" si="0"/>
        <v>(101010100, 000000000, 000000000)</v>
      </c>
      <c r="E4" t="str">
        <f t="shared" si="1"/>
        <v>A is Partitioned by  B</v>
      </c>
      <c r="F4" t="str">
        <f t="shared" si="2"/>
        <v>Mask</v>
      </c>
      <c r="G4" t="str">
        <f>IF(EXACT($F4,"Mask"),VLOOKUP($E4,Masks[],MATCH(G$1,Masks[#Headers],0),FALSE),IF(EXACT($F4,"Value"),VLOOKUP($E4,Values[],MATCH(G$1,Values[#Headers],0),FALSE),""))</f>
        <v>101010100</v>
      </c>
      <c r="H4" t="str">
        <f>IF(EXACT($F4,"Mask"),VLOOKUP($E4,Masks[],MATCH(H$1,Masks[#Headers],0),FALSE),IF(EXACT($F4,"Value"),VLOOKUP($E4,Values[],MATCH(H$1,Values[#Headers],0),FALSE),""))</f>
        <v>000000000</v>
      </c>
      <c r="I4" t="str">
        <f>IF(EXACT($F4,"Mask"),VLOOKUP($E4,Masks[],MATCH(I$1,Masks[#Headers],0),FALSE),IF(EXACT($F4,"Value"),VLOOKUP($E4,Values[],MATCH(I$1,Values[#Headers],0),FALSE),""))</f>
        <v>000000000</v>
      </c>
    </row>
    <row r="5" spans="1:9" ht="19.5" thickBot="1" x14ac:dyDescent="0.3">
      <c r="A5" s="221" t="str">
        <f>'Tests To Binaries'!A4</f>
        <v>A is Partitioned by  B</v>
      </c>
      <c r="B5" s="5" t="s">
        <v>61</v>
      </c>
      <c r="C5" s="6" t="str">
        <f t="shared" si="0"/>
        <v>(101010000, 000000000, 000000000)</v>
      </c>
      <c r="E5" t="str">
        <f t="shared" si="1"/>
        <v>A is Partitioned by  B</v>
      </c>
      <c r="F5" t="str">
        <f t="shared" si="2"/>
        <v>Value</v>
      </c>
      <c r="G5" t="str">
        <f>IF(EXACT($F5,"Mask"),VLOOKUP($E5,Masks[],MATCH(G$1,Masks[#Headers],0),FALSE),IF(EXACT($F5,"Value"),VLOOKUP($E5,Values[],MATCH(G$1,Values[#Headers],0),FALSE),""))</f>
        <v>101010000</v>
      </c>
      <c r="H5" t="str">
        <f>IF(EXACT($F5,"Mask"),VLOOKUP($E5,Masks[],MATCH(H$1,Masks[#Headers],0),FALSE),IF(EXACT($F5,"Value"),VLOOKUP($E5,Values[],MATCH(H$1,Values[#Headers],0),FALSE),""))</f>
        <v>000000000</v>
      </c>
      <c r="I5" t="str">
        <f>IF(EXACT($F5,"Mask"),VLOOKUP($E5,Masks[],MATCH(I$1,Masks[#Headers],0),FALSE),IF(EXACT($F5,"Value"),VLOOKUP($E5,Values[],MATCH(I$1,Values[#Headers],0),FALSE),""))</f>
        <v>000000000</v>
      </c>
    </row>
    <row r="6" spans="1:9" ht="18.75" x14ac:dyDescent="0.25">
      <c r="A6" s="220" t="str">
        <f>'Tests To Binaries'!A5</f>
        <v>A Partitions B</v>
      </c>
      <c r="B6" s="8" t="s">
        <v>60</v>
      </c>
      <c r="C6" s="9" t="str">
        <f t="shared" si="0"/>
        <v>(101010100, 000000000, 000000000)</v>
      </c>
      <c r="E6" t="str">
        <f t="shared" si="1"/>
        <v>A Partitions B</v>
      </c>
      <c r="F6" t="str">
        <f t="shared" si="2"/>
        <v>Mask</v>
      </c>
      <c r="G6" t="str">
        <f>IF(EXACT($F6,"Mask"),VLOOKUP($E6,Masks[],MATCH(G$1,Masks[#Headers],0),FALSE),IF(EXACT($F6,"Value"),VLOOKUP($E6,Values[],MATCH(G$1,Values[#Headers],0),FALSE),""))</f>
        <v>101010100</v>
      </c>
      <c r="H6" t="str">
        <f>IF(EXACT($F6,"Mask"),VLOOKUP($E6,Masks[],MATCH(H$1,Masks[#Headers],0),FALSE),IF(EXACT($F6,"Value"),VLOOKUP($E6,Values[],MATCH(H$1,Values[#Headers],0),FALSE),""))</f>
        <v>000000000</v>
      </c>
      <c r="I6" t="str">
        <f>IF(EXACT($F6,"Mask"),VLOOKUP($E6,Masks[],MATCH(I$1,Masks[#Headers],0),FALSE),IF(EXACT($F6,"Value"),VLOOKUP($E6,Values[],MATCH(I$1,Values[#Headers],0),FALSE),""))</f>
        <v>000000000</v>
      </c>
    </row>
    <row r="7" spans="1:9" ht="19.5" thickBot="1" x14ac:dyDescent="0.3">
      <c r="A7" s="221" t="str">
        <f>'Tests To Binaries'!A5</f>
        <v>A Partitions B</v>
      </c>
      <c r="B7" s="5" t="s">
        <v>61</v>
      </c>
      <c r="C7" s="6" t="str">
        <f t="shared" si="0"/>
        <v>(100010100, 000000000, 000000000)</v>
      </c>
      <c r="E7" t="str">
        <f t="shared" si="1"/>
        <v>A Partitions B</v>
      </c>
      <c r="F7" t="str">
        <f t="shared" si="2"/>
        <v>Value</v>
      </c>
      <c r="G7" t="str">
        <f>IF(EXACT($F7,"Mask"),VLOOKUP($E7,Masks[],MATCH(G$1,Masks[#Headers],0),FALSE),IF(EXACT($F7,"Value"),VLOOKUP($E7,Values[],MATCH(G$1,Values[#Headers],0),FALSE),""))</f>
        <v>100010100</v>
      </c>
      <c r="H7" t="str">
        <f>IF(EXACT($F7,"Mask"),VLOOKUP($E7,Masks[],MATCH(H$1,Masks[#Headers],0),FALSE),IF(EXACT($F7,"Value"),VLOOKUP($E7,Values[],MATCH(H$1,Values[#Headers],0),FALSE),""))</f>
        <v>000000000</v>
      </c>
      <c r="I7" t="str">
        <f>IF(EXACT($F7,"Mask"),VLOOKUP($E7,Masks[],MATCH(I$1,Masks[#Headers],0),FALSE),IF(EXACT($F7,"Value"),VLOOKUP($E7,Values[],MATCH(I$1,Values[#Headers],0),FALSE),""))</f>
        <v>000000000</v>
      </c>
    </row>
    <row r="8" spans="1:9" ht="18.75" x14ac:dyDescent="0.25">
      <c r="A8" s="220" t="str">
        <f>'Tests To Binaries'!A6</f>
        <v>A Equals B</v>
      </c>
      <c r="B8" s="8" t="s">
        <v>60</v>
      </c>
      <c r="C8" s="9" t="str">
        <f t="shared" si="0"/>
        <v>(101010100, 000000000, 000000000)</v>
      </c>
      <c r="E8" t="str">
        <f t="shared" si="1"/>
        <v>A Equals B</v>
      </c>
      <c r="F8" t="str">
        <f t="shared" si="2"/>
        <v>Mask</v>
      </c>
      <c r="G8" t="str">
        <f>IF(EXACT($F8,"Mask"),VLOOKUP($E8,Masks[],MATCH(G$1,Masks[#Headers],0),FALSE),IF(EXACT($F8,"Value"),VLOOKUP($E8,Values[],MATCH(G$1,Values[#Headers],0),FALSE),""))</f>
        <v>101010100</v>
      </c>
      <c r="H8" t="str">
        <f>IF(EXACT($F8,"Mask"),VLOOKUP($E8,Masks[],MATCH(H$1,Masks[#Headers],0),FALSE),IF(EXACT($F8,"Value"),VLOOKUP($E8,Values[],MATCH(H$1,Values[#Headers],0),FALSE),""))</f>
        <v>000000000</v>
      </c>
      <c r="I8" t="str">
        <f>IF(EXACT($F8,"Mask"),VLOOKUP($E8,Masks[],MATCH(I$1,Masks[#Headers],0),FALSE),IF(EXACT($F8,"Value"),VLOOKUP($E8,Values[],MATCH(I$1,Values[#Headers],0),FALSE),""))</f>
        <v>000000000</v>
      </c>
    </row>
    <row r="9" spans="1:9" ht="19.5" thickBot="1" x14ac:dyDescent="0.3">
      <c r="A9" s="221" t="str">
        <f>'Tests To Binaries'!A6</f>
        <v>A Equals B</v>
      </c>
      <c r="B9" s="5" t="s">
        <v>61</v>
      </c>
      <c r="C9" s="6" t="str">
        <f t="shared" si="0"/>
        <v>(100010000, 000000000, 000000000)</v>
      </c>
      <c r="E9" t="str">
        <f t="shared" si="1"/>
        <v>A Equals B</v>
      </c>
      <c r="F9" t="str">
        <f t="shared" si="2"/>
        <v>Value</v>
      </c>
      <c r="G9" t="str">
        <f>IF(EXACT($F9,"Mask"),VLOOKUP($E9,Masks[],MATCH(G$1,Masks[#Headers],0),FALSE),IF(EXACT($F9,"Value"),VLOOKUP($E9,Values[],MATCH(G$1,Values[#Headers],0),FALSE),""))</f>
        <v>100010000</v>
      </c>
      <c r="H9" t="str">
        <f>IF(EXACT($F9,"Mask"),VLOOKUP($E9,Masks[],MATCH(H$1,Masks[#Headers],0),FALSE),IF(EXACT($F9,"Value"),VLOOKUP($E9,Values[],MATCH(H$1,Values[#Headers],0),FALSE),""))</f>
        <v>000000000</v>
      </c>
      <c r="I9" t="str">
        <f>IF(EXACT($F9,"Mask"),VLOOKUP($E9,Masks[],MATCH(I$1,Masks[#Headers],0),FALSE),IF(EXACT($F9,"Value"),VLOOKUP($E9,Values[],MATCH(I$1,Values[#Headers],0),FALSE),""))</f>
        <v>000000000</v>
      </c>
    </row>
    <row r="10" spans="1:9" ht="18.75" x14ac:dyDescent="0.25">
      <c r="A10" s="220" t="str">
        <f>'Tests To Binaries'!A7</f>
        <v>A Confines B</v>
      </c>
      <c r="B10" s="8" t="s">
        <v>60</v>
      </c>
      <c r="C10" s="9" t="str">
        <f t="shared" si="0"/>
        <v>(100010000, 101000100, 000000000)</v>
      </c>
      <c r="E10" t="str">
        <f t="shared" si="1"/>
        <v>A Confines B</v>
      </c>
      <c r="F10" t="str">
        <f t="shared" si="2"/>
        <v>Mask</v>
      </c>
      <c r="G10" t="str">
        <f>IF(EXACT($F10,"Mask"),VLOOKUP($E10,Masks[],MATCH(G$1,Masks[#Headers],0),FALSE),IF(EXACT($F10,"Value"),VLOOKUP($E10,Values[],MATCH(G$1,Values[#Headers],0),FALSE),""))</f>
        <v>100010000</v>
      </c>
      <c r="H10" t="str">
        <f>IF(EXACT($F10,"Mask"),VLOOKUP($E10,Masks[],MATCH(H$1,Masks[#Headers],0),FALSE),IF(EXACT($F10,"Value"),VLOOKUP($E10,Values[],MATCH(H$1,Values[#Headers],0),FALSE),""))</f>
        <v>101000100</v>
      </c>
      <c r="I10" t="str">
        <f>IF(EXACT($F10,"Mask"),VLOOKUP($E10,Masks[],MATCH(I$1,Masks[#Headers],0),FALSE),IF(EXACT($F10,"Value"),VLOOKUP($E10,Values[],MATCH(I$1,Values[#Headers],0),FALSE),""))</f>
        <v>000000000</v>
      </c>
    </row>
    <row r="11" spans="1:9" ht="19.5" thickBot="1" x14ac:dyDescent="0.3">
      <c r="A11" s="221" t="str">
        <f>'Tests To Binaries'!A7</f>
        <v>A Confines B</v>
      </c>
      <c r="B11" s="5" t="s">
        <v>61</v>
      </c>
      <c r="C11" s="6" t="str">
        <f t="shared" si="0"/>
        <v>(000010000, 101000000, 000000000)</v>
      </c>
      <c r="E11" t="str">
        <f t="shared" si="1"/>
        <v>A Confines B</v>
      </c>
      <c r="F11" t="str">
        <f t="shared" si="2"/>
        <v>Value</v>
      </c>
      <c r="G11" t="str">
        <f>IF(EXACT($F11,"Mask"),VLOOKUP($E11,Masks[],MATCH(G$1,Masks[#Headers],0),FALSE),IF(EXACT($F11,"Value"),VLOOKUP($E11,Values[],MATCH(G$1,Values[#Headers],0),FALSE),""))</f>
        <v>000010000</v>
      </c>
      <c r="H11" t="str">
        <f>IF(EXACT($F11,"Mask"),VLOOKUP($E11,Masks[],MATCH(H$1,Masks[#Headers],0),FALSE),IF(EXACT($F11,"Value"),VLOOKUP($E11,Values[],MATCH(H$1,Values[#Headers],0),FALSE),""))</f>
        <v>101000000</v>
      </c>
      <c r="I11" t="str">
        <f>IF(EXACT($F11,"Mask"),VLOOKUP($E11,Masks[],MATCH(I$1,Masks[#Headers],0),FALSE),IF(EXACT($F11,"Value"),VLOOKUP($E11,Values[],MATCH(I$1,Values[#Headers],0),FALSE),""))</f>
        <v>000000000</v>
      </c>
    </row>
    <row r="12" spans="1:9" ht="18.75" x14ac:dyDescent="0.25">
      <c r="A12" s="220" t="str">
        <f>'Tests To Binaries'!A8</f>
        <v>A is Confined by B</v>
      </c>
      <c r="B12" s="8" t="s">
        <v>60</v>
      </c>
      <c r="C12" s="9" t="str">
        <f t="shared" si="0"/>
        <v>(100010000, 101000100, 000000000)</v>
      </c>
      <c r="E12" t="str">
        <f t="shared" si="1"/>
        <v>A is Confined by B</v>
      </c>
      <c r="F12" t="str">
        <f t="shared" si="2"/>
        <v>Mask</v>
      </c>
      <c r="G12" t="str">
        <f>IF(EXACT($F12,"Mask"),VLOOKUP($E12,Masks[],MATCH(G$1,Masks[#Headers],0),FALSE),IF(EXACT($F12,"Value"),VLOOKUP($E12,Values[],MATCH(G$1,Values[#Headers],0),FALSE),""))</f>
        <v>100010000</v>
      </c>
      <c r="H12" t="str">
        <f>IF(EXACT($F12,"Mask"),VLOOKUP($E12,Masks[],MATCH(H$1,Masks[#Headers],0),FALSE),IF(EXACT($F12,"Value"),VLOOKUP($E12,Values[],MATCH(H$1,Values[#Headers],0),FALSE),""))</f>
        <v>101000100</v>
      </c>
      <c r="I12" t="str">
        <f>IF(EXACT($F12,"Mask"),VLOOKUP($E12,Masks[],MATCH(I$1,Masks[#Headers],0),FALSE),IF(EXACT($F12,"Value"),VLOOKUP($E12,Values[],MATCH(I$1,Values[#Headers],0),FALSE),""))</f>
        <v>000000000</v>
      </c>
    </row>
    <row r="13" spans="1:9" ht="19.5" thickBot="1" x14ac:dyDescent="0.3">
      <c r="A13" s="221" t="str">
        <f>'Tests To Binaries'!A8</f>
        <v>A is Confined by B</v>
      </c>
      <c r="B13" s="5" t="s">
        <v>61</v>
      </c>
      <c r="C13" s="6" t="str">
        <f t="shared" si="0"/>
        <v>(000010000, 100000100, 000000000)</v>
      </c>
      <c r="E13" t="str">
        <f t="shared" si="1"/>
        <v>A is Confined by B</v>
      </c>
      <c r="F13" t="str">
        <f t="shared" si="2"/>
        <v>Value</v>
      </c>
      <c r="G13" t="str">
        <f>IF(EXACT($F13,"Mask"),VLOOKUP($E13,Masks[],MATCH(G$1,Masks[#Headers],0),FALSE),IF(EXACT($F13,"Value"),VLOOKUP($E13,Values[],MATCH(G$1,Values[#Headers],0),FALSE),""))</f>
        <v>000010000</v>
      </c>
      <c r="H13" t="str">
        <f>IF(EXACT($F13,"Mask"),VLOOKUP($E13,Masks[],MATCH(H$1,Masks[#Headers],0),FALSE),IF(EXACT($F13,"Value"),VLOOKUP($E13,Values[],MATCH(H$1,Values[#Headers],0),FALSE),""))</f>
        <v>100000100</v>
      </c>
      <c r="I13" t="str">
        <f>IF(EXACT($F13,"Mask"),VLOOKUP($E13,Masks[],MATCH(I$1,Masks[#Headers],0),FALSE),IF(EXACT($F13,"Value"),VLOOKUP($E13,Values[],MATCH(I$1,Values[#Headers],0),FALSE),""))</f>
        <v>000000000</v>
      </c>
    </row>
    <row r="14" spans="1:9" ht="18.75" x14ac:dyDescent="0.25">
      <c r="A14" s="220" t="str">
        <f>'Tests To Binaries'!A9</f>
        <v>A Borders B</v>
      </c>
      <c r="B14" s="8" t="s">
        <v>60</v>
      </c>
      <c r="C14" s="9" t="str">
        <f t="shared" si="0"/>
        <v>(100010000, 101000100, 000000000)</v>
      </c>
      <c r="E14" t="str">
        <f t="shared" si="1"/>
        <v>A Borders B</v>
      </c>
      <c r="F14" t="str">
        <f t="shared" si="2"/>
        <v>Mask</v>
      </c>
      <c r="G14" t="str">
        <f>IF(EXACT($F14,"Mask"),VLOOKUP($E14,Masks[],MATCH(G$1,Masks[#Headers],0),FALSE),IF(EXACT($F14,"Value"),VLOOKUP($E14,Values[],MATCH(G$1,Values[#Headers],0),FALSE),""))</f>
        <v>100010000</v>
      </c>
      <c r="H14" t="str">
        <f>IF(EXACT($F14,"Mask"),VLOOKUP($E14,Masks[],MATCH(H$1,Masks[#Headers],0),FALSE),IF(EXACT($F14,"Value"),VLOOKUP($E14,Values[],MATCH(H$1,Values[#Headers],0),FALSE),""))</f>
        <v>101000100</v>
      </c>
      <c r="I14" t="str">
        <f>IF(EXACT($F14,"Mask"),VLOOKUP($E14,Masks[],MATCH(I$1,Masks[#Headers],0),FALSE),IF(EXACT($F14,"Value"),VLOOKUP($E14,Values[],MATCH(I$1,Values[#Headers],0),FALSE),""))</f>
        <v>000000000</v>
      </c>
    </row>
    <row r="15" spans="1:9" ht="19.5" thickBot="1" x14ac:dyDescent="0.3">
      <c r="A15" s="221" t="str">
        <f>'Tests To Binaries'!A9</f>
        <v>A Borders B</v>
      </c>
      <c r="B15" s="5" t="s">
        <v>61</v>
      </c>
      <c r="C15" s="6" t="str">
        <f t="shared" si="0"/>
        <v>(000010000, 001000100, 000000000)</v>
      </c>
      <c r="E15" t="str">
        <f t="shared" si="1"/>
        <v>A Borders B</v>
      </c>
      <c r="F15" t="str">
        <f t="shared" si="2"/>
        <v>Value</v>
      </c>
      <c r="G15" t="str">
        <f>IF(EXACT($F15,"Mask"),VLOOKUP($E15,Masks[],MATCH(G$1,Masks[#Headers],0),FALSE),IF(EXACT($F15,"Value"),VLOOKUP($E15,Values[],MATCH(G$1,Values[#Headers],0),FALSE),""))</f>
        <v>000010000</v>
      </c>
      <c r="H15" t="str">
        <f>IF(EXACT($F15,"Mask"),VLOOKUP($E15,Masks[],MATCH(H$1,Masks[#Headers],0),FALSE),IF(EXACT($F15,"Value"),VLOOKUP($E15,Values[],MATCH(H$1,Values[#Headers],0),FALSE),""))</f>
        <v>001000100</v>
      </c>
      <c r="I15" t="str">
        <f>IF(EXACT($F15,"Mask"),VLOOKUP($E15,Masks[],MATCH(I$1,Masks[#Headers],0),FALSE),IF(EXACT($F15,"Value"),VLOOKUP($E15,Values[],MATCH(I$1,Values[#Headers],0),FALSE),""))</f>
        <v>000000000</v>
      </c>
    </row>
    <row r="16" spans="1:9" ht="18.75" x14ac:dyDescent="0.25">
      <c r="A16" s="220" t="str">
        <f>'Tests To Binaries'!A10</f>
        <v>A Contains B</v>
      </c>
      <c r="B16" s="8" t="s">
        <v>60</v>
      </c>
      <c r="C16" s="9" t="str">
        <f t="shared" si="0"/>
        <v>(101010100, 000000000, 000000000)</v>
      </c>
      <c r="E16" t="str">
        <f t="shared" si="1"/>
        <v>A Contains B</v>
      </c>
      <c r="F16" t="str">
        <f t="shared" si="2"/>
        <v>Mask</v>
      </c>
      <c r="G16" t="str">
        <f>IF(EXACT($F16,"Mask"),VLOOKUP($E16,Masks[],MATCH(G$1,Masks[#Headers],0),FALSE),IF(EXACT($F16,"Value"),VLOOKUP($E16,Values[],MATCH(G$1,Values[#Headers],0),FALSE),""))</f>
        <v>101010100</v>
      </c>
      <c r="H16" t="str">
        <f>IF(EXACT($F16,"Mask"),VLOOKUP($E16,Masks[],MATCH(H$1,Masks[#Headers],0),FALSE),IF(EXACT($F16,"Value"),VLOOKUP($E16,Values[],MATCH(H$1,Values[#Headers],0),FALSE),""))</f>
        <v>000000000</v>
      </c>
      <c r="I16" t="str">
        <f>IF(EXACT($F16,"Mask"),VLOOKUP($E16,Masks[],MATCH(I$1,Masks[#Headers],0),FALSE),IF(EXACT($F16,"Value"),VLOOKUP($E16,Values[],MATCH(I$1,Values[#Headers],0),FALSE),""))</f>
        <v>000000000</v>
      </c>
    </row>
    <row r="17" spans="1:9" ht="19.5" thickBot="1" x14ac:dyDescent="0.3">
      <c r="A17" s="221" t="str">
        <f>'Tests To Binaries'!A10</f>
        <v>A Contains B</v>
      </c>
      <c r="B17" s="5" t="s">
        <v>61</v>
      </c>
      <c r="C17" s="6" t="str">
        <f t="shared" si="0"/>
        <v>(101000000, 000000000, 000000000)</v>
      </c>
      <c r="E17" t="str">
        <f t="shared" si="1"/>
        <v>A Contains B</v>
      </c>
      <c r="F17" t="str">
        <f t="shared" si="2"/>
        <v>Value</v>
      </c>
      <c r="G17" t="str">
        <f>IF(EXACT($F17,"Mask"),VLOOKUP($E17,Masks[],MATCH(G$1,Masks[#Headers],0),FALSE),IF(EXACT($F17,"Value"),VLOOKUP($E17,Values[],MATCH(G$1,Values[#Headers],0),FALSE),""))</f>
        <v>101000000</v>
      </c>
      <c r="H17" t="str">
        <f>IF(EXACT($F17,"Mask"),VLOOKUP($E17,Masks[],MATCH(H$1,Masks[#Headers],0),FALSE),IF(EXACT($F17,"Value"),VLOOKUP($E17,Values[],MATCH(H$1,Values[#Headers],0),FALSE),""))</f>
        <v>000000000</v>
      </c>
      <c r="I17" t="str">
        <f>IF(EXACT($F17,"Mask"),VLOOKUP($E17,Masks[],MATCH(I$1,Masks[#Headers],0),FALSE),IF(EXACT($F17,"Value"),VLOOKUP($E17,Values[],MATCH(I$1,Values[#Headers],0),FALSE),""))</f>
        <v>000000000</v>
      </c>
    </row>
    <row r="18" spans="1:9" ht="18.75" x14ac:dyDescent="0.25">
      <c r="A18" s="220" t="str">
        <f>'Tests To Binaries'!A11</f>
        <v>A is Within B</v>
      </c>
      <c r="B18" s="8" t="s">
        <v>60</v>
      </c>
      <c r="C18" s="9" t="str">
        <f t="shared" si="0"/>
        <v>(101010100, 000000000, 000000000)</v>
      </c>
      <c r="E18" t="str">
        <f t="shared" si="1"/>
        <v>A is Within B</v>
      </c>
      <c r="F18" t="str">
        <f t="shared" si="2"/>
        <v>Mask</v>
      </c>
      <c r="G18" t="str">
        <f>IF(EXACT($F18,"Mask"),VLOOKUP($E18,Masks[],MATCH(G$1,Masks[#Headers],0),FALSE),IF(EXACT($F18,"Value"),VLOOKUP($E18,Values[],MATCH(G$1,Values[#Headers],0),FALSE),""))</f>
        <v>101010100</v>
      </c>
      <c r="H18" t="str">
        <f>IF(EXACT($F18,"Mask"),VLOOKUP($E18,Masks[],MATCH(H$1,Masks[#Headers],0),FALSE),IF(EXACT($F18,"Value"),VLOOKUP($E18,Values[],MATCH(H$1,Values[#Headers],0),FALSE),""))</f>
        <v>000000000</v>
      </c>
      <c r="I18" t="str">
        <f>IF(EXACT($F18,"Mask"),VLOOKUP($E18,Masks[],MATCH(I$1,Masks[#Headers],0),FALSE),IF(EXACT($F18,"Value"),VLOOKUP($E18,Values[],MATCH(I$1,Values[#Headers],0),FALSE),""))</f>
        <v>000000000</v>
      </c>
    </row>
    <row r="19" spans="1:9" ht="19.5" thickBot="1" x14ac:dyDescent="0.3">
      <c r="A19" s="221" t="str">
        <f>'Tests To Binaries'!A11</f>
        <v>A is Within B</v>
      </c>
      <c r="B19" s="5" t="s">
        <v>61</v>
      </c>
      <c r="C19" s="6" t="str">
        <f t="shared" si="0"/>
        <v>(100000100, 000000000, 000000000)</v>
      </c>
      <c r="E19" t="str">
        <f t="shared" si="1"/>
        <v>A is Within B</v>
      </c>
      <c r="F19" t="str">
        <f t="shared" si="2"/>
        <v>Value</v>
      </c>
      <c r="G19" t="str">
        <f>IF(EXACT($F19,"Mask"),VLOOKUP($E19,Masks[],MATCH(G$1,Masks[#Headers],0),FALSE),IF(EXACT($F19,"Value"),VLOOKUP($E19,Values[],MATCH(G$1,Values[#Headers],0),FALSE),""))</f>
        <v>100000100</v>
      </c>
      <c r="H19" t="str">
        <f>IF(EXACT($F19,"Mask"),VLOOKUP($E19,Masks[],MATCH(H$1,Masks[#Headers],0),FALSE),IF(EXACT($F19,"Value"),VLOOKUP($E19,Values[],MATCH(H$1,Values[#Headers],0),FALSE),""))</f>
        <v>000000000</v>
      </c>
      <c r="I19" t="str">
        <f>IF(EXACT($F19,"Mask"),VLOOKUP($E19,Masks[],MATCH(I$1,Masks[#Headers],0),FALSE),IF(EXACT($F19,"Value"),VLOOKUP($E19,Values[],MATCH(I$1,Values[#Headers],0),FALSE),""))</f>
        <v>000000000</v>
      </c>
    </row>
  </sheetData>
  <mergeCells count="10">
    <mergeCell ref="A2:A3"/>
    <mergeCell ref="B1:C1"/>
    <mergeCell ref="A14:A15"/>
    <mergeCell ref="A16:A17"/>
    <mergeCell ref="A18:A19"/>
    <mergeCell ref="A4:A5"/>
    <mergeCell ref="A6:A7"/>
    <mergeCell ref="A8:A9"/>
    <mergeCell ref="A10:A11"/>
    <mergeCell ref="A12:A13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EC6EA-BCDD-4453-B23F-280E5968C0F5}"/>
</file>

<file path=customXml/itemProps2.xml><?xml version="1.0" encoding="utf-8"?>
<ds:datastoreItem xmlns:ds="http://schemas.openxmlformats.org/officeDocument/2006/customXml" ds:itemID="{3901E47B-F22F-4A09-AFE7-5316BE22CBBA}"/>
</file>

<file path=customXml/itemProps3.xml><?xml version="1.0" encoding="utf-8"?>
<ds:datastoreItem xmlns:ds="http://schemas.openxmlformats.org/officeDocument/2006/customXml" ds:itemID="{907B038C-8523-43C4-85E3-ACF3EE6BE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Definitions</vt:lpstr>
      <vt:lpstr>Descision Tree</vt:lpstr>
      <vt:lpstr>Descision Matrix</vt:lpstr>
      <vt:lpstr>DE-9IM Matrixes</vt:lpstr>
      <vt:lpstr>Inverted Relations</vt:lpstr>
      <vt:lpstr>Tests To Binaries</vt:lpstr>
      <vt:lpstr>As Json</vt:lpstr>
      <vt:lpstr>Combined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Salomons</dc:creator>
  <cp:keywords/>
  <dc:description/>
  <cp:lastModifiedBy>Greg Salomons</cp:lastModifiedBy>
  <cp:revision/>
  <dcterms:created xsi:type="dcterms:W3CDTF">2024-06-08T17:10:40Z</dcterms:created>
  <dcterms:modified xsi:type="dcterms:W3CDTF">2026-05-29T12:08:50Z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